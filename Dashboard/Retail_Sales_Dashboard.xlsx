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akank\Desktop\Excel-Sales-Dashboard\"/>
    </mc:Choice>
  </mc:AlternateContent>
  <xr:revisionPtr revIDLastSave="0" documentId="13_ncr:1_{FF73DABF-204C-4E43-9A87-820493917B51}" xr6:coauthVersionLast="47" xr6:coauthVersionMax="47" xr10:uidLastSave="{00000000-0000-0000-0000-000000000000}"/>
  <bookViews>
    <workbookView xWindow="-108" yWindow="-108" windowWidth="23256" windowHeight="12456" tabRatio="971" activeTab="4" xr2:uid="{4AADB001-6DE0-4B89-905C-81CD4F73B457}"/>
  </bookViews>
  <sheets>
    <sheet name="Lists" sheetId="7" r:id="rId1"/>
    <sheet name="Raw_Data" sheetId="1" r:id="rId2"/>
    <sheet name="Clean_Data" sheetId="2" r:id="rId3"/>
    <sheet name="Pivot_Tables" sheetId="3" r:id="rId4"/>
    <sheet name="Dashboard" sheetId="9" r:id="rId5"/>
  </sheets>
  <definedNames>
    <definedName name="Slicer_Payment_Mode">#N/A</definedName>
    <definedName name="Slicer_Product">#N/A</definedName>
    <definedName name="Slicer_Region">#N/A</definedName>
    <definedName name="Slicer_Years__Order_Date">#N/A</definedName>
    <definedName name="tblCustomers">Table7[[#All],[Customer Name]]</definedName>
    <definedName name="tblDeliveryStatus">Table11[[#All],[Delivery Status]]</definedName>
    <definedName name="tblLocations">Table8[#All]</definedName>
    <definedName name="tblPayments">Table10[[#All],[Payment Modes]]</definedName>
    <definedName name="tblProducts">Table6[#All]</definedName>
    <definedName name="tblSales">Table12[#All]</definedName>
    <definedName name="tblSalespersons">Table9[[#All],[Salespersons]]</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 i="2" l="1"/>
  <c r="E11" i="2"/>
  <c r="E9" i="2"/>
  <c r="E7" i="2"/>
  <c r="E5" i="2"/>
  <c r="E3" i="2"/>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7" i="1"/>
  <c r="I8" i="1"/>
  <c r="I9" i="1"/>
  <c r="I10" i="1"/>
  <c r="I11" i="1"/>
  <c r="I3" i="1"/>
  <c r="I4" i="1"/>
  <c r="I5" i="1"/>
  <c r="I6" i="1"/>
  <c r="I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2"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4" i="1"/>
  <c r="F15" i="1"/>
  <c r="F16" i="1"/>
  <c r="F17" i="1"/>
  <c r="F18" i="1"/>
  <c r="F3" i="1"/>
  <c r="F4" i="1"/>
  <c r="F5" i="1"/>
  <c r="F6" i="1"/>
  <c r="F7" i="1"/>
  <c r="F8" i="1"/>
  <c r="F9" i="1"/>
  <c r="F10" i="1"/>
  <c r="F11" i="1"/>
  <c r="F12" i="1"/>
  <c r="F13" i="1"/>
  <c r="F2" i="1"/>
</calcChain>
</file>

<file path=xl/sharedStrings.xml><?xml version="1.0" encoding="utf-8"?>
<sst xmlns="http://schemas.openxmlformats.org/spreadsheetml/2006/main" count="8205" uniqueCount="2136">
  <si>
    <t>Order_ID</t>
  </si>
  <si>
    <t>Order_Date</t>
  </si>
  <si>
    <t>Customer_Name</t>
  </si>
  <si>
    <t>City</t>
  </si>
  <si>
    <t>State</t>
  </si>
  <si>
    <t>Region</t>
  </si>
  <si>
    <t>Product</t>
  </si>
  <si>
    <t>Category</t>
  </si>
  <si>
    <t>Salesperson</t>
  </si>
  <si>
    <t>Quantity</t>
  </si>
  <si>
    <t>Unit_Price</t>
  </si>
  <si>
    <t>Discount_%</t>
  </si>
  <si>
    <t>Total_Sales</t>
  </si>
  <si>
    <t>Profit</t>
  </si>
  <si>
    <t>Payment_Mode</t>
  </si>
  <si>
    <t>Delivery_Status</t>
  </si>
  <si>
    <t>Laptop</t>
  </si>
  <si>
    <t>Electronics</t>
  </si>
  <si>
    <t>Smartphone</t>
  </si>
  <si>
    <t>Tablet</t>
  </si>
  <si>
    <t>Headphones</t>
  </si>
  <si>
    <t>Accessories</t>
  </si>
  <si>
    <t>Smartwatch</t>
  </si>
  <si>
    <t>Wearables</t>
  </si>
  <si>
    <t>Keyboard</t>
  </si>
  <si>
    <t>Mouse</t>
  </si>
  <si>
    <t>Printer</t>
  </si>
  <si>
    <t>Office</t>
  </si>
  <si>
    <t>Monitor</t>
  </si>
  <si>
    <t>Speaker</t>
  </si>
  <si>
    <t>North</t>
  </si>
  <si>
    <t>South</t>
  </si>
  <si>
    <t>East</t>
  </si>
  <si>
    <t>West</t>
  </si>
  <si>
    <t>Karnataka</t>
  </si>
  <si>
    <t>Maharashtra</t>
  </si>
  <si>
    <t>Tamil Nadu</t>
  </si>
  <si>
    <t>Telangana</t>
  </si>
  <si>
    <t>Delhi</t>
  </si>
  <si>
    <t>Gujarat</t>
  </si>
  <si>
    <t>Rajasthan</t>
  </si>
  <si>
    <t>West Bengal</t>
  </si>
  <si>
    <t>Payment Modes</t>
  </si>
  <si>
    <t>UPI</t>
  </si>
  <si>
    <t>Credit Card</t>
  </si>
  <si>
    <t>Debit Card</t>
  </si>
  <si>
    <t>Cash</t>
  </si>
  <si>
    <t>Net Banking</t>
  </si>
  <si>
    <t>Delivery Status</t>
  </si>
  <si>
    <t>Delivered</t>
  </si>
  <si>
    <t>In Transit</t>
  </si>
  <si>
    <t>Returned</t>
  </si>
  <si>
    <t>Cancelled</t>
  </si>
  <si>
    <t>Salespersons</t>
  </si>
  <si>
    <t>Amit Sharma</t>
  </si>
  <si>
    <t>Priya Nair</t>
  </si>
  <si>
    <t>Rahul Verma</t>
  </si>
  <si>
    <t>Sneha Patil</t>
  </si>
  <si>
    <t>Arjun Rao</t>
  </si>
  <si>
    <t>Neha Gupta</t>
  </si>
  <si>
    <t>Karan Singh</t>
  </si>
  <si>
    <t>Anjali Mehta</t>
  </si>
  <si>
    <t>Vikram Joshi</t>
  </si>
  <si>
    <t>Pooja Das</t>
  </si>
  <si>
    <t>Customer_ID</t>
  </si>
  <si>
    <t>Unit Price</t>
  </si>
  <si>
    <t>Cost Price</t>
  </si>
  <si>
    <t>ORD0001</t>
  </si>
  <si>
    <t>CUST0001</t>
  </si>
  <si>
    <t>Rahul Sharma</t>
  </si>
  <si>
    <t>Bengaluru</t>
  </si>
  <si>
    <t>Total_Cost</t>
  </si>
  <si>
    <t>Cost_Price</t>
  </si>
  <si>
    <t>ORD0002</t>
  </si>
  <si>
    <t>ORD0003</t>
  </si>
  <si>
    <t>ORD0004</t>
  </si>
  <si>
    <t>ORD0005</t>
  </si>
  <si>
    <t>ORD0006</t>
  </si>
  <si>
    <t>ORD0007</t>
  </si>
  <si>
    <t>ORD0008</t>
  </si>
  <si>
    <t>ORD0009</t>
  </si>
  <si>
    <t>ORD0010</t>
  </si>
  <si>
    <t>ORD0011</t>
  </si>
  <si>
    <t>ORD0012</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</si>
  <si>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</si>
  <si>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</si>
  <si>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</si>
  <si>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</si>
  <si>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</si>
  <si>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</si>
  <si>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</si>
  <si>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</si>
  <si>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</si>
  <si>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</si>
  <si>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</si>
  <si>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</si>
  <si>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</si>
  <si>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</si>
  <si>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</si>
  <si>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</si>
  <si>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</si>
  <si>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</si>
  <si>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</si>
  <si>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</si>
  <si>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</si>
  <si>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</si>
  <si>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</si>
  <si>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</si>
  <si>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</si>
  <si>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</si>
  <si>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</si>
  <si>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</si>
  <si>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</si>
  <si>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</si>
  <si>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</si>
  <si>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</si>
  <si>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</si>
  <si>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</si>
  <si>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</si>
  <si>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</si>
  <si>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</si>
  <si>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</si>
  <si>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</si>
  <si>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</si>
  <si>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</si>
  <si>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</si>
  <si>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</si>
  <si>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</si>
  <si>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</si>
  <si>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</si>
  <si>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</si>
  <si>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</si>
  <si>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</si>
  <si>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</si>
  <si>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</si>
  <si>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</si>
  <si>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</si>
  <si>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</si>
  <si>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</si>
  <si>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</si>
  <si>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</si>
  <si>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</si>
  <si>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</si>
  <si>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</si>
  <si>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</si>
  <si>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</si>
  <si>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</si>
  <si>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</si>
  <si>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</si>
  <si>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</si>
  <si>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</si>
  <si>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</si>
  <si>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</si>
  <si>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</si>
  <si>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</si>
  <si>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</si>
  <si>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</si>
  <si>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</si>
  <si>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</si>
  <si>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</si>
  <si>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</si>
  <si>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</si>
  <si>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</si>
  <si>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</si>
  <si>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</si>
  <si>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</si>
  <si>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</si>
  <si>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</si>
  <si>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</si>
  <si>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</si>
  <si>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</si>
  <si>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</si>
  <si>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</si>
  <si>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</si>
  <si>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</si>
  <si>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</si>
  <si>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</si>
  <si>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</si>
  <si>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</si>
  <si>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</si>
  <si>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</si>
  <si>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</si>
  <si>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</si>
  <si>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</si>
  <si>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</si>
  <si>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</si>
  <si>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</si>
  <si>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</si>
  <si>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</si>
  <si>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</si>
  <si>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</si>
  <si>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</si>
  <si>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</si>
  <si>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</si>
  <si>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</si>
  <si>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</si>
  <si>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</si>
  <si>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</si>
  <si>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</si>
  <si>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</si>
  <si>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</si>
  <si>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</si>
  <si>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</si>
  <si>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</si>
  <si>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</si>
  <si>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</si>
  <si>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</si>
  <si>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</si>
  <si>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</si>
  <si>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</si>
  <si>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</si>
  <si>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</si>
  <si>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</si>
  <si>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</si>
  <si>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</si>
  <si>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</si>
  <si>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</si>
  <si>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</si>
  <si>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</si>
  <si>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</si>
  <si>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</si>
  <si>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</si>
  <si>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</si>
  <si>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</si>
  <si>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</si>
  <si>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</si>
  <si>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</si>
  <si>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</si>
  <si>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</si>
  <si>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</si>
  <si>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</si>
  <si>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</si>
  <si>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</si>
  <si>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</si>
  <si>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</si>
  <si>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</si>
  <si>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</si>
  <si>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</si>
  <si>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</si>
  <si>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</si>
  <si>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</si>
  <si>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</si>
  <si>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</si>
  <si>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</si>
  <si>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</si>
  <si>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</si>
  <si>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</si>
  <si>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</si>
  <si>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</si>
  <si>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</si>
  <si>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</si>
  <si>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</si>
  <si>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</si>
  <si>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</si>
  <si>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</si>
  <si>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</si>
  <si>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</si>
  <si>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</si>
  <si>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</si>
  <si>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</si>
  <si>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</si>
  <si>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</si>
  <si>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</si>
  <si>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</si>
  <si>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</si>
  <si>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</si>
  <si>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</si>
  <si>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</si>
  <si>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</si>
  <si>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</si>
  <si>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</si>
  <si>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</si>
  <si>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</si>
  <si>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</si>
  <si>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</si>
  <si>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</si>
  <si>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</si>
  <si>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</si>
  <si>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</si>
  <si>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</si>
  <si>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</si>
  <si>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</si>
  <si>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</si>
  <si>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</si>
  <si>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</si>
  <si>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</si>
  <si>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</si>
  <si>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</si>
  <si>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</si>
  <si>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</si>
  <si>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</si>
  <si>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</si>
  <si>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</si>
  <si>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</si>
  <si>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</si>
  <si>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</si>
  <si>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</si>
  <si>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</si>
  <si>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</si>
  <si>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</si>
  <si>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</si>
  <si>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</si>
  <si>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</si>
  <si>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</si>
  <si>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</si>
  <si>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</si>
  <si>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</si>
  <si>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</si>
  <si>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</si>
  <si>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</si>
  <si>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</si>
  <si>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</si>
  <si>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</si>
  <si>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</si>
  <si>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</si>
  <si>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</si>
  <si>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</si>
  <si>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</si>
  <si>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</si>
  <si>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</si>
  <si>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</si>
  <si>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</si>
  <si>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</si>
  <si>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</si>
  <si>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</si>
  <si>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</si>
  <si>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</si>
  <si>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</si>
  <si>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</si>
  <si>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</si>
  <si>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</si>
  <si>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</si>
  <si>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</si>
  <si>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</si>
  <si>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</si>
  <si>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</si>
  <si>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</si>
  <si>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</si>
  <si>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</si>
  <si>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</si>
  <si>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</si>
  <si>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</si>
  <si>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</si>
  <si>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</si>
  <si>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</si>
  <si>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</si>
  <si>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</si>
  <si>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</si>
  <si>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</si>
  <si>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</si>
  <si>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</si>
  <si>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</si>
  <si>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</si>
  <si>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</si>
  <si>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</si>
  <si>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</si>
  <si>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</si>
  <si>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</si>
  <si>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</si>
  <si>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</si>
  <si>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</si>
  <si>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</si>
  <si>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</si>
  <si>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</si>
  <si>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</si>
  <si>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</si>
  <si>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</si>
  <si>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</si>
  <si>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</si>
  <si>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</si>
  <si>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</si>
  <si>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</si>
  <si>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</si>
  <si>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</si>
  <si>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</si>
  <si>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</si>
  <si>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</si>
  <si>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</si>
  <si>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</si>
  <si>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</si>
  <si>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</si>
  <si>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</si>
  <si>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</si>
  <si>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</si>
  <si>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</si>
  <si>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</si>
  <si>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</si>
  <si>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</si>
  <si>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</si>
  <si>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</si>
  <si>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</si>
  <si>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</si>
  <si>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</si>
  <si>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</si>
  <si>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</si>
  <si>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</si>
  <si>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</si>
  <si>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</si>
  <si>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</si>
  <si>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</si>
  <si>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</si>
  <si>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</si>
  <si>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</si>
  <si>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</si>
  <si>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</si>
  <si>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</si>
  <si>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</si>
  <si>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</si>
  <si>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</si>
  <si>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</si>
  <si>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</si>
  <si>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</si>
  <si>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</si>
  <si>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</si>
  <si>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</si>
  <si>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</si>
  <si>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</si>
  <si>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</si>
  <si>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</si>
  <si>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</si>
  <si>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</si>
  <si>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</si>
  <si>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</si>
  <si>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</si>
  <si>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</si>
  <si>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</si>
  <si>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</si>
  <si>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</si>
  <si>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</si>
  <si>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</si>
  <si>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</si>
  <si>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</si>
  <si>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</si>
  <si>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</si>
  <si>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</si>
  <si>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</si>
  <si>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</si>
  <si>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</si>
  <si>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</si>
  <si>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</si>
  <si>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</si>
  <si>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</si>
  <si>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</si>
  <si>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</si>
  <si>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</si>
  <si>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</si>
  <si>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</si>
  <si>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</si>
  <si>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</si>
  <si>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</si>
  <si>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</si>
  <si>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</si>
  <si>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</si>
  <si>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</si>
  <si>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</si>
  <si>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</si>
  <si>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</si>
  <si>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</si>
  <si>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</si>
  <si>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</si>
  <si>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</si>
  <si>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</si>
  <si>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</si>
  <si>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</si>
  <si>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</si>
  <si>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</si>
  <si>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</si>
  <si>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</si>
  <si>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</si>
  <si>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</si>
  <si>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</si>
  <si>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</si>
  <si>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</si>
  <si>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</si>
  <si>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</si>
  <si>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</si>
  <si>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</si>
  <si>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</si>
  <si>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</si>
  <si>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</si>
  <si>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</si>
  <si>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</si>
  <si>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</si>
  <si>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</si>
  <si>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</si>
  <si>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</si>
  <si>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</si>
  <si>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</si>
  <si>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</si>
  <si>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</si>
  <si>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</si>
  <si>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</si>
  <si>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</si>
  <si>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</si>
  <si>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</si>
  <si>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</si>
  <si>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</si>
  <si>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</si>
  <si>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</si>
  <si>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</si>
  <si>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</si>
  <si>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</si>
  <si>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</si>
  <si>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</si>
  <si>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</si>
  <si>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</si>
  <si>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</si>
  <si>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</si>
  <si>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</si>
  <si>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</si>
  <si>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</si>
  <si>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</si>
  <si>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</si>
  <si>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</si>
  <si>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</si>
  <si>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</si>
  <si>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</si>
  <si>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</si>
  <si>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</si>
  <si>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</si>
  <si>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</si>
  <si>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</si>
  <si>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</si>
  <si>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</si>
  <si>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</si>
  <si>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</si>
  <si>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</si>
  <si>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</si>
  <si>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</si>
  <si>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</si>
  <si>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</si>
  <si>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</si>
  <si>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</si>
  <si>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</si>
  <si>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</si>
  <si>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</si>
  <si>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</si>
  <si>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</si>
  <si>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</si>
  <si>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</si>
  <si>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</si>
  <si>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</si>
  <si>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</si>
  <si>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</si>
  <si>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</si>
  <si>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</si>
  <si>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</si>
  <si>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</si>
  <si>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</si>
  <si>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</si>
  <si>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</si>
  <si>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</si>
  <si>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</si>
  <si>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</si>
  <si>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</si>
  <si>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</si>
  <si>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</si>
  <si>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</si>
  <si>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</si>
  <si>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</si>
  <si>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</si>
  <si>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</si>
  <si>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</si>
  <si>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</si>
  <si>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</si>
  <si>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</si>
  <si>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</si>
  <si>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</si>
  <si>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</si>
  <si>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</si>
  <si>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</si>
  <si>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</si>
  <si>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ORD0501</t>
  </si>
  <si>
    <t>ORD0502</t>
  </si>
  <si>
    <t>ORD0503</t>
  </si>
  <si>
    <t>ORD0504</t>
  </si>
  <si>
    <t>ORD0505</t>
  </si>
  <si>
    <t>ORD0506</t>
  </si>
  <si>
    <t>ORD0507</t>
  </si>
  <si>
    <t>ORD0508</t>
  </si>
  <si>
    <t>ORD0509</t>
  </si>
  <si>
    <t>ORD0510</t>
  </si>
  <si>
    <t>ORD0511</t>
  </si>
  <si>
    <t>ORD0512</t>
  </si>
  <si>
    <t>ORD0513</t>
  </si>
  <si>
    <t>ORD0514</t>
  </si>
  <si>
    <t>ORD0515</t>
  </si>
  <si>
    <t>ORD0516</t>
  </si>
  <si>
    <t>ORD0517</t>
  </si>
  <si>
    <t>ORD0518</t>
  </si>
  <si>
    <t>ORD0519</t>
  </si>
  <si>
    <t>ORD0520</t>
  </si>
  <si>
    <t>ORD0521</t>
  </si>
  <si>
    <t>ORD0522</t>
  </si>
  <si>
    <t>ORD0523</t>
  </si>
  <si>
    <t>ORD0524</t>
  </si>
  <si>
    <t>ORD0525</t>
  </si>
  <si>
    <t>ORD0526</t>
  </si>
  <si>
    <t>ORD0527</t>
  </si>
  <si>
    <t>ORD0528</t>
  </si>
  <si>
    <t>ORD0529</t>
  </si>
  <si>
    <t>ORD0530</t>
  </si>
  <si>
    <t>ORD0531</t>
  </si>
  <si>
    <t>ORD0532</t>
  </si>
  <si>
    <t>ORD0533</t>
  </si>
  <si>
    <t>ORD0534</t>
  </si>
  <si>
    <t>ORD0535</t>
  </si>
  <si>
    <t>ORD0536</t>
  </si>
  <si>
    <t>ORD0537</t>
  </si>
  <si>
    <t>ORD0538</t>
  </si>
  <si>
    <t>ORD0539</t>
  </si>
  <si>
    <t>ORD0540</t>
  </si>
  <si>
    <t>ORD0541</t>
  </si>
  <si>
    <t>ORD0542</t>
  </si>
  <si>
    <t>ORD0543</t>
  </si>
  <si>
    <t>ORD0544</t>
  </si>
  <si>
    <t>ORD0545</t>
  </si>
  <si>
    <t>ORD0546</t>
  </si>
  <si>
    <t>ORD0547</t>
  </si>
  <si>
    <t>ORD0548</t>
  </si>
  <si>
    <t>ORD0549</t>
  </si>
  <si>
    <t>ORD0550</t>
  </si>
  <si>
    <t>ORD0551</t>
  </si>
  <si>
    <t>ORD0552</t>
  </si>
  <si>
    <t>ORD0553</t>
  </si>
  <si>
    <t>ORD0554</t>
  </si>
  <si>
    <t>ORD0555</t>
  </si>
  <si>
    <t>ORD0556</t>
  </si>
  <si>
    <t>ORD0557</t>
  </si>
  <si>
    <t>ORD0558</t>
  </si>
  <si>
    <t>ORD0559</t>
  </si>
  <si>
    <t>ORD0560</t>
  </si>
  <si>
    <t>ORD0561</t>
  </si>
  <si>
    <t>ORD0562</t>
  </si>
  <si>
    <t>ORD0563</t>
  </si>
  <si>
    <t>ORD0564</t>
  </si>
  <si>
    <t>ORD0565</t>
  </si>
  <si>
    <t>ORD0566</t>
  </si>
  <si>
    <t>ORD0567</t>
  </si>
  <si>
    <t>ORD0568</t>
  </si>
  <si>
    <t>ORD0569</t>
  </si>
  <si>
    <t>ORD0570</t>
  </si>
  <si>
    <t>ORD0571</t>
  </si>
  <si>
    <t>ORD0572</t>
  </si>
  <si>
    <t>ORD0573</t>
  </si>
  <si>
    <t>ORD0574</t>
  </si>
  <si>
    <t>ORD0575</t>
  </si>
  <si>
    <t>ORD0576</t>
  </si>
  <si>
    <t>ORD0577</t>
  </si>
  <si>
    <t>ORD0578</t>
  </si>
  <si>
    <t>ORD0579</t>
  </si>
  <si>
    <t>ORD0580</t>
  </si>
  <si>
    <t>ORD0581</t>
  </si>
  <si>
    <t>ORD0582</t>
  </si>
  <si>
    <t>ORD0583</t>
  </si>
  <si>
    <t>ORD0584</t>
  </si>
  <si>
    <t>ORD0585</t>
  </si>
  <si>
    <t>ORD0586</t>
  </si>
  <si>
    <t>ORD0587</t>
  </si>
  <si>
    <t>ORD0588</t>
  </si>
  <si>
    <t>ORD0589</t>
  </si>
  <si>
    <t>ORD0590</t>
  </si>
  <si>
    <t>ORD0591</t>
  </si>
  <si>
    <t>ORD0592</t>
  </si>
  <si>
    <t>ORD0593</t>
  </si>
  <si>
    <t>ORD0594</t>
  </si>
  <si>
    <t>ORD0595</t>
  </si>
  <si>
    <t>ORD0596</t>
  </si>
  <si>
    <t>ORD0597</t>
  </si>
  <si>
    <t>ORD0598</t>
  </si>
  <si>
    <t>ORD0599</t>
  </si>
  <si>
    <t>ORD0600</t>
  </si>
  <si>
    <t>ORD0601</t>
  </si>
  <si>
    <t>ORD0602</t>
  </si>
  <si>
    <t>ORD0603</t>
  </si>
  <si>
    <t>ORD0604</t>
  </si>
  <si>
    <t>ORD0605</t>
  </si>
  <si>
    <t>ORD0606</t>
  </si>
  <si>
    <t>ORD0607</t>
  </si>
  <si>
    <t>ORD0608</t>
  </si>
  <si>
    <t>ORD0609</t>
  </si>
  <si>
    <t>ORD0610</t>
  </si>
  <si>
    <t>ORD0611</t>
  </si>
  <si>
    <t>ORD0612</t>
  </si>
  <si>
    <t>ORD0613</t>
  </si>
  <si>
    <t>ORD0614</t>
  </si>
  <si>
    <t>ORD0615</t>
  </si>
  <si>
    <t>ORD0616</t>
  </si>
  <si>
    <t>ORD0617</t>
  </si>
  <si>
    <t>ORD0618</t>
  </si>
  <si>
    <t>ORD0619</t>
  </si>
  <si>
    <t>ORD0620</t>
  </si>
  <si>
    <t>ORD0621</t>
  </si>
  <si>
    <t>ORD0622</t>
  </si>
  <si>
    <t>ORD0623</t>
  </si>
  <si>
    <t>ORD0624</t>
  </si>
  <si>
    <t>ORD0625</t>
  </si>
  <si>
    <t>ORD0626</t>
  </si>
  <si>
    <t>ORD0627</t>
  </si>
  <si>
    <t>ORD0628</t>
  </si>
  <si>
    <t>ORD0629</t>
  </si>
  <si>
    <t>ORD0630</t>
  </si>
  <si>
    <t>ORD0631</t>
  </si>
  <si>
    <t>ORD0632</t>
  </si>
  <si>
    <t>ORD0633</t>
  </si>
  <si>
    <t>ORD0634</t>
  </si>
  <si>
    <t>ORD0635</t>
  </si>
  <si>
    <t>ORD0636</t>
  </si>
  <si>
    <t>ORD0637</t>
  </si>
  <si>
    <t>ORD0638</t>
  </si>
  <si>
    <t>ORD0639</t>
  </si>
  <si>
    <t>ORD0640</t>
  </si>
  <si>
    <t>ORD0641</t>
  </si>
  <si>
    <t>ORD0642</t>
  </si>
  <si>
    <t>ORD0643</t>
  </si>
  <si>
    <t>ORD0644</t>
  </si>
  <si>
    <t>ORD0645</t>
  </si>
  <si>
    <t>ORD0646</t>
  </si>
  <si>
    <t>ORD0647</t>
  </si>
  <si>
    <t>ORD0648</t>
  </si>
  <si>
    <t>ORD0649</t>
  </si>
  <si>
    <t>ORD0650</t>
  </si>
  <si>
    <t>ORD0651</t>
  </si>
  <si>
    <t>ORD0652</t>
  </si>
  <si>
    <t>ORD0653</t>
  </si>
  <si>
    <t>ORD0654</t>
  </si>
  <si>
    <t>ORD0655</t>
  </si>
  <si>
    <t>ORD0656</t>
  </si>
  <si>
    <t>ORD0657</t>
  </si>
  <si>
    <t>ORD0658</t>
  </si>
  <si>
    <t>ORD0659</t>
  </si>
  <si>
    <t>ORD0660</t>
  </si>
  <si>
    <t>ORD0661</t>
  </si>
  <si>
    <t>ORD0662</t>
  </si>
  <si>
    <t>ORD0663</t>
  </si>
  <si>
    <t>ORD0664</t>
  </si>
  <si>
    <t>ORD0665</t>
  </si>
  <si>
    <t>ORD0666</t>
  </si>
  <si>
    <t>ORD0667</t>
  </si>
  <si>
    <t>ORD0668</t>
  </si>
  <si>
    <t>ORD0669</t>
  </si>
  <si>
    <t>ORD0670</t>
  </si>
  <si>
    <t>ORD0671</t>
  </si>
  <si>
    <t>ORD0672</t>
  </si>
  <si>
    <t>ORD0673</t>
  </si>
  <si>
    <t>ORD0674</t>
  </si>
  <si>
    <t>ORD0675</t>
  </si>
  <si>
    <t>ORD0676</t>
  </si>
  <si>
    <t>ORD0677</t>
  </si>
  <si>
    <t>ORD0678</t>
  </si>
  <si>
    <t>ORD0679</t>
  </si>
  <si>
    <t>ORD0680</t>
  </si>
  <si>
    <t>ORD0681</t>
  </si>
  <si>
    <t>ORD0682</t>
  </si>
  <si>
    <t>ORD0683</t>
  </si>
  <si>
    <t>ORD0684</t>
  </si>
  <si>
    <t>ORD0685</t>
  </si>
  <si>
    <t>ORD0686</t>
  </si>
  <si>
    <t>ORD0687</t>
  </si>
  <si>
    <t>ORD0688</t>
  </si>
  <si>
    <t>ORD0689</t>
  </si>
  <si>
    <t>ORD0690</t>
  </si>
  <si>
    <t>ORD0691</t>
  </si>
  <si>
    <t>ORD0692</t>
  </si>
  <si>
    <t>ORD0693</t>
  </si>
  <si>
    <t>ORD0694</t>
  </si>
  <si>
    <t>ORD0695</t>
  </si>
  <si>
    <t>ORD0696</t>
  </si>
  <si>
    <t>ORD0697</t>
  </si>
  <si>
    <t>ORD0698</t>
  </si>
  <si>
    <t>ORD0699</t>
  </si>
  <si>
    <t>ORD0700</t>
  </si>
  <si>
    <t>ORD0701</t>
  </si>
  <si>
    <t>ORD0702</t>
  </si>
  <si>
    <t>ORD0703</t>
  </si>
  <si>
    <t>ORD0704</t>
  </si>
  <si>
    <t>ORD0705</t>
  </si>
  <si>
    <t>ORD0706</t>
  </si>
  <si>
    <t>ORD0707</t>
  </si>
  <si>
    <t>ORD0708</t>
  </si>
  <si>
    <t>ORD0709</t>
  </si>
  <si>
    <t>ORD0710</t>
  </si>
  <si>
    <t>ORD0711</t>
  </si>
  <si>
    <t>ORD0712</t>
  </si>
  <si>
    <t>ORD0713</t>
  </si>
  <si>
    <t>ORD0714</t>
  </si>
  <si>
    <t>ORD0715</t>
  </si>
  <si>
    <t>ORD0716</t>
  </si>
  <si>
    <t>ORD0717</t>
  </si>
  <si>
    <t>ORD0718</t>
  </si>
  <si>
    <t>ORD0719</t>
  </si>
  <si>
    <t>ORD0720</t>
  </si>
  <si>
    <t>ORD0721</t>
  </si>
  <si>
    <t>ORD0722</t>
  </si>
  <si>
    <t>ORD0723</t>
  </si>
  <si>
    <t>ORD0724</t>
  </si>
  <si>
    <t>ORD0725</t>
  </si>
  <si>
    <t>ORD0726</t>
  </si>
  <si>
    <t>ORD0727</t>
  </si>
  <si>
    <t>ORD0728</t>
  </si>
  <si>
    <t>ORD0729</t>
  </si>
  <si>
    <t>ORD0730</t>
  </si>
  <si>
    <t>ORD0731</t>
  </si>
  <si>
    <t>ORD0732</t>
  </si>
  <si>
    <t>ORD0733</t>
  </si>
  <si>
    <t>ORD0734</t>
  </si>
  <si>
    <t>ORD0735</t>
  </si>
  <si>
    <t>ORD0736</t>
  </si>
  <si>
    <t>ORD0737</t>
  </si>
  <si>
    <t>ORD0738</t>
  </si>
  <si>
    <t>ORD0739</t>
  </si>
  <si>
    <t>ORD0740</t>
  </si>
  <si>
    <t>ORD0741</t>
  </si>
  <si>
    <t>ORD0742</t>
  </si>
  <si>
    <t>ORD0743</t>
  </si>
  <si>
    <t>ORD0744</t>
  </si>
  <si>
    <t>ORD0745</t>
  </si>
  <si>
    <t>ORD0746</t>
  </si>
  <si>
    <t>ORD0747</t>
  </si>
  <si>
    <t>ORD0748</t>
  </si>
  <si>
    <t>ORD0749</t>
  </si>
  <si>
    <t>ORD0750</t>
  </si>
  <si>
    <t>ORD0751</t>
  </si>
  <si>
    <t>ORD0752</t>
  </si>
  <si>
    <t>ORD0753</t>
  </si>
  <si>
    <t>ORD0754</t>
  </si>
  <si>
    <t>ORD0755</t>
  </si>
  <si>
    <t>ORD0756</t>
  </si>
  <si>
    <t>ORD0757</t>
  </si>
  <si>
    <t>ORD0758</t>
  </si>
  <si>
    <t>ORD0759</t>
  </si>
  <si>
    <t>ORD0760</t>
  </si>
  <si>
    <t>ORD0761</t>
  </si>
  <si>
    <t>ORD0762</t>
  </si>
  <si>
    <t>ORD0763</t>
  </si>
  <si>
    <t>ORD0764</t>
  </si>
  <si>
    <t>ORD0765</t>
  </si>
  <si>
    <t>ORD0766</t>
  </si>
  <si>
    <t>ORD0767</t>
  </si>
  <si>
    <t>ORD0768</t>
  </si>
  <si>
    <t>ORD0769</t>
  </si>
  <si>
    <t>ORD0770</t>
  </si>
  <si>
    <t>ORD0771</t>
  </si>
  <si>
    <t>ORD0772</t>
  </si>
  <si>
    <t>ORD0773</t>
  </si>
  <si>
    <t>ORD0774</t>
  </si>
  <si>
    <t>ORD0775</t>
  </si>
  <si>
    <t>ORD0776</t>
  </si>
  <si>
    <t>ORD0777</t>
  </si>
  <si>
    <t>ORD0778</t>
  </si>
  <si>
    <t>ORD0779</t>
  </si>
  <si>
    <t>ORD0780</t>
  </si>
  <si>
    <t>ORD0781</t>
  </si>
  <si>
    <t>ORD0782</t>
  </si>
  <si>
    <t>ORD0783</t>
  </si>
  <si>
    <t>ORD0784</t>
  </si>
  <si>
    <t>ORD0785</t>
  </si>
  <si>
    <t>ORD0786</t>
  </si>
  <si>
    <t>ORD0787</t>
  </si>
  <si>
    <t>ORD0788</t>
  </si>
  <si>
    <t>ORD0789</t>
  </si>
  <si>
    <t>ORD0790</t>
  </si>
  <si>
    <t>ORD0791</t>
  </si>
  <si>
    <t>ORD0792</t>
  </si>
  <si>
    <t>ORD0793</t>
  </si>
  <si>
    <t>ORD0794</t>
  </si>
  <si>
    <t>ORD0795</t>
  </si>
  <si>
    <t>ORD0796</t>
  </si>
  <si>
    <t>ORD0797</t>
  </si>
  <si>
    <t>ORD0798</t>
  </si>
  <si>
    <t>ORD0799</t>
  </si>
  <si>
    <t>ORD0800</t>
  </si>
  <si>
    <t>ORD0801</t>
  </si>
  <si>
    <t>ORD0802</t>
  </si>
  <si>
    <t>ORD0803</t>
  </si>
  <si>
    <t>ORD0804</t>
  </si>
  <si>
    <t>ORD0805</t>
  </si>
  <si>
    <t>ORD0806</t>
  </si>
  <si>
    <t>ORD0807</t>
  </si>
  <si>
    <t>ORD0808</t>
  </si>
  <si>
    <t>ORD0809</t>
  </si>
  <si>
    <t>ORD0810</t>
  </si>
  <si>
    <t>ORD0811</t>
  </si>
  <si>
    <t>ORD0812</t>
  </si>
  <si>
    <t>ORD0813</t>
  </si>
  <si>
    <t>ORD0814</t>
  </si>
  <si>
    <t>ORD0815</t>
  </si>
  <si>
    <t>ORD0816</t>
  </si>
  <si>
    <t>ORD0817</t>
  </si>
  <si>
    <t>ORD0818</t>
  </si>
  <si>
    <t>ORD0819</t>
  </si>
  <si>
    <t>ORD0820</t>
  </si>
  <si>
    <t>ORD0821</t>
  </si>
  <si>
    <t>ORD0822</t>
  </si>
  <si>
    <t>ORD0823</t>
  </si>
  <si>
    <t>ORD0824</t>
  </si>
  <si>
    <t>ORD0825</t>
  </si>
  <si>
    <t>ORD0826</t>
  </si>
  <si>
    <t>ORD0827</t>
  </si>
  <si>
    <t>ORD0828</t>
  </si>
  <si>
    <t>ORD0829</t>
  </si>
  <si>
    <t>ORD0830</t>
  </si>
  <si>
    <t>ORD0831</t>
  </si>
  <si>
    <t>ORD0832</t>
  </si>
  <si>
    <t>ORD0833</t>
  </si>
  <si>
    <t>ORD0834</t>
  </si>
  <si>
    <t>ORD0835</t>
  </si>
  <si>
    <t>ORD0836</t>
  </si>
  <si>
    <t>ORD0837</t>
  </si>
  <si>
    <t>ORD0838</t>
  </si>
  <si>
    <t>ORD0839</t>
  </si>
  <si>
    <t>ORD0840</t>
  </si>
  <si>
    <t>ORD0841</t>
  </si>
  <si>
    <t>ORD0842</t>
  </si>
  <si>
    <t>ORD0843</t>
  </si>
  <si>
    <t>ORD0844</t>
  </si>
  <si>
    <t>ORD0845</t>
  </si>
  <si>
    <t>ORD0846</t>
  </si>
  <si>
    <t>ORD0847</t>
  </si>
  <si>
    <t>ORD0848</t>
  </si>
  <si>
    <t>ORD0849</t>
  </si>
  <si>
    <t>ORD0850</t>
  </si>
  <si>
    <t>ORD0851</t>
  </si>
  <si>
    <t>ORD0852</t>
  </si>
  <si>
    <t>ORD0853</t>
  </si>
  <si>
    <t>ORD0854</t>
  </si>
  <si>
    <t>ORD0855</t>
  </si>
  <si>
    <t>ORD0856</t>
  </si>
  <si>
    <t>ORD0857</t>
  </si>
  <si>
    <t>ORD0858</t>
  </si>
  <si>
    <t>ORD0859</t>
  </si>
  <si>
    <t>ORD0860</t>
  </si>
  <si>
    <t>ORD0861</t>
  </si>
  <si>
    <t>ORD0862</t>
  </si>
  <si>
    <t>ORD0863</t>
  </si>
  <si>
    <t>ORD0864</t>
  </si>
  <si>
    <t>ORD0865</t>
  </si>
  <si>
    <t>ORD0866</t>
  </si>
  <si>
    <t>ORD0867</t>
  </si>
  <si>
    <t>ORD0868</t>
  </si>
  <si>
    <t>ORD0869</t>
  </si>
  <si>
    <t>ORD0870</t>
  </si>
  <si>
    <t>ORD0871</t>
  </si>
  <si>
    <t>ORD0872</t>
  </si>
  <si>
    <t>ORD0873</t>
  </si>
  <si>
    <t>ORD0874</t>
  </si>
  <si>
    <t>ORD0875</t>
  </si>
  <si>
    <t>ORD0876</t>
  </si>
  <si>
    <t>ORD0877</t>
  </si>
  <si>
    <t>ORD0878</t>
  </si>
  <si>
    <t>ORD0879</t>
  </si>
  <si>
    <t>ORD0880</t>
  </si>
  <si>
    <t>ORD0881</t>
  </si>
  <si>
    <t>ORD0882</t>
  </si>
  <si>
    <t>ORD0883</t>
  </si>
  <si>
    <t>ORD0884</t>
  </si>
  <si>
    <t>ORD0885</t>
  </si>
  <si>
    <t>ORD0886</t>
  </si>
  <si>
    <t>ORD0887</t>
  </si>
  <si>
    <t>ORD0888</t>
  </si>
  <si>
    <t>ORD0889</t>
  </si>
  <si>
    <t>ORD0890</t>
  </si>
  <si>
    <t>ORD0891</t>
  </si>
  <si>
    <t>ORD0892</t>
  </si>
  <si>
    <t>ORD0893</t>
  </si>
  <si>
    <t>ORD0894</t>
  </si>
  <si>
    <t>ORD0895</t>
  </si>
  <si>
    <t>ORD0896</t>
  </si>
  <si>
    <t>ORD0897</t>
  </si>
  <si>
    <t>ORD0898</t>
  </si>
  <si>
    <t>ORD0899</t>
  </si>
  <si>
    <t>ORD0900</t>
  </si>
  <si>
    <t>ORD0901</t>
  </si>
  <si>
    <t>ORD0902</t>
  </si>
  <si>
    <t>ORD0903</t>
  </si>
  <si>
    <t>ORD0904</t>
  </si>
  <si>
    <t>ORD0905</t>
  </si>
  <si>
    <t>ORD0906</t>
  </si>
  <si>
    <t>ORD0907</t>
  </si>
  <si>
    <t>ORD0908</t>
  </si>
  <si>
    <t>ORD0909</t>
  </si>
  <si>
    <t>ORD0910</t>
  </si>
  <si>
    <t>ORD0911</t>
  </si>
  <si>
    <t>ORD0912</t>
  </si>
  <si>
    <t>ORD0913</t>
  </si>
  <si>
    <t>ORD0914</t>
  </si>
  <si>
    <t>ORD0915</t>
  </si>
  <si>
    <t>ORD0916</t>
  </si>
  <si>
    <t>ORD0917</t>
  </si>
  <si>
    <t>ORD0918</t>
  </si>
  <si>
    <t>ORD0919</t>
  </si>
  <si>
    <t>ORD0920</t>
  </si>
  <si>
    <t>ORD0921</t>
  </si>
  <si>
    <t>ORD0922</t>
  </si>
  <si>
    <t>ORD0923</t>
  </si>
  <si>
    <t>ORD0924</t>
  </si>
  <si>
    <t>ORD0925</t>
  </si>
  <si>
    <t>ORD0926</t>
  </si>
  <si>
    <t>ORD0927</t>
  </si>
  <si>
    <t>ORD0928</t>
  </si>
  <si>
    <t>ORD0929</t>
  </si>
  <si>
    <t>ORD0930</t>
  </si>
  <si>
    <t>ORD0931</t>
  </si>
  <si>
    <t>ORD0932</t>
  </si>
  <si>
    <t>ORD0933</t>
  </si>
  <si>
    <t>ORD0934</t>
  </si>
  <si>
    <t>ORD0935</t>
  </si>
  <si>
    <t>ORD0936</t>
  </si>
  <si>
    <t>ORD0937</t>
  </si>
  <si>
    <t>ORD0938</t>
  </si>
  <si>
    <t>ORD0939</t>
  </si>
  <si>
    <t>ORD0940</t>
  </si>
  <si>
    <t>ORD0941</t>
  </si>
  <si>
    <t>ORD0942</t>
  </si>
  <si>
    <t>ORD0943</t>
  </si>
  <si>
    <t>ORD0944</t>
  </si>
  <si>
    <t>ORD0945</t>
  </si>
  <si>
    <t>ORD0946</t>
  </si>
  <si>
    <t>ORD0947</t>
  </si>
  <si>
    <t>ORD0948</t>
  </si>
  <si>
    <t>ORD0949</t>
  </si>
  <si>
    <t>ORD0950</t>
  </si>
  <si>
    <t>ORD0951</t>
  </si>
  <si>
    <t>ORD0952</t>
  </si>
  <si>
    <t>ORD0953</t>
  </si>
  <si>
    <t>ORD0954</t>
  </si>
  <si>
    <t>ORD0955</t>
  </si>
  <si>
    <t>ORD0956</t>
  </si>
  <si>
    <t>ORD0957</t>
  </si>
  <si>
    <t>ORD0958</t>
  </si>
  <si>
    <t>ORD0959</t>
  </si>
  <si>
    <t>ORD0960</t>
  </si>
  <si>
    <t>ORD0961</t>
  </si>
  <si>
    <t>ORD0962</t>
  </si>
  <si>
    <t>ORD0963</t>
  </si>
  <si>
    <t>ORD0964</t>
  </si>
  <si>
    <t>ORD0965</t>
  </si>
  <si>
    <t>ORD0966</t>
  </si>
  <si>
    <t>ORD0967</t>
  </si>
  <si>
    <t>ORD0968</t>
  </si>
  <si>
    <t>ORD0969</t>
  </si>
  <si>
    <t>ORD0970</t>
  </si>
  <si>
    <t>ORD0971</t>
  </si>
  <si>
    <t>ORD0972</t>
  </si>
  <si>
    <t>ORD0973</t>
  </si>
  <si>
    <t>ORD0974</t>
  </si>
  <si>
    <t>ORD0975</t>
  </si>
  <si>
    <t>ORD0976</t>
  </si>
  <si>
    <t>ORD0977</t>
  </si>
  <si>
    <t>ORD0978</t>
  </si>
  <si>
    <t>ORD0979</t>
  </si>
  <si>
    <t>ORD0980</t>
  </si>
  <si>
    <t>ORD0981</t>
  </si>
  <si>
    <t>ORD0982</t>
  </si>
  <si>
    <t>ORD0983</t>
  </si>
  <si>
    <t>ORD0984</t>
  </si>
  <si>
    <t>ORD0985</t>
  </si>
  <si>
    <t>ORD0986</t>
  </si>
  <si>
    <t>ORD0987</t>
  </si>
  <si>
    <t>ORD0988</t>
  </si>
  <si>
    <t>ORD0989</t>
  </si>
  <si>
    <t>ORD0990</t>
  </si>
  <si>
    <t>ORD0991</t>
  </si>
  <si>
    <t>ORD0992</t>
  </si>
  <si>
    <t>ORD0993</t>
  </si>
  <si>
    <t>ORD0994</t>
  </si>
  <si>
    <t>ORD0995</t>
  </si>
  <si>
    <t>ORD0996</t>
  </si>
  <si>
    <t>ORD0997</t>
  </si>
  <si>
    <t>ORD0998</t>
  </si>
  <si>
    <t>ORD0999</t>
  </si>
  <si>
    <t>ORD1000</t>
  </si>
  <si>
    <t>CUST0002</t>
  </si>
  <si>
    <t>CUST0003</t>
  </si>
  <si>
    <t>CUST0004</t>
  </si>
  <si>
    <t>CUST0005</t>
  </si>
  <si>
    <t>CUST0006</t>
  </si>
  <si>
    <t>CUST0007</t>
  </si>
  <si>
    <t>CUST0008</t>
  </si>
  <si>
    <t>CUST0009</t>
  </si>
  <si>
    <t>CUST0010</t>
  </si>
  <si>
    <t>CUST0011</t>
  </si>
  <si>
    <t>CUST0012</t>
  </si>
  <si>
    <t>CUST0013</t>
  </si>
  <si>
    <t>CUST0014</t>
  </si>
  <si>
    <t>CUST0015</t>
  </si>
  <si>
    <t>CUST0016</t>
  </si>
  <si>
    <t>CUST0017</t>
  </si>
  <si>
    <t>CUST0018</t>
  </si>
  <si>
    <t>CUST0019</t>
  </si>
  <si>
    <t>CUST0020</t>
  </si>
  <si>
    <t>CUST0021</t>
  </si>
  <si>
    <t>CUST0022</t>
  </si>
  <si>
    <t>CUST0023</t>
  </si>
  <si>
    <t>CUST0024</t>
  </si>
  <si>
    <t>CUST0025</t>
  </si>
  <si>
    <t>CUST0026</t>
  </si>
  <si>
    <t>CUST0027</t>
  </si>
  <si>
    <t>CUST0028</t>
  </si>
  <si>
    <t>CUST0029</t>
  </si>
  <si>
    <t>CUST0030</t>
  </si>
  <si>
    <t>CUST0031</t>
  </si>
  <si>
    <t>CUST0032</t>
  </si>
  <si>
    <t>CUST0033</t>
  </si>
  <si>
    <t>CUST0034</t>
  </si>
  <si>
    <t>CUST0035</t>
  </si>
  <si>
    <t>CUST0036</t>
  </si>
  <si>
    <t>CUST0037</t>
  </si>
  <si>
    <t>CUST0038</t>
  </si>
  <si>
    <t>CUST0039</t>
  </si>
  <si>
    <t>CUST0040</t>
  </si>
  <si>
    <t>CUST0041</t>
  </si>
  <si>
    <t>CUST0042</t>
  </si>
  <si>
    <t>CUST0043</t>
  </si>
  <si>
    <t>CUST0044</t>
  </si>
  <si>
    <t>CUST0045</t>
  </si>
  <si>
    <t>CUST0046</t>
  </si>
  <si>
    <t>CUST0047</t>
  </si>
  <si>
    <t>CUST0048</t>
  </si>
  <si>
    <t>CUST0049</t>
  </si>
  <si>
    <t>CUST0050</t>
  </si>
  <si>
    <t>CUST0051</t>
  </si>
  <si>
    <t>CUST0052</t>
  </si>
  <si>
    <t>CUST0053</t>
  </si>
  <si>
    <t>CUST0054</t>
  </si>
  <si>
    <t>CUST0055</t>
  </si>
  <si>
    <t>CUST0056</t>
  </si>
  <si>
    <t>CUST0057</t>
  </si>
  <si>
    <t>CUST0058</t>
  </si>
  <si>
    <t>CUST0059</t>
  </si>
  <si>
    <t>CUST0060</t>
  </si>
  <si>
    <t>CUST0061</t>
  </si>
  <si>
    <t>CUST0062</t>
  </si>
  <si>
    <t>CUST0063</t>
  </si>
  <si>
    <t>CUST0064</t>
  </si>
  <si>
    <t>CUST0065</t>
  </si>
  <si>
    <t>CUST0066</t>
  </si>
  <si>
    <t>CUST0067</t>
  </si>
  <si>
    <t>CUST0068</t>
  </si>
  <si>
    <t>CUST0069</t>
  </si>
  <si>
    <t>CUST0070</t>
  </si>
  <si>
    <t>CUST0071</t>
  </si>
  <si>
    <t>CUST0072</t>
  </si>
  <si>
    <t>CUST0073</t>
  </si>
  <si>
    <t>CUST0074</t>
  </si>
  <si>
    <t>CUST0075</t>
  </si>
  <si>
    <t>CUST0076</t>
  </si>
  <si>
    <t>CUST0077</t>
  </si>
  <si>
    <t>CUST0078</t>
  </si>
  <si>
    <t>CUST0079</t>
  </si>
  <si>
    <t>CUST0080</t>
  </si>
  <si>
    <t>CUST0081</t>
  </si>
  <si>
    <t>CUST0082</t>
  </si>
  <si>
    <t>CUST0083</t>
  </si>
  <si>
    <t>CUST0084</t>
  </si>
  <si>
    <t>CUST0085</t>
  </si>
  <si>
    <t>CUST0086</t>
  </si>
  <si>
    <t>CUST0087</t>
  </si>
  <si>
    <t>CUST0088</t>
  </si>
  <si>
    <t>CUST0089</t>
  </si>
  <si>
    <t>CUST0090</t>
  </si>
  <si>
    <t>CUST0091</t>
  </si>
  <si>
    <t>CUST0092</t>
  </si>
  <si>
    <t>CUST0093</t>
  </si>
  <si>
    <t>CUST0094</t>
  </si>
  <si>
    <t>CUST0095</t>
  </si>
  <si>
    <t>CUST0096</t>
  </si>
  <si>
    <t>CUST0097</t>
  </si>
  <si>
    <t>CUST0098</t>
  </si>
  <si>
    <t>CUST0099</t>
  </si>
  <si>
    <t>CUST0100</t>
  </si>
  <si>
    <t>CUST0101</t>
  </si>
  <si>
    <t>CUST0102</t>
  </si>
  <si>
    <t>CUST0103</t>
  </si>
  <si>
    <t>CUST0104</t>
  </si>
  <si>
    <t>CUST0105</t>
  </si>
  <si>
    <t>CUST0106</t>
  </si>
  <si>
    <t>CUST0107</t>
  </si>
  <si>
    <t>CUST0108</t>
  </si>
  <si>
    <t>CUST0109</t>
  </si>
  <si>
    <t>CUST0110</t>
  </si>
  <si>
    <t>CUST0111</t>
  </si>
  <si>
    <t>CUST0112</t>
  </si>
  <si>
    <t>CUST0113</t>
  </si>
  <si>
    <t>CUST0114</t>
  </si>
  <si>
    <t>CUST0115</t>
  </si>
  <si>
    <t>CUST0116</t>
  </si>
  <si>
    <t>CUST0117</t>
  </si>
  <si>
    <t>CUST0118</t>
  </si>
  <si>
    <t>CUST0119</t>
  </si>
  <si>
    <t>CUST0120</t>
  </si>
  <si>
    <t>CUST0121</t>
  </si>
  <si>
    <t>CUST0122</t>
  </si>
  <si>
    <t>CUST0123</t>
  </si>
  <si>
    <t>CUST0124</t>
  </si>
  <si>
    <t>CUST0125</t>
  </si>
  <si>
    <t>CUST0126</t>
  </si>
  <si>
    <t>CUST0127</t>
  </si>
  <si>
    <t>CUST0128</t>
  </si>
  <si>
    <t>CUST0129</t>
  </si>
  <si>
    <t>CUST0130</t>
  </si>
  <si>
    <t>CUST0131</t>
  </si>
  <si>
    <t>CUST0132</t>
  </si>
  <si>
    <t>CUST0133</t>
  </si>
  <si>
    <t>CUST0134</t>
  </si>
  <si>
    <t>CUST0135</t>
  </si>
  <si>
    <t>CUST0136</t>
  </si>
  <si>
    <t>CUST0137</t>
  </si>
  <si>
    <t>CUST0138</t>
  </si>
  <si>
    <t>CUST0139</t>
  </si>
  <si>
    <t>CUST0140</t>
  </si>
  <si>
    <t>CUST0141</t>
  </si>
  <si>
    <t>CUST0142</t>
  </si>
  <si>
    <t>CUST0143</t>
  </si>
  <si>
    <t>CUST0144</t>
  </si>
  <si>
    <t>CUST0145</t>
  </si>
  <si>
    <t>CUST0146</t>
  </si>
  <si>
    <t>CUST0147</t>
  </si>
  <si>
    <t>CUST0148</t>
  </si>
  <si>
    <t>CUST0149</t>
  </si>
  <si>
    <t>CUST0150</t>
  </si>
  <si>
    <t>CUST0151</t>
  </si>
  <si>
    <t>CUST0152</t>
  </si>
  <si>
    <t>CUST0153</t>
  </si>
  <si>
    <t>CUST0154</t>
  </si>
  <si>
    <t>CUST0155</t>
  </si>
  <si>
    <t>CUST0156</t>
  </si>
  <si>
    <t>CUST0157</t>
  </si>
  <si>
    <t>CUST0158</t>
  </si>
  <si>
    <t>CUST0159</t>
  </si>
  <si>
    <t>CUST0160</t>
  </si>
  <si>
    <t>CUST0161</t>
  </si>
  <si>
    <t>CUST0162</t>
  </si>
  <si>
    <t>CUST0163</t>
  </si>
  <si>
    <t>CUST0164</t>
  </si>
  <si>
    <t>CUST0165</t>
  </si>
  <si>
    <t>CUST0166</t>
  </si>
  <si>
    <t>CUST0167</t>
  </si>
  <si>
    <t>CUST0168</t>
  </si>
  <si>
    <t>CUST0169</t>
  </si>
  <si>
    <t>CUST0170</t>
  </si>
  <si>
    <t>CUST0171</t>
  </si>
  <si>
    <t>CUST0172</t>
  </si>
  <si>
    <t>CUST0173</t>
  </si>
  <si>
    <t>CUST0174</t>
  </si>
  <si>
    <t>CUST0175</t>
  </si>
  <si>
    <t>CUST0176</t>
  </si>
  <si>
    <t>CUST0177</t>
  </si>
  <si>
    <t>CUST0178</t>
  </si>
  <si>
    <t>CUST0179</t>
  </si>
  <si>
    <t>CUST0180</t>
  </si>
  <si>
    <t>CUST0181</t>
  </si>
  <si>
    <t>CUST0182</t>
  </si>
  <si>
    <t>CUST0183</t>
  </si>
  <si>
    <t>CUST0184</t>
  </si>
  <si>
    <t>CUST0185</t>
  </si>
  <si>
    <t>CUST0186</t>
  </si>
  <si>
    <t>CUST0187</t>
  </si>
  <si>
    <t>CUST0188</t>
  </si>
  <si>
    <t>CUST0189</t>
  </si>
  <si>
    <t>CUST0190</t>
  </si>
  <si>
    <t>CUST0191</t>
  </si>
  <si>
    <t>CUST0192</t>
  </si>
  <si>
    <t>CUST0193</t>
  </si>
  <si>
    <t>CUST0194</t>
  </si>
  <si>
    <t>CUST0195</t>
  </si>
  <si>
    <t>CUST0196</t>
  </si>
  <si>
    <t>CUST0197</t>
  </si>
  <si>
    <t>CUST0198</t>
  </si>
  <si>
    <t>CUST0199</t>
  </si>
  <si>
    <t>CUST0200</t>
  </si>
  <si>
    <t>CUST0201</t>
  </si>
  <si>
    <t>CUST0202</t>
  </si>
  <si>
    <t>CUST0203</t>
  </si>
  <si>
    <t>CUST0204</t>
  </si>
  <si>
    <t>CUST0205</t>
  </si>
  <si>
    <t>CUST0206</t>
  </si>
  <si>
    <t>CUST0207</t>
  </si>
  <si>
    <t>CUST0208</t>
  </si>
  <si>
    <t>CUST0209</t>
  </si>
  <si>
    <t>CUST0210</t>
  </si>
  <si>
    <t>CUST0211</t>
  </si>
  <si>
    <t>CUST0212</t>
  </si>
  <si>
    <t>CUST0213</t>
  </si>
  <si>
    <t>CUST0214</t>
  </si>
  <si>
    <t>CUST0215</t>
  </si>
  <si>
    <t>CUST0216</t>
  </si>
  <si>
    <t>CUST0217</t>
  </si>
  <si>
    <t>CUST0218</t>
  </si>
  <si>
    <t>CUST0219</t>
  </si>
  <si>
    <t>CUST0220</t>
  </si>
  <si>
    <t>CUST0221</t>
  </si>
  <si>
    <t>CUST0222</t>
  </si>
  <si>
    <t>CUST0223</t>
  </si>
  <si>
    <t>CUST0224</t>
  </si>
  <si>
    <t>CUST0225</t>
  </si>
  <si>
    <t>CUST0226</t>
  </si>
  <si>
    <t>CUST0227</t>
  </si>
  <si>
    <t>CUST0228</t>
  </si>
  <si>
    <t>CUST0229</t>
  </si>
  <si>
    <t>CUST0230</t>
  </si>
  <si>
    <t>CUST0231</t>
  </si>
  <si>
    <t>CUST0232</t>
  </si>
  <si>
    <t>CUST0233</t>
  </si>
  <si>
    <t>CUST0234</t>
  </si>
  <si>
    <t>CUST0235</t>
  </si>
  <si>
    <t>CUST0236</t>
  </si>
  <si>
    <t>CUST0237</t>
  </si>
  <si>
    <t>CUST0238</t>
  </si>
  <si>
    <t>CUST0239</t>
  </si>
  <si>
    <t>CUST0240</t>
  </si>
  <si>
    <t>CUST0241</t>
  </si>
  <si>
    <t>CUST0242</t>
  </si>
  <si>
    <t>CUST0243</t>
  </si>
  <si>
    <t>CUST0244</t>
  </si>
  <si>
    <t>CUST0245</t>
  </si>
  <si>
    <t>CUST0246</t>
  </si>
  <si>
    <t>CUST0247</t>
  </si>
  <si>
    <t>CUST0248</t>
  </si>
  <si>
    <t>CUST0249</t>
  </si>
  <si>
    <t>CUST0250</t>
  </si>
  <si>
    <t>CUST0251</t>
  </si>
  <si>
    <t>CUST0252</t>
  </si>
  <si>
    <t>CUST0253</t>
  </si>
  <si>
    <t>CUST0254</t>
  </si>
  <si>
    <t>CUST0255</t>
  </si>
  <si>
    <t>CUST0256</t>
  </si>
  <si>
    <t>CUST0257</t>
  </si>
  <si>
    <t>CUST0258</t>
  </si>
  <si>
    <t>CUST0259</t>
  </si>
  <si>
    <t>CUST0260</t>
  </si>
  <si>
    <t>CUST0261</t>
  </si>
  <si>
    <t>CUST0262</t>
  </si>
  <si>
    <t>CUST0263</t>
  </si>
  <si>
    <t>CUST0264</t>
  </si>
  <si>
    <t>CUST0265</t>
  </si>
  <si>
    <t>CUST0266</t>
  </si>
  <si>
    <t>CUST0267</t>
  </si>
  <si>
    <t>CUST0268</t>
  </si>
  <si>
    <t>CUST0269</t>
  </si>
  <si>
    <t>CUST0270</t>
  </si>
  <si>
    <t>CUST0271</t>
  </si>
  <si>
    <t>CUST0272</t>
  </si>
  <si>
    <t>CUST0273</t>
  </si>
  <si>
    <t>CUST0274</t>
  </si>
  <si>
    <t>CUST0275</t>
  </si>
  <si>
    <t>CUST0276</t>
  </si>
  <si>
    <t>CUST0277</t>
  </si>
  <si>
    <t>CUST0278</t>
  </si>
  <si>
    <t>CUST0279</t>
  </si>
  <si>
    <t>CUST0280</t>
  </si>
  <si>
    <t>CUST0281</t>
  </si>
  <si>
    <t>CUST0282</t>
  </si>
  <si>
    <t>CUST0283</t>
  </si>
  <si>
    <t>CUST0284</t>
  </si>
  <si>
    <t>CUST0285</t>
  </si>
  <si>
    <t>CUST0286</t>
  </si>
  <si>
    <t>CUST0287</t>
  </si>
  <si>
    <t>CUST0288</t>
  </si>
  <si>
    <t>CUST0289</t>
  </si>
  <si>
    <t>CUST0290</t>
  </si>
  <si>
    <t>CUST0291</t>
  </si>
  <si>
    <t>CUST0292</t>
  </si>
  <si>
    <t>CUST0293</t>
  </si>
  <si>
    <t>CUST0294</t>
  </si>
  <si>
    <t>CUST0295</t>
  </si>
  <si>
    <t>CUST0296</t>
  </si>
  <si>
    <t>CUST0297</t>
  </si>
  <si>
    <t>CUST0298</t>
  </si>
  <si>
    <t>CUST0299</t>
  </si>
  <si>
    <t>CUST0300</t>
  </si>
  <si>
    <t>CUST0301</t>
  </si>
  <si>
    <t>CUST0302</t>
  </si>
  <si>
    <t>CUST0303</t>
  </si>
  <si>
    <t>CUST0304</t>
  </si>
  <si>
    <t>CUST0305</t>
  </si>
  <si>
    <t>CUST0306</t>
  </si>
  <si>
    <t>CUST0307</t>
  </si>
  <si>
    <t>CUST0308</t>
  </si>
  <si>
    <t>CUST0309</t>
  </si>
  <si>
    <t>CUST0310</t>
  </si>
  <si>
    <t>CUST0311</t>
  </si>
  <si>
    <t>CUST0312</t>
  </si>
  <si>
    <t>CUST0313</t>
  </si>
  <si>
    <t>CUST0314</t>
  </si>
  <si>
    <t>CUST0315</t>
  </si>
  <si>
    <t>CUST0316</t>
  </si>
  <si>
    <t>CUST0317</t>
  </si>
  <si>
    <t>CUST0318</t>
  </si>
  <si>
    <t>CUST0319</t>
  </si>
  <si>
    <t>CUST0320</t>
  </si>
  <si>
    <t>CUST0321</t>
  </si>
  <si>
    <t>CUST0322</t>
  </si>
  <si>
    <t>CUST0323</t>
  </si>
  <si>
    <t>CUST0324</t>
  </si>
  <si>
    <t>CUST0325</t>
  </si>
  <si>
    <t>CUST0326</t>
  </si>
  <si>
    <t>CUST0327</t>
  </si>
  <si>
    <t>CUST0328</t>
  </si>
  <si>
    <t>CUST0329</t>
  </si>
  <si>
    <t>CUST0330</t>
  </si>
  <si>
    <t>CUST0331</t>
  </si>
  <si>
    <t>CUST0332</t>
  </si>
  <si>
    <t>CUST0333</t>
  </si>
  <si>
    <t>CUST0334</t>
  </si>
  <si>
    <t>CUST0335</t>
  </si>
  <si>
    <t>CUST0336</t>
  </si>
  <si>
    <t>CUST0337</t>
  </si>
  <si>
    <t>CUST0338</t>
  </si>
  <si>
    <t>CUST0339</t>
  </si>
  <si>
    <t>CUST0340</t>
  </si>
  <si>
    <t>CUST0341</t>
  </si>
  <si>
    <t>CUST0342</t>
  </si>
  <si>
    <t>CUST0343</t>
  </si>
  <si>
    <t>CUST0344</t>
  </si>
  <si>
    <t>CUST0345</t>
  </si>
  <si>
    <t>CUST0346</t>
  </si>
  <si>
    <t>CUST0347</t>
  </si>
  <si>
    <t>CUST0348</t>
  </si>
  <si>
    <t>CUST0349</t>
  </si>
  <si>
    <t>CUST0350</t>
  </si>
  <si>
    <t>CUST0351</t>
  </si>
  <si>
    <t>CUST0352</t>
  </si>
  <si>
    <t>CUST0353</t>
  </si>
  <si>
    <t>CUST0354</t>
  </si>
  <si>
    <t>CUST0355</t>
  </si>
  <si>
    <t>CUST0356</t>
  </si>
  <si>
    <t>CUST0357</t>
  </si>
  <si>
    <t>CUST0358</t>
  </si>
  <si>
    <t>CUST0359</t>
  </si>
  <si>
    <t>CUST0360</t>
  </si>
  <si>
    <t>CUST0361</t>
  </si>
  <si>
    <t>CUST0362</t>
  </si>
  <si>
    <t>CUST0363</t>
  </si>
  <si>
    <t>CUST0364</t>
  </si>
  <si>
    <t>CUST0365</t>
  </si>
  <si>
    <t>CUST0366</t>
  </si>
  <si>
    <t>CUST0367</t>
  </si>
  <si>
    <t>CUST0368</t>
  </si>
  <si>
    <t>CUST0369</t>
  </si>
  <si>
    <t>CUST0370</t>
  </si>
  <si>
    <t>CUST0371</t>
  </si>
  <si>
    <t>CUST0372</t>
  </si>
  <si>
    <t>CUST0373</t>
  </si>
  <si>
    <t>CUST0374</t>
  </si>
  <si>
    <t>CUST0375</t>
  </si>
  <si>
    <t>CUST0376</t>
  </si>
  <si>
    <t>CUST0377</t>
  </si>
  <si>
    <t>CUST0378</t>
  </si>
  <si>
    <t>CUST0379</t>
  </si>
  <si>
    <t>CUST0380</t>
  </si>
  <si>
    <t>CUST0381</t>
  </si>
  <si>
    <t>CUST0382</t>
  </si>
  <si>
    <t>CUST0383</t>
  </si>
  <si>
    <t>CUST0384</t>
  </si>
  <si>
    <t>CUST0385</t>
  </si>
  <si>
    <t>CUST0386</t>
  </si>
  <si>
    <t>CUST0387</t>
  </si>
  <si>
    <t>CUST0388</t>
  </si>
  <si>
    <t>CUST0389</t>
  </si>
  <si>
    <t>CUST0390</t>
  </si>
  <si>
    <t>CUST0391</t>
  </si>
  <si>
    <t>CUST0392</t>
  </si>
  <si>
    <t>CUST0393</t>
  </si>
  <si>
    <t>CUST0394</t>
  </si>
  <si>
    <t>CUST0395</t>
  </si>
  <si>
    <t>CUST0396</t>
  </si>
  <si>
    <t>CUST0397</t>
  </si>
  <si>
    <t>CUST0398</t>
  </si>
  <si>
    <t>CUST0399</t>
  </si>
  <si>
    <t>CUST0400</t>
  </si>
  <si>
    <t>CUST0401</t>
  </si>
  <si>
    <t>CUST0402</t>
  </si>
  <si>
    <t>CUST0403</t>
  </si>
  <si>
    <t>CUST0404</t>
  </si>
  <si>
    <t>CUST0405</t>
  </si>
  <si>
    <t>CUST0406</t>
  </si>
  <si>
    <t>CUST0407</t>
  </si>
  <si>
    <t>CUST0408</t>
  </si>
  <si>
    <t>CUST0409</t>
  </si>
  <si>
    <t>CUST0410</t>
  </si>
  <si>
    <t>CUST0411</t>
  </si>
  <si>
    <t>CUST0412</t>
  </si>
  <si>
    <t>CUST0413</t>
  </si>
  <si>
    <t>CUST0414</t>
  </si>
  <si>
    <t>CUST0415</t>
  </si>
  <si>
    <t>CUST0416</t>
  </si>
  <si>
    <t>CUST0417</t>
  </si>
  <si>
    <t>CUST0418</t>
  </si>
  <si>
    <t>CUST0419</t>
  </si>
  <si>
    <t>CUST0420</t>
  </si>
  <si>
    <t>CUST0421</t>
  </si>
  <si>
    <t>CUST0422</t>
  </si>
  <si>
    <t>CUST0423</t>
  </si>
  <si>
    <t>CUST0424</t>
  </si>
  <si>
    <t>CUST0425</t>
  </si>
  <si>
    <t>CUST0426</t>
  </si>
  <si>
    <t>CUST0427</t>
  </si>
  <si>
    <t>CUST0428</t>
  </si>
  <si>
    <t>CUST0429</t>
  </si>
  <si>
    <t>CUST0430</t>
  </si>
  <si>
    <t>CUST0431</t>
  </si>
  <si>
    <t>CUST0432</t>
  </si>
  <si>
    <t>CUST0433</t>
  </si>
  <si>
    <t>CUST0434</t>
  </si>
  <si>
    <t>CUST0435</t>
  </si>
  <si>
    <t>CUST0436</t>
  </si>
  <si>
    <t>CUST0437</t>
  </si>
  <si>
    <t>CUST0438</t>
  </si>
  <si>
    <t>CUST0439</t>
  </si>
  <si>
    <t>CUST0440</t>
  </si>
  <si>
    <t>CUST0441</t>
  </si>
  <si>
    <t>CUST0442</t>
  </si>
  <si>
    <t>CUST0443</t>
  </si>
  <si>
    <t>CUST0444</t>
  </si>
  <si>
    <t>CUST0445</t>
  </si>
  <si>
    <t>CUST0446</t>
  </si>
  <si>
    <t>CUST0447</t>
  </si>
  <si>
    <t>CUST0448</t>
  </si>
  <si>
    <t>CUST0449</t>
  </si>
  <si>
    <t>CUST0450</t>
  </si>
  <si>
    <t>CUST0451</t>
  </si>
  <si>
    <t>CUST0452</t>
  </si>
  <si>
    <t>CUST0453</t>
  </si>
  <si>
    <t>CUST0454</t>
  </si>
  <si>
    <t>CUST0455</t>
  </si>
  <si>
    <t>CUST0456</t>
  </si>
  <si>
    <t>CUST0457</t>
  </si>
  <si>
    <t>CUST0458</t>
  </si>
  <si>
    <t>CUST0459</t>
  </si>
  <si>
    <t>CUST0460</t>
  </si>
  <si>
    <t>CUST0461</t>
  </si>
  <si>
    <t>CUST0462</t>
  </si>
  <si>
    <t>CUST0463</t>
  </si>
  <si>
    <t>CUST0464</t>
  </si>
  <si>
    <t>CUST0465</t>
  </si>
  <si>
    <t>CUST0466</t>
  </si>
  <si>
    <t>CUST0467</t>
  </si>
  <si>
    <t>CUST0468</t>
  </si>
  <si>
    <t>CUST0469</t>
  </si>
  <si>
    <t>CUST0470</t>
  </si>
  <si>
    <t>CUST0471</t>
  </si>
  <si>
    <t>CUST0472</t>
  </si>
  <si>
    <t>CUST0473</t>
  </si>
  <si>
    <t>CUST0474</t>
  </si>
  <si>
    <t>CUST0475</t>
  </si>
  <si>
    <t>CUST0476</t>
  </si>
  <si>
    <t>CUST0477</t>
  </si>
  <si>
    <t>CUST0478</t>
  </si>
  <si>
    <t>CUST0479</t>
  </si>
  <si>
    <t>CUST0480</t>
  </si>
  <si>
    <t>CUST0481</t>
  </si>
  <si>
    <t>CUST0482</t>
  </si>
  <si>
    <t>CUST0483</t>
  </si>
  <si>
    <t>CUST0484</t>
  </si>
  <si>
    <t>CUST0485</t>
  </si>
  <si>
    <t>CUST0486</t>
  </si>
  <si>
    <t>CUST0487</t>
  </si>
  <si>
    <t>CUST0488</t>
  </si>
  <si>
    <t>CUST0489</t>
  </si>
  <si>
    <t>CUST0490</t>
  </si>
  <si>
    <t>CUST0491</t>
  </si>
  <si>
    <t>CUST0492</t>
  </si>
  <si>
    <t>CUST0493</t>
  </si>
  <si>
    <t>CUST0494</t>
  </si>
  <si>
    <t>CUST0495</t>
  </si>
  <si>
    <t>CUST0496</t>
  </si>
  <si>
    <t>CUST0497</t>
  </si>
  <si>
    <t>CUST0498</t>
  </si>
  <si>
    <t>CUST0499</t>
  </si>
  <si>
    <t>CUST0500</t>
  </si>
  <si>
    <t>CUST0501</t>
  </si>
  <si>
    <t>CUST0502</t>
  </si>
  <si>
    <t>CUST0503</t>
  </si>
  <si>
    <t>CUST0504</t>
  </si>
  <si>
    <t>CUST0505</t>
  </si>
  <si>
    <t>CUST0506</t>
  </si>
  <si>
    <t>CUST0507</t>
  </si>
  <si>
    <t>CUST0508</t>
  </si>
  <si>
    <t>CUST0509</t>
  </si>
  <si>
    <t>CUST0510</t>
  </si>
  <si>
    <t>CUST0511</t>
  </si>
  <si>
    <t>CUST0512</t>
  </si>
  <si>
    <t>CUST0513</t>
  </si>
  <si>
    <t>CUST0514</t>
  </si>
  <si>
    <t>CUST0515</t>
  </si>
  <si>
    <t>CUST0516</t>
  </si>
  <si>
    <t>CUST0517</t>
  </si>
  <si>
    <t>CUST0518</t>
  </si>
  <si>
    <t>CUST0519</t>
  </si>
  <si>
    <t>CUST0520</t>
  </si>
  <si>
    <t>CUST0521</t>
  </si>
  <si>
    <t>CUST0522</t>
  </si>
  <si>
    <t>CUST0523</t>
  </si>
  <si>
    <t>CUST0524</t>
  </si>
  <si>
    <t>CUST0525</t>
  </si>
  <si>
    <t>CUST0526</t>
  </si>
  <si>
    <t>CUST0527</t>
  </si>
  <si>
    <t>CUST0528</t>
  </si>
  <si>
    <t>CUST0529</t>
  </si>
  <si>
    <t>CUST0530</t>
  </si>
  <si>
    <t>CUST0531</t>
  </si>
  <si>
    <t>CUST0532</t>
  </si>
  <si>
    <t>CUST0533</t>
  </si>
  <si>
    <t>CUST0534</t>
  </si>
  <si>
    <t>CUST0535</t>
  </si>
  <si>
    <t>CUST0536</t>
  </si>
  <si>
    <t>CUST0537</t>
  </si>
  <si>
    <t>CUST0538</t>
  </si>
  <si>
    <t>CUST0539</t>
  </si>
  <si>
    <t>CUST0540</t>
  </si>
  <si>
    <t>CUST0541</t>
  </si>
  <si>
    <t>CUST0542</t>
  </si>
  <si>
    <t>CUST0543</t>
  </si>
  <si>
    <t>CUST0544</t>
  </si>
  <si>
    <t>CUST0545</t>
  </si>
  <si>
    <t>CUST0546</t>
  </si>
  <si>
    <t>CUST0547</t>
  </si>
  <si>
    <t>CUST0548</t>
  </si>
  <si>
    <t>CUST0549</t>
  </si>
  <si>
    <t>CUST0550</t>
  </si>
  <si>
    <t>CUST0551</t>
  </si>
  <si>
    <t>CUST0552</t>
  </si>
  <si>
    <t>CUST0553</t>
  </si>
  <si>
    <t>CUST0554</t>
  </si>
  <si>
    <t>CUST0555</t>
  </si>
  <si>
    <t>CUST0556</t>
  </si>
  <si>
    <t>CUST0557</t>
  </si>
  <si>
    <t>CUST0558</t>
  </si>
  <si>
    <t>CUST0559</t>
  </si>
  <si>
    <t>CUST0560</t>
  </si>
  <si>
    <t>CUST0561</t>
  </si>
  <si>
    <t>CUST0562</t>
  </si>
  <si>
    <t>CUST0563</t>
  </si>
  <si>
    <t>CUST0564</t>
  </si>
  <si>
    <t>CUST0565</t>
  </si>
  <si>
    <t>CUST0566</t>
  </si>
  <si>
    <t>CUST0567</t>
  </si>
  <si>
    <t>CUST0568</t>
  </si>
  <si>
    <t>CUST0569</t>
  </si>
  <si>
    <t>CUST0570</t>
  </si>
  <si>
    <t>CUST0571</t>
  </si>
  <si>
    <t>CUST0572</t>
  </si>
  <si>
    <t>CUST0573</t>
  </si>
  <si>
    <t>CUST0574</t>
  </si>
  <si>
    <t>CUST0575</t>
  </si>
  <si>
    <t>CUST0576</t>
  </si>
  <si>
    <t>CUST0577</t>
  </si>
  <si>
    <t>CUST0578</t>
  </si>
  <si>
    <t>CUST0579</t>
  </si>
  <si>
    <t>CUST0580</t>
  </si>
  <si>
    <t>CUST0581</t>
  </si>
  <si>
    <t>CUST0582</t>
  </si>
  <si>
    <t>CUST0583</t>
  </si>
  <si>
    <t>CUST0584</t>
  </si>
  <si>
    <t>CUST0585</t>
  </si>
  <si>
    <t>CUST0586</t>
  </si>
  <si>
    <t>CUST0587</t>
  </si>
  <si>
    <t>CUST0588</t>
  </si>
  <si>
    <t>CUST0589</t>
  </si>
  <si>
    <t>CUST0590</t>
  </si>
  <si>
    <t>CUST0591</t>
  </si>
  <si>
    <t>CUST0592</t>
  </si>
  <si>
    <t>CUST0593</t>
  </si>
  <si>
    <t>CUST0594</t>
  </si>
  <si>
    <t>CUST0595</t>
  </si>
  <si>
    <t>CUST0596</t>
  </si>
  <si>
    <t>CUST0597</t>
  </si>
  <si>
    <t>CUST0598</t>
  </si>
  <si>
    <t>CUST0599</t>
  </si>
  <si>
    <t>CUST0600</t>
  </si>
  <si>
    <t>CUST0601</t>
  </si>
  <si>
    <t>CUST0602</t>
  </si>
  <si>
    <t>CUST0603</t>
  </si>
  <si>
    <t>CUST0604</t>
  </si>
  <si>
    <t>CUST0605</t>
  </si>
  <si>
    <t>CUST0606</t>
  </si>
  <si>
    <t>CUST0607</t>
  </si>
  <si>
    <t>CUST0608</t>
  </si>
  <si>
    <t>CUST0609</t>
  </si>
  <si>
    <t>CUST0610</t>
  </si>
  <si>
    <t>CUST0611</t>
  </si>
  <si>
    <t>CUST0612</t>
  </si>
  <si>
    <t>CUST0613</t>
  </si>
  <si>
    <t>CUST0614</t>
  </si>
  <si>
    <t>CUST0615</t>
  </si>
  <si>
    <t>CUST0616</t>
  </si>
  <si>
    <t>CUST0617</t>
  </si>
  <si>
    <t>CUST0618</t>
  </si>
  <si>
    <t>CUST0619</t>
  </si>
  <si>
    <t>CUST0620</t>
  </si>
  <si>
    <t>CUST0621</t>
  </si>
  <si>
    <t>CUST0622</t>
  </si>
  <si>
    <t>CUST0623</t>
  </si>
  <si>
    <t>CUST0624</t>
  </si>
  <si>
    <t>CUST0625</t>
  </si>
  <si>
    <t>CUST0626</t>
  </si>
  <si>
    <t>CUST0627</t>
  </si>
  <si>
    <t>CUST0628</t>
  </si>
  <si>
    <t>CUST0629</t>
  </si>
  <si>
    <t>CUST0630</t>
  </si>
  <si>
    <t>CUST0631</t>
  </si>
  <si>
    <t>CUST0632</t>
  </si>
  <si>
    <t>CUST0633</t>
  </si>
  <si>
    <t>CUST0634</t>
  </si>
  <si>
    <t>CUST0635</t>
  </si>
  <si>
    <t>CUST0636</t>
  </si>
  <si>
    <t>CUST0637</t>
  </si>
  <si>
    <t>CUST0638</t>
  </si>
  <si>
    <t>CUST0639</t>
  </si>
  <si>
    <t>CUST0640</t>
  </si>
  <si>
    <t>CUST0641</t>
  </si>
  <si>
    <t>CUST0642</t>
  </si>
  <si>
    <t>CUST0643</t>
  </si>
  <si>
    <t>CUST0644</t>
  </si>
  <si>
    <t>CUST0645</t>
  </si>
  <si>
    <t>CUST0646</t>
  </si>
  <si>
    <t>CUST0647</t>
  </si>
  <si>
    <t>CUST0648</t>
  </si>
  <si>
    <t>CUST0649</t>
  </si>
  <si>
    <t>CUST0650</t>
  </si>
  <si>
    <t>CUST0651</t>
  </si>
  <si>
    <t>CUST0652</t>
  </si>
  <si>
    <t>CUST0653</t>
  </si>
  <si>
    <t>CUST0654</t>
  </si>
  <si>
    <t>CUST0655</t>
  </si>
  <si>
    <t>CUST0656</t>
  </si>
  <si>
    <t>CUST0657</t>
  </si>
  <si>
    <t>CUST0658</t>
  </si>
  <si>
    <t>CUST0659</t>
  </si>
  <si>
    <t>CUST0660</t>
  </si>
  <si>
    <t>CUST0661</t>
  </si>
  <si>
    <t>CUST0662</t>
  </si>
  <si>
    <t>CUST0663</t>
  </si>
  <si>
    <t>CUST0664</t>
  </si>
  <si>
    <t>CUST0665</t>
  </si>
  <si>
    <t>CUST0666</t>
  </si>
  <si>
    <t>CUST0667</t>
  </si>
  <si>
    <t>CUST0668</t>
  </si>
  <si>
    <t>CUST0669</t>
  </si>
  <si>
    <t>CUST0670</t>
  </si>
  <si>
    <t>CUST0671</t>
  </si>
  <si>
    <t>CUST0672</t>
  </si>
  <si>
    <t>CUST0673</t>
  </si>
  <si>
    <t>CUST0674</t>
  </si>
  <si>
    <t>CUST0675</t>
  </si>
  <si>
    <t>CUST0676</t>
  </si>
  <si>
    <t>CUST0677</t>
  </si>
  <si>
    <t>CUST0678</t>
  </si>
  <si>
    <t>CUST0679</t>
  </si>
  <si>
    <t>CUST0680</t>
  </si>
  <si>
    <t>CUST0681</t>
  </si>
  <si>
    <t>CUST0682</t>
  </si>
  <si>
    <t>CUST0683</t>
  </si>
  <si>
    <t>CUST0684</t>
  </si>
  <si>
    <t>CUST0685</t>
  </si>
  <si>
    <t>CUST0686</t>
  </si>
  <si>
    <t>CUST0687</t>
  </si>
  <si>
    <t>CUST0688</t>
  </si>
  <si>
    <t>CUST0689</t>
  </si>
  <si>
    <t>CUST0690</t>
  </si>
  <si>
    <t>CUST0691</t>
  </si>
  <si>
    <t>CUST0692</t>
  </si>
  <si>
    <t>CUST0693</t>
  </si>
  <si>
    <t>CUST0694</t>
  </si>
  <si>
    <t>CUST0695</t>
  </si>
  <si>
    <t>CUST0696</t>
  </si>
  <si>
    <t>CUST0697</t>
  </si>
  <si>
    <t>CUST0698</t>
  </si>
  <si>
    <t>CUST0699</t>
  </si>
  <si>
    <t>CUST0700</t>
  </si>
  <si>
    <t>CUST0701</t>
  </si>
  <si>
    <t>CUST0702</t>
  </si>
  <si>
    <t>CUST0703</t>
  </si>
  <si>
    <t>CUST0704</t>
  </si>
  <si>
    <t>CUST0705</t>
  </si>
  <si>
    <t>CUST0706</t>
  </si>
  <si>
    <t>CUST0707</t>
  </si>
  <si>
    <t>CUST0708</t>
  </si>
  <si>
    <t>CUST0709</t>
  </si>
  <si>
    <t>CUST0710</t>
  </si>
  <si>
    <t>CUST0711</t>
  </si>
  <si>
    <t>CUST0712</t>
  </si>
  <si>
    <t>CUST0713</t>
  </si>
  <si>
    <t>CUST0714</t>
  </si>
  <si>
    <t>CUST0715</t>
  </si>
  <si>
    <t>CUST0716</t>
  </si>
  <si>
    <t>CUST0717</t>
  </si>
  <si>
    <t>CUST0718</t>
  </si>
  <si>
    <t>CUST0719</t>
  </si>
  <si>
    <t>CUST0720</t>
  </si>
  <si>
    <t>CUST0721</t>
  </si>
  <si>
    <t>CUST0722</t>
  </si>
  <si>
    <t>CUST0723</t>
  </si>
  <si>
    <t>CUST0724</t>
  </si>
  <si>
    <t>CUST0725</t>
  </si>
  <si>
    <t>CUST0726</t>
  </si>
  <si>
    <t>CUST0727</t>
  </si>
  <si>
    <t>CUST0728</t>
  </si>
  <si>
    <t>CUST0729</t>
  </si>
  <si>
    <t>CUST0730</t>
  </si>
  <si>
    <t>CUST0731</t>
  </si>
  <si>
    <t>CUST0732</t>
  </si>
  <si>
    <t>CUST0733</t>
  </si>
  <si>
    <t>CUST0734</t>
  </si>
  <si>
    <t>CUST0735</t>
  </si>
  <si>
    <t>CUST0736</t>
  </si>
  <si>
    <t>CUST0737</t>
  </si>
  <si>
    <t>CUST0738</t>
  </si>
  <si>
    <t>CUST0739</t>
  </si>
  <si>
    <t>CUST0740</t>
  </si>
  <si>
    <t>CUST0741</t>
  </si>
  <si>
    <t>CUST0742</t>
  </si>
  <si>
    <t>CUST0743</t>
  </si>
  <si>
    <t>CUST0744</t>
  </si>
  <si>
    <t>CUST0745</t>
  </si>
  <si>
    <t>CUST0746</t>
  </si>
  <si>
    <t>CUST0747</t>
  </si>
  <si>
    <t>CUST0748</t>
  </si>
  <si>
    <t>CUST0749</t>
  </si>
  <si>
    <t>CUST0750</t>
  </si>
  <si>
    <t>CUST0751</t>
  </si>
  <si>
    <t>CUST0752</t>
  </si>
  <si>
    <t>CUST0753</t>
  </si>
  <si>
    <t>CUST0754</t>
  </si>
  <si>
    <t>CUST0755</t>
  </si>
  <si>
    <t>CUST0756</t>
  </si>
  <si>
    <t>CUST0757</t>
  </si>
  <si>
    <t>CUST0758</t>
  </si>
  <si>
    <t>CUST0759</t>
  </si>
  <si>
    <t>CUST0760</t>
  </si>
  <si>
    <t>CUST0761</t>
  </si>
  <si>
    <t>CUST0762</t>
  </si>
  <si>
    <t>CUST0763</t>
  </si>
  <si>
    <t>CUST0764</t>
  </si>
  <si>
    <t>CUST0765</t>
  </si>
  <si>
    <t>CUST0766</t>
  </si>
  <si>
    <t>CUST0767</t>
  </si>
  <si>
    <t>CUST0768</t>
  </si>
  <si>
    <t>CUST0769</t>
  </si>
  <si>
    <t>CUST0770</t>
  </si>
  <si>
    <t>CUST0771</t>
  </si>
  <si>
    <t>CUST0772</t>
  </si>
  <si>
    <t>CUST0773</t>
  </si>
  <si>
    <t>CUST0774</t>
  </si>
  <si>
    <t>CUST0775</t>
  </si>
  <si>
    <t>CUST0776</t>
  </si>
  <si>
    <t>CUST0777</t>
  </si>
  <si>
    <t>CUST0778</t>
  </si>
  <si>
    <t>CUST0779</t>
  </si>
  <si>
    <t>CUST0780</t>
  </si>
  <si>
    <t>CUST0781</t>
  </si>
  <si>
    <t>CUST0782</t>
  </si>
  <si>
    <t>CUST0783</t>
  </si>
  <si>
    <t>CUST0784</t>
  </si>
  <si>
    <t>CUST0785</t>
  </si>
  <si>
    <t>CUST0786</t>
  </si>
  <si>
    <t>CUST0787</t>
  </si>
  <si>
    <t>CUST0788</t>
  </si>
  <si>
    <t>CUST0789</t>
  </si>
  <si>
    <t>CUST0790</t>
  </si>
  <si>
    <t>CUST0791</t>
  </si>
  <si>
    <t>CUST0792</t>
  </si>
  <si>
    <t>CUST0793</t>
  </si>
  <si>
    <t>CUST0794</t>
  </si>
  <si>
    <t>CUST0795</t>
  </si>
  <si>
    <t>CUST0796</t>
  </si>
  <si>
    <t>CUST0797</t>
  </si>
  <si>
    <t>CUST0798</t>
  </si>
  <si>
    <t>CUST0799</t>
  </si>
  <si>
    <t>CUST0800</t>
  </si>
  <si>
    <t>CUST0801</t>
  </si>
  <si>
    <t>CUST0802</t>
  </si>
  <si>
    <t>CUST0803</t>
  </si>
  <si>
    <t>CUST0804</t>
  </si>
  <si>
    <t>CUST0805</t>
  </si>
  <si>
    <t>CUST0806</t>
  </si>
  <si>
    <t>CUST0807</t>
  </si>
  <si>
    <t>CUST0808</t>
  </si>
  <si>
    <t>CUST0809</t>
  </si>
  <si>
    <t>CUST0810</t>
  </si>
  <si>
    <t>CUST0811</t>
  </si>
  <si>
    <t>CUST0812</t>
  </si>
  <si>
    <t>CUST0813</t>
  </si>
  <si>
    <t>CUST0814</t>
  </si>
  <si>
    <t>CUST0815</t>
  </si>
  <si>
    <t>CUST0816</t>
  </si>
  <si>
    <t>CUST0817</t>
  </si>
  <si>
    <t>CUST0818</t>
  </si>
  <si>
    <t>CUST0819</t>
  </si>
  <si>
    <t>CUST0820</t>
  </si>
  <si>
    <t>CUST0821</t>
  </si>
  <si>
    <t>CUST0822</t>
  </si>
  <si>
    <t>CUST0823</t>
  </si>
  <si>
    <t>CUST0824</t>
  </si>
  <si>
    <t>CUST0825</t>
  </si>
  <si>
    <t>CUST0826</t>
  </si>
  <si>
    <t>CUST0827</t>
  </si>
  <si>
    <t>CUST0828</t>
  </si>
  <si>
    <t>CUST0829</t>
  </si>
  <si>
    <t>CUST0830</t>
  </si>
  <si>
    <t>CUST0831</t>
  </si>
  <si>
    <t>CUST0832</t>
  </si>
  <si>
    <t>CUST0833</t>
  </si>
  <si>
    <t>CUST0834</t>
  </si>
  <si>
    <t>CUST0835</t>
  </si>
  <si>
    <t>CUST0836</t>
  </si>
  <si>
    <t>CUST0837</t>
  </si>
  <si>
    <t>CUST0838</t>
  </si>
  <si>
    <t>CUST0839</t>
  </si>
  <si>
    <t>CUST0840</t>
  </si>
  <si>
    <t>CUST0841</t>
  </si>
  <si>
    <t>CUST0842</t>
  </si>
  <si>
    <t>CUST0843</t>
  </si>
  <si>
    <t>CUST0844</t>
  </si>
  <si>
    <t>CUST0845</t>
  </si>
  <si>
    <t>CUST0846</t>
  </si>
  <si>
    <t>CUST0847</t>
  </si>
  <si>
    <t>CUST0848</t>
  </si>
  <si>
    <t>CUST0849</t>
  </si>
  <si>
    <t>CUST0850</t>
  </si>
  <si>
    <t>CUST0851</t>
  </si>
  <si>
    <t>CUST0852</t>
  </si>
  <si>
    <t>CUST0853</t>
  </si>
  <si>
    <t>CUST0854</t>
  </si>
  <si>
    <t>CUST0855</t>
  </si>
  <si>
    <t>CUST0856</t>
  </si>
  <si>
    <t>CUST0857</t>
  </si>
  <si>
    <t>CUST0858</t>
  </si>
  <si>
    <t>CUST0859</t>
  </si>
  <si>
    <t>CUST0860</t>
  </si>
  <si>
    <t>CUST0861</t>
  </si>
  <si>
    <t>CUST0862</t>
  </si>
  <si>
    <t>CUST0863</t>
  </si>
  <si>
    <t>CUST0864</t>
  </si>
  <si>
    <t>CUST0865</t>
  </si>
  <si>
    <t>CUST0866</t>
  </si>
  <si>
    <t>CUST0867</t>
  </si>
  <si>
    <t>CUST0868</t>
  </si>
  <si>
    <t>CUST0869</t>
  </si>
  <si>
    <t>CUST0870</t>
  </si>
  <si>
    <t>CUST0871</t>
  </si>
  <si>
    <t>CUST0872</t>
  </si>
  <si>
    <t>CUST0873</t>
  </si>
  <si>
    <t>CUST0874</t>
  </si>
  <si>
    <t>CUST0875</t>
  </si>
  <si>
    <t>CUST0876</t>
  </si>
  <si>
    <t>CUST0877</t>
  </si>
  <si>
    <t>CUST0878</t>
  </si>
  <si>
    <t>CUST0879</t>
  </si>
  <si>
    <t>CUST0880</t>
  </si>
  <si>
    <t>CUST0881</t>
  </si>
  <si>
    <t>CUST0882</t>
  </si>
  <si>
    <t>CUST0883</t>
  </si>
  <si>
    <t>CUST0884</t>
  </si>
  <si>
    <t>CUST0885</t>
  </si>
  <si>
    <t>CUST0886</t>
  </si>
  <si>
    <t>CUST0887</t>
  </si>
  <si>
    <t>CUST0888</t>
  </si>
  <si>
    <t>CUST0889</t>
  </si>
  <si>
    <t>CUST0890</t>
  </si>
  <si>
    <t>CUST0891</t>
  </si>
  <si>
    <t>CUST0892</t>
  </si>
  <si>
    <t>CUST0893</t>
  </si>
  <si>
    <t>CUST0894</t>
  </si>
  <si>
    <t>CUST0895</t>
  </si>
  <si>
    <t>CUST0896</t>
  </si>
  <si>
    <t>CUST0897</t>
  </si>
  <si>
    <t>CUST0898</t>
  </si>
  <si>
    <t>CUST0899</t>
  </si>
  <si>
    <t>CUST0900</t>
  </si>
  <si>
    <t>CUST0901</t>
  </si>
  <si>
    <t>CUST0902</t>
  </si>
  <si>
    <t>CUST0903</t>
  </si>
  <si>
    <t>CUST0904</t>
  </si>
  <si>
    <t>CUST0905</t>
  </si>
  <si>
    <t>CUST0906</t>
  </si>
  <si>
    <t>CUST0907</t>
  </si>
  <si>
    <t>CUST0908</t>
  </si>
  <si>
    <t>CUST0909</t>
  </si>
  <si>
    <t>CUST0910</t>
  </si>
  <si>
    <t>CUST0911</t>
  </si>
  <si>
    <t>CUST0912</t>
  </si>
  <si>
    <t>CUST0913</t>
  </si>
  <si>
    <t>CUST0914</t>
  </si>
  <si>
    <t>CUST0915</t>
  </si>
  <si>
    <t>CUST0916</t>
  </si>
  <si>
    <t>CUST0917</t>
  </si>
  <si>
    <t>CUST0918</t>
  </si>
  <si>
    <t>CUST0919</t>
  </si>
  <si>
    <t>CUST0920</t>
  </si>
  <si>
    <t>CUST0921</t>
  </si>
  <si>
    <t>CUST0922</t>
  </si>
  <si>
    <t>CUST0923</t>
  </si>
  <si>
    <t>CUST0924</t>
  </si>
  <si>
    <t>CUST0925</t>
  </si>
  <si>
    <t>CUST0926</t>
  </si>
  <si>
    <t>CUST0927</t>
  </si>
  <si>
    <t>CUST0928</t>
  </si>
  <si>
    <t>CUST0929</t>
  </si>
  <si>
    <t>CUST0930</t>
  </si>
  <si>
    <t>CUST0931</t>
  </si>
  <si>
    <t>CUST0932</t>
  </si>
  <si>
    <t>CUST0933</t>
  </si>
  <si>
    <t>CUST0934</t>
  </si>
  <si>
    <t>CUST0935</t>
  </si>
  <si>
    <t>CUST0936</t>
  </si>
  <si>
    <t>CUST0937</t>
  </si>
  <si>
    <t>CUST0938</t>
  </si>
  <si>
    <t>CUST0939</t>
  </si>
  <si>
    <t>CUST0940</t>
  </si>
  <si>
    <t>CUST0941</t>
  </si>
  <si>
    <t>CUST0942</t>
  </si>
  <si>
    <t>CUST0943</t>
  </si>
  <si>
    <t>CUST0944</t>
  </si>
  <si>
    <t>CUST0945</t>
  </si>
  <si>
    <t>CUST0946</t>
  </si>
  <si>
    <t>CUST0947</t>
  </si>
  <si>
    <t>CUST0948</t>
  </si>
  <si>
    <t>CUST0949</t>
  </si>
  <si>
    <t>CUST0950</t>
  </si>
  <si>
    <t>CUST0951</t>
  </si>
  <si>
    <t>CUST0952</t>
  </si>
  <si>
    <t>CUST0953</t>
  </si>
  <si>
    <t>CUST0954</t>
  </si>
  <si>
    <t>CUST0955</t>
  </si>
  <si>
    <t>CUST0956</t>
  </si>
  <si>
    <t>CUST0957</t>
  </si>
  <si>
    <t>CUST0958</t>
  </si>
  <si>
    <t>CUST0959</t>
  </si>
  <si>
    <t>CUST0960</t>
  </si>
  <si>
    <t>CUST0961</t>
  </si>
  <si>
    <t>CUST0962</t>
  </si>
  <si>
    <t>CUST0963</t>
  </si>
  <si>
    <t>CUST0964</t>
  </si>
  <si>
    <t>CUST0965</t>
  </si>
  <si>
    <t>CUST0966</t>
  </si>
  <si>
    <t>CUST0967</t>
  </si>
  <si>
    <t>CUST0968</t>
  </si>
  <si>
    <t>CUST0969</t>
  </si>
  <si>
    <t>CUST0970</t>
  </si>
  <si>
    <t>CUST0971</t>
  </si>
  <si>
    <t>CUST0972</t>
  </si>
  <si>
    <t>CUST0973</t>
  </si>
  <si>
    <t>CUST0974</t>
  </si>
  <si>
    <t>CUST0975</t>
  </si>
  <si>
    <t>CUST0976</t>
  </si>
  <si>
    <t>CUST0977</t>
  </si>
  <si>
    <t>CUST0978</t>
  </si>
  <si>
    <t>CUST0979</t>
  </si>
  <si>
    <t>CUST0980</t>
  </si>
  <si>
    <t>CUST0981</t>
  </si>
  <si>
    <t>CUST0982</t>
  </si>
  <si>
    <t>CUST0983</t>
  </si>
  <si>
    <t>CUST0984</t>
  </si>
  <si>
    <t>CUST0985</t>
  </si>
  <si>
    <t>CUST0986</t>
  </si>
  <si>
    <t>CUST0987</t>
  </si>
  <si>
    <t>CUST0988</t>
  </si>
  <si>
    <t>CUST0989</t>
  </si>
  <si>
    <t>CUST0990</t>
  </si>
  <si>
    <t>CUST0991</t>
  </si>
  <si>
    <t>CUST0992</t>
  </si>
  <si>
    <t>CUST0993</t>
  </si>
  <si>
    <t>CUST0994</t>
  </si>
  <si>
    <t>CUST0995</t>
  </si>
  <si>
    <t>CUST0996</t>
  </si>
  <si>
    <t>CUST0997</t>
  </si>
  <si>
    <t>CUST0998</t>
  </si>
  <si>
    <t>CUST0999</t>
  </si>
  <si>
    <t>CUST1000</t>
  </si>
  <si>
    <t>Product Master</t>
  </si>
  <si>
    <t>Mysuru</t>
  </si>
  <si>
    <t>Mumbai</t>
  </si>
  <si>
    <t>Pune</t>
  </si>
  <si>
    <t>Chennai</t>
  </si>
  <si>
    <t>Coimbatore</t>
  </si>
  <si>
    <t>Hyderabad</t>
  </si>
  <si>
    <t>Warangal</t>
  </si>
  <si>
    <t>Ahmedabad</t>
  </si>
  <si>
    <t>Surat</t>
  </si>
  <si>
    <t>Location Master</t>
  </si>
  <si>
    <t>Customer Name</t>
  </si>
  <si>
    <t>Priya Patel</t>
  </si>
  <si>
    <t>Arjun Mehta</t>
  </si>
  <si>
    <t>Sneha Nair</t>
  </si>
  <si>
    <t>Vikram Singh</t>
  </si>
  <si>
    <t>Rohit Verma</t>
  </si>
  <si>
    <t>Karan Joshi</t>
  </si>
  <si>
    <t>Anjali Rao</t>
  </si>
  <si>
    <t>Amit Kumar</t>
  </si>
  <si>
    <t>Deepika Roy</t>
  </si>
  <si>
    <t>Nikhil Jain</t>
  </si>
  <si>
    <t>Aisha Khan</t>
  </si>
  <si>
    <t>Rohan Kulkarni</t>
  </si>
  <si>
    <t>Kavya Reddy</t>
  </si>
  <si>
    <t>Suresh Iyer</t>
  </si>
  <si>
    <t>Meera Shah</t>
  </si>
  <si>
    <t>Aditya Mishra</t>
  </si>
  <si>
    <t>Divya Menon</t>
  </si>
  <si>
    <t>Salesperson Master</t>
  </si>
  <si>
    <t>Payment Master</t>
  </si>
  <si>
    <t>Delivery Status Master</t>
  </si>
  <si>
    <t>Customer Master</t>
  </si>
  <si>
    <t>New Delhi</t>
  </si>
  <si>
    <t>Jaipur</t>
  </si>
  <si>
    <t>Kolkata</t>
  </si>
  <si>
    <t>Row Labels</t>
  </si>
  <si>
    <t>Grand Total</t>
  </si>
  <si>
    <t>2024</t>
  </si>
  <si>
    <t>2025</t>
  </si>
  <si>
    <t>Jan</t>
  </si>
  <si>
    <t>Feb</t>
  </si>
  <si>
    <t>Mar</t>
  </si>
  <si>
    <t>Apr</t>
  </si>
  <si>
    <t>May</t>
  </si>
  <si>
    <t>Jun</t>
  </si>
  <si>
    <t>Jul</t>
  </si>
  <si>
    <t>Aug</t>
  </si>
  <si>
    <t>Sep</t>
  </si>
  <si>
    <t>Oct</t>
  </si>
  <si>
    <t>Nov</t>
  </si>
  <si>
    <t>Dec</t>
  </si>
  <si>
    <t>Monthly Sales Trend</t>
  </si>
  <si>
    <t>Sales by Region</t>
  </si>
  <si>
    <t>Top Products by Sales</t>
  </si>
  <si>
    <t>Orders by Payment Mode</t>
  </si>
  <si>
    <t>(blank)</t>
  </si>
  <si>
    <t>Delivery Status Overview</t>
  </si>
  <si>
    <t>Total Sales</t>
  </si>
  <si>
    <t>Total Profit</t>
  </si>
  <si>
    <t>Total Orders</t>
  </si>
  <si>
    <t>Unique Customers</t>
  </si>
  <si>
    <t>Average Order Value</t>
  </si>
  <si>
    <t>Profit Margin</t>
  </si>
  <si>
    <t>RETAIL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</si>
</sst>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0"/>
    <numFmt numFmtId="169" formatCode="&quot;₹&quot;\ #,##0"/>
  </numFmts>
  <fonts count="9" x14ac:knownFonts="1">
    <font>
      <sz val="11"/>
      <color theme="1"/>
      <name val="Gill Sans MT"/>
      <family val="2"/>
      <scheme val="minor"/>
    </font>
    <font>
      <b/>
      <sz val="11"/>
      <color theme="0"/>
      <name val="Gill Sans MT"/>
      <family val="2"/>
      <scheme val="minor"/>
    </font>
    <font>
      <b/>
      <sz val="11"/>
      <color theme="1"/>
      <name val="Gill Sans MT"/>
      <family val="2"/>
      <scheme val="minor"/>
    </font>
    <font>
      <sz val="8"/>
      <name val="Gill Sans MT"/>
      <family val="2"/>
      <scheme val="minor"/>
    </font>
    <font>
      <sz val="11"/>
      <color theme="1"/>
      <name val="Gill Sans MT"/>
      <family val="2"/>
      <scheme val="minor"/>
    </font>
    <font>
      <b/>
      <sz val="24"/>
      <color theme="0"/>
      <name val="Aptos Display"/>
      <family val="2"/>
    </font>
    <font>
      <sz val="12"/>
      <color theme="1"/>
      <name val="Gill Sans MT"/>
      <family val="2"/>
      <scheme val="minor"/>
    </font>
    <font>
      <sz val="12"/>
      <color theme="0"/>
      <name val="Aptos"/>
      <family val="2"/>
    </font>
    <font>
      <b/>
      <sz val="8"/>
      <color theme="1"/>
      <name val="Aptos"/>
      <family val="2"/>
    </font>
  </fonts>
  <fills count="6">
    <fill>
      <patternFill patternType="none"/>
    </fill>
    <fill>
      <patternFill patternType="gray125"/>
    </fill>
    <fill>
      <patternFill patternType="solid">
        <fgColor theme="4" tint="-0.499984740745262"/>
        <bgColor indexed="64"/>
      </patternFill>
    </fill>
    <fill>
      <patternFill patternType="solid">
        <fgColor theme="0" tint="-4.9989318521683403E-2"/>
        <bgColor indexed="64"/>
      </patternFill>
    </fill>
    <fill>
      <patternFill patternType="solid">
        <fgColor theme="2"/>
        <bgColor indexed="64"/>
      </patternFill>
    </fill>
    <fill>
      <patternFill patternType="solid">
        <fgColor theme="5" tint="-0.499984740745262"/>
        <bgColor indexed="64"/>
      </patternFill>
    </fill>
  </fills>
  <borders count="1">
    <border>
      <left/>
      <right/>
      <top/>
      <bottom/>
      <diagonal/>
    </border>
  </borders>
  <cellStyleXfs count="2">
    <xf numFmtId="0" fontId="0" fillId="0" borderId="0"/>
    <xf numFmtId="9" fontId="4" fillId="0" borderId="0" applyFont="0" applyFill="0" applyBorder="0" applyAlignment="0" applyProtection="0"/>
  </cellStyleXfs>
  <cellXfs count="28">
    <xf numFmtId="0" fontId="0" fillId="0" borderId="0" xfId="0"/>
    <xf numFmtId="0" fontId="0" fillId="0" borderId="0" xfId="0" applyAlignment="1">
      <alignment vertical="center" wrapText="1"/>
    </xf>
    <xf numFmtId="0" fontId="1" fillId="2" borderId="0" xfId="0" applyFont="1" applyFill="1" applyAlignment="1">
      <alignment horizontal="center" vertical="center"/>
    </xf>
    <xf numFmtId="0" fontId="2" fillId="0" borderId="0" xfId="0" applyFont="1" applyAlignment="1">
      <alignment horizontal="center" vertical="center" wrapText="1"/>
    </xf>
    <xf numFmtId="0" fontId="0" fillId="0" borderId="0" xfId="0" applyAlignment="1">
      <alignment vertical="center"/>
    </xf>
    <xf numFmtId="0" fontId="2" fillId="0" borderId="0" xfId="0" applyFont="1" applyAlignment="1">
      <alignment vertical="center"/>
    </xf>
    <xf numFmtId="14" fontId="0" fillId="0" borderId="0" xfId="0" applyNumberFormat="1"/>
    <xf numFmtId="9" fontId="0" fillId="0" borderId="0" xfId="0" applyNumberFormat="1"/>
    <xf numFmtId="0" fontId="1" fillId="2" borderId="0" xfId="0" applyFont="1" applyFill="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9" fontId="0" fillId="0" borderId="0" xfId="1" applyFont="1"/>
    <xf numFmtId="164" fontId="0" fillId="0" borderId="0" xfId="0" applyNumberFormat="1"/>
    <xf numFmtId="0" fontId="0" fillId="3" borderId="0" xfId="0" applyFill="1"/>
    <xf numFmtId="0" fontId="1" fillId="2" borderId="0" xfId="0" applyFont="1" applyFill="1" applyAlignment="1">
      <alignment horizontal="center"/>
    </xf>
    <xf numFmtId="0" fontId="0" fillId="0" borderId="0" xfId="0" applyNumberFormat="1"/>
    <xf numFmtId="0" fontId="0" fillId="0" borderId="0" xfId="0" applyFont="1"/>
    <xf numFmtId="169" fontId="8" fillId="3" borderId="0" xfId="0" applyNumberFormat="1" applyFont="1" applyFill="1" applyAlignment="1">
      <alignment horizontal="center" vertical="center"/>
    </xf>
    <xf numFmtId="164" fontId="8" fillId="3" borderId="0" xfId="0" applyNumberFormat="1" applyFont="1" applyFill="1" applyAlignment="1">
      <alignment horizontal="center" vertical="center"/>
    </xf>
    <xf numFmtId="0" fontId="8" fillId="3" borderId="0" xfId="0" applyFont="1" applyFill="1" applyAlignment="1">
      <alignment horizontal="center" vertical="center"/>
    </xf>
    <xf numFmtId="9" fontId="8" fillId="3" borderId="0" xfId="1" applyFont="1" applyFill="1" applyAlignment="1">
      <alignment horizontal="center" vertical="center"/>
    </xf>
    <xf numFmtId="0" fontId="6" fillId="4" borderId="0" xfId="0" applyFont="1" applyFill="1"/>
    <xf numFmtId="0" fontId="0" fillId="4" borderId="0" xfId="0" applyFill="1"/>
    <xf numFmtId="0" fontId="7" fillId="4" borderId="0" xfId="0" applyFont="1" applyFill="1" applyAlignment="1">
      <alignment vertical="center"/>
    </xf>
    <xf numFmtId="0" fontId="0" fillId="4" borderId="0" xfId="0" applyFill="1" applyAlignment="1">
      <alignment vertical="center"/>
    </xf>
    <xf numFmtId="164" fontId="6" fillId="4" borderId="0" xfId="0" applyNumberFormat="1" applyFont="1" applyFill="1"/>
    <xf numFmtId="0" fontId="5" fillId="5" borderId="0" xfId="0" applyFont="1" applyFill="1" applyAlignment="1">
      <alignment horizontal="center" vertical="center"/>
    </xf>
  </cellXfs>
  <cellStyles count="2">
    <cellStyle name="Normal" xfId="0" builtinId="0"/>
    <cellStyle name="Per cent" xfId="1" builtinId="5"/>
  </cellStyles>
  <dxfs count="27">
    <dxf>
      <font>
        <sz val="20"/>
        <name val="Aptos"/>
        <family val="2"/>
        <scheme val="none"/>
      </font>
    </dxf>
    <dxf>
      <numFmt numFmtId="13" formatCode="0%"/>
    </dxf>
    <dxf>
      <numFmt numFmtId="19" formatCode="dd/mm/yyyy"/>
    </dxf>
    <dxf>
      <font>
        <b/>
        <i val="0"/>
        <strike val="0"/>
        <condense val="0"/>
        <extend val="0"/>
        <outline val="0"/>
        <shadow val="0"/>
        <u val="none"/>
        <vertAlign val="baseline"/>
        <sz val="11"/>
        <color theme="0"/>
        <name val="Gill Sans MT"/>
        <family val="2"/>
        <scheme val="minor"/>
      </font>
      <fill>
        <patternFill patternType="solid">
          <fgColor indexed="64"/>
          <bgColor theme="4" tint="-0.499984740745262"/>
        </patternFill>
      </fill>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Gill Sans MT"/>
        <family val="2"/>
        <scheme val="minor"/>
      </font>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Gill Sans MT"/>
        <family val="2"/>
        <scheme val="minor"/>
      </font>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Gill Sans MT"/>
        <family val="2"/>
        <scheme val="minor"/>
      </font>
      <alignment horizontal="general"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Gill Sans MT"/>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Gill Sans MT"/>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Gill Sans MT"/>
        <family val="2"/>
        <scheme val="minor"/>
      </font>
      <alignment horizontal="center" vertical="center" textRotation="0" wrapText="1" indent="0" justifyLastLine="0" shrinkToFit="0" readingOrder="0"/>
    </dxf>
  </dxfs>
  <tableStyles count="2" defaultTableStyle="TableStyleMedium2" defaultPivotStyle="PivotStyleLight16">
    <tableStyle name="Slicer Style 1" pivot="0" table="0" count="1" xr9:uid="{994D996C-2A9F-401A-B53C-07E57A0BC025}">
      <tableStyleElement type="wholeTable" dxfId="0"/>
    </tableStyle>
    <tableStyle name="Slicer Style 2" pivot="0" table="0" count="1" xr9:uid="{40861116-264F-4C4F-AF65-3D92C7FF2AC3}"/>
  </tableStyles>
  <extLst>
    <ext xmlns:x14="http://schemas.microsoft.com/office/spreadsheetml/2009/9/main" uri="{46F421CA-312F-682f-3DD2-61675219B42D}">
      <x14:dxfs count="1">
        <dxf>
          <font>
            <sz val="24"/>
          </font>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[Sales_Dashboard.xlsx]Pivot_Tables!PivotTable1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1">
                    <a:lumMod val="50000"/>
                  </a:schemeClr>
                </a:solidFill>
              </a:rPr>
              <a:t>Monthly Sales Trend</a:t>
            </a:r>
            <a:endParaRPr lang="en-IN"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Pivot_Tables!$C$6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Pivot_Tables!$B$7:$B$33</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Pivot_Tables!$C$7:$C$33</c:f>
              <c:numCache>
                <c:formatCode>General</c:formatCode>
                <c:ptCount val="24"/>
                <c:pt idx="0">
                  <c:v>5593132</c:v>
                </c:pt>
                <c:pt idx="1">
                  <c:v>3350172</c:v>
                </c:pt>
                <c:pt idx="2">
                  <c:v>3402220</c:v>
                </c:pt>
                <c:pt idx="3">
                  <c:v>2305327</c:v>
                </c:pt>
                <c:pt idx="4">
                  <c:v>3397558</c:v>
                </c:pt>
                <c:pt idx="5">
                  <c:v>2260094</c:v>
                </c:pt>
                <c:pt idx="6">
                  <c:v>2158203</c:v>
                </c:pt>
                <c:pt idx="7">
                  <c:v>3874829</c:v>
                </c:pt>
                <c:pt idx="8">
                  <c:v>2744081</c:v>
                </c:pt>
                <c:pt idx="9">
                  <c:v>2960059</c:v>
                </c:pt>
                <c:pt idx="10">
                  <c:v>2375530</c:v>
                </c:pt>
                <c:pt idx="11">
                  <c:v>2695781</c:v>
                </c:pt>
                <c:pt idx="12">
                  <c:v>3378138</c:v>
                </c:pt>
                <c:pt idx="13">
                  <c:v>2302418</c:v>
                </c:pt>
                <c:pt idx="14">
                  <c:v>4777733</c:v>
                </c:pt>
                <c:pt idx="15">
                  <c:v>3183946</c:v>
                </c:pt>
                <c:pt idx="16">
                  <c:v>4897998</c:v>
                </c:pt>
                <c:pt idx="17">
                  <c:v>3148808</c:v>
                </c:pt>
                <c:pt idx="18">
                  <c:v>4952051</c:v>
                </c:pt>
                <c:pt idx="19">
                  <c:v>4563119</c:v>
                </c:pt>
                <c:pt idx="20">
                  <c:v>2322231</c:v>
                </c:pt>
                <c:pt idx="21">
                  <c:v>3450598</c:v>
                </c:pt>
                <c:pt idx="22">
                  <c:v>3462216</c:v>
                </c:pt>
                <c:pt idx="23">
                  <c:v>2865543</c:v>
                </c:pt>
              </c:numCache>
            </c:numRef>
          </c:val>
          <c:smooth val="0"/>
          <c:extLst>
            <c:ext xmlns:c16="http://schemas.microsoft.com/office/drawing/2014/chart" uri="{C3380CC4-5D6E-409C-BE32-E72D297353CC}">
              <c16:uniqueId val="{00000000-24A0-42C7-A634-BF22F3F78F6A}"/>
            </c:ext>
          </c:extLst>
        </c:ser>
        <c:dLbls>
          <c:showLegendKey val="0"/>
          <c:showVal val="0"/>
          <c:showCatName val="0"/>
          <c:showSerName val="0"/>
          <c:showPercent val="0"/>
          <c:showBubbleSize val="0"/>
        </c:dLbls>
        <c:marker val="1"/>
        <c:smooth val="0"/>
        <c:axId val="2111158080"/>
        <c:axId val="2111158560"/>
      </c:lineChart>
      <c:catAx>
        <c:axId val="211115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158560"/>
        <c:crosses val="autoZero"/>
        <c:auto val="1"/>
        <c:lblAlgn val="ctr"/>
        <c:lblOffset val="100"/>
        <c:noMultiLvlLbl val="0"/>
      </c:catAx>
      <c:valAx>
        <c:axId val="2111158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15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[Sales_Dashboard.xlsx]Pivot_Tables!PivotTable3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1">
                    <a:lumMod val="50000"/>
                  </a:schemeClr>
                </a:solidFill>
              </a:rPr>
              <a:t>Sales by Region</a:t>
            </a:r>
            <a:endParaRPr lang="en-US"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Pivot_Tables!$F$6</c:f>
              <c:strCache>
                <c:ptCount val="1"/>
                <c:pt idx="0">
                  <c:v>Total</c:v>
                </c:pt>
              </c:strCache>
            </c:strRef>
          </c:tx>
          <c:spPr>
            <a:solidFill>
              <a:schemeClr val="accent1"/>
            </a:solidFill>
            <a:ln>
              <a:noFill/>
            </a:ln>
            <a:effectLst/>
          </c:spPr>
          <c:invertIfNegative val="0"/>
          <c:cat>
            <c:strRef>
              <c:f>Pivot_Tables!$E$7:$E$11</c:f>
              <c:strCache>
                <c:ptCount val="4"/>
                <c:pt idx="0">
                  <c:v>East</c:v>
                </c:pt>
                <c:pt idx="1">
                  <c:v>North</c:v>
                </c:pt>
                <c:pt idx="2">
                  <c:v>South</c:v>
                </c:pt>
                <c:pt idx="3">
                  <c:v>West</c:v>
                </c:pt>
              </c:strCache>
            </c:strRef>
          </c:cat>
          <c:val>
            <c:numRef>
              <c:f>Pivot_Tables!$F$7:$F$11</c:f>
              <c:numCache>
                <c:formatCode>General</c:formatCode>
                <c:ptCount val="4"/>
                <c:pt idx="0">
                  <c:v>6751252</c:v>
                </c:pt>
                <c:pt idx="1">
                  <c:v>15859044</c:v>
                </c:pt>
                <c:pt idx="2">
                  <c:v>34496386</c:v>
                </c:pt>
                <c:pt idx="3">
                  <c:v>23315103</c:v>
                </c:pt>
              </c:numCache>
            </c:numRef>
          </c:val>
          <c:extLst>
            <c:ext xmlns:c16="http://schemas.microsoft.com/office/drawing/2014/chart" uri="{C3380CC4-5D6E-409C-BE32-E72D297353CC}">
              <c16:uniqueId val="{00000000-15A0-400A-9611-11C05B9BD61E}"/>
            </c:ext>
          </c:extLst>
        </c:ser>
        <c:dLbls>
          <c:showLegendKey val="0"/>
          <c:showVal val="0"/>
          <c:showCatName val="0"/>
          <c:showSerName val="0"/>
          <c:showPercent val="0"/>
          <c:showBubbleSize val="0"/>
        </c:dLbls>
        <c:gapWidth val="219"/>
        <c:overlap val="-27"/>
        <c:axId val="2111186880"/>
        <c:axId val="2111187840"/>
      </c:barChart>
      <c:catAx>
        <c:axId val="211118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187840"/>
        <c:crosses val="autoZero"/>
        <c:auto val="1"/>
        <c:lblAlgn val="ctr"/>
        <c:lblOffset val="100"/>
        <c:noMultiLvlLbl val="0"/>
      </c:catAx>
      <c:valAx>
        <c:axId val="2111187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186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1">
                    <a:lumMod val="50000"/>
                  </a:schemeClr>
                </a:solidFill>
              </a:rPr>
              <a:t>Top Products by Sales</a:t>
            </a:r>
            <a:endParaRPr lang="en-US"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Pivot_Tables!$C$38</c:f>
              <c:strCache>
                <c:ptCount val="1"/>
                <c:pt idx="0">
                  <c:v>Total</c:v>
                </c:pt>
              </c:strCache>
            </c:strRef>
          </c:tx>
          <c:spPr>
            <a:solidFill>
              <a:schemeClr val="accent1"/>
            </a:solidFill>
            <a:ln>
              <a:noFill/>
            </a:ln>
            <a:effectLst/>
          </c:spPr>
          <c:invertIfNegative val="0"/>
          <c:cat>
            <c:strRef>
              <c:f>Pivot_Tables!$B$39:$B$49</c:f>
              <c:strCache>
                <c:ptCount val="10"/>
                <c:pt idx="0">
                  <c:v>Laptop</c:v>
                </c:pt>
                <c:pt idx="1">
                  <c:v>Smartphone</c:v>
                </c:pt>
                <c:pt idx="2">
                  <c:v>Tablet</c:v>
                </c:pt>
                <c:pt idx="3">
                  <c:v>Printer</c:v>
                </c:pt>
                <c:pt idx="4">
                  <c:v>Monitor</c:v>
                </c:pt>
                <c:pt idx="5">
                  <c:v>Smartwatch</c:v>
                </c:pt>
                <c:pt idx="6">
                  <c:v>Speaker</c:v>
                </c:pt>
                <c:pt idx="7">
                  <c:v>Headphones</c:v>
                </c:pt>
                <c:pt idx="8">
                  <c:v>Keyboard</c:v>
                </c:pt>
                <c:pt idx="9">
                  <c:v>Mouse</c:v>
                </c:pt>
              </c:strCache>
            </c:strRef>
          </c:cat>
          <c:val>
            <c:numRef>
              <c:f>Pivot_Tables!$C$39:$C$49</c:f>
              <c:numCache>
                <c:formatCode>General</c:formatCode>
                <c:ptCount val="10"/>
                <c:pt idx="0">
                  <c:v>28512900</c:v>
                </c:pt>
                <c:pt idx="1">
                  <c:v>15332100</c:v>
                </c:pt>
                <c:pt idx="2">
                  <c:v>11381500</c:v>
                </c:pt>
                <c:pt idx="3">
                  <c:v>7907550</c:v>
                </c:pt>
                <c:pt idx="4">
                  <c:v>6795540</c:v>
                </c:pt>
                <c:pt idx="5">
                  <c:v>5445840</c:v>
                </c:pt>
                <c:pt idx="6">
                  <c:v>2190250</c:v>
                </c:pt>
                <c:pt idx="7">
                  <c:v>1714380</c:v>
                </c:pt>
                <c:pt idx="8">
                  <c:v>759405</c:v>
                </c:pt>
                <c:pt idx="9">
                  <c:v>382320</c:v>
                </c:pt>
              </c:numCache>
            </c:numRef>
          </c:val>
          <c:extLst>
            <c:ext xmlns:c16="http://schemas.microsoft.com/office/drawing/2014/chart" uri="{C3380CC4-5D6E-409C-BE32-E72D297353CC}">
              <c16:uniqueId val="{00000000-26F9-459B-8555-81292C73B8BA}"/>
            </c:ext>
          </c:extLst>
        </c:ser>
        <c:dLbls>
          <c:showLegendKey val="0"/>
          <c:showVal val="0"/>
          <c:showCatName val="0"/>
          <c:showSerName val="0"/>
          <c:showPercent val="0"/>
          <c:showBubbleSize val="0"/>
        </c:dLbls>
        <c:gapWidth val="182"/>
        <c:axId val="2111200320"/>
        <c:axId val="2111200800"/>
      </c:barChart>
      <c:catAx>
        <c:axId val="2111200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200800"/>
        <c:crosses val="autoZero"/>
        <c:auto val="1"/>
        <c:lblAlgn val="ctr"/>
        <c:lblOffset val="100"/>
        <c:noMultiLvlLbl val="0"/>
      </c:catAx>
      <c:valAx>
        <c:axId val="2111200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20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1">
                    <a:lumMod val="50000"/>
                  </a:schemeClr>
                </a:solidFill>
              </a:rPr>
              <a:t>Orders by Payment Mode</a:t>
            </a:r>
            <a:endParaRPr lang="en-US"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Pivot_Tables!$F$38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EF-4CAD-9F7B-91E295DB72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EF-4CAD-9F7B-91E295DB72B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EF-4CAD-9F7B-91E295DB72B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6EF-4CAD-9F7B-91E295DB72B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6EF-4CAD-9F7B-91E295DB72B9}"/>
              </c:ext>
            </c:extLst>
          </c:dPt>
          <c:cat>
            <c:strRef>
              <c:f>Pivot_Tables!$E$39:$E$44</c:f>
              <c:strCache>
                <c:ptCount val="5"/>
                <c:pt idx="0">
                  <c:v>Cash</c:v>
                </c:pt>
                <c:pt idx="1">
                  <c:v>Credit Card</c:v>
                </c:pt>
                <c:pt idx="2">
                  <c:v>Debit Card</c:v>
                </c:pt>
                <c:pt idx="3">
                  <c:v>Net Banking</c:v>
                </c:pt>
                <c:pt idx="4">
                  <c:v>UPI</c:v>
                </c:pt>
              </c:strCache>
            </c:strRef>
          </c:cat>
          <c:val>
            <c:numRef>
              <c:f>Pivot_Tables!$F$39:$F$44</c:f>
              <c:numCache>
                <c:formatCode>General</c:formatCode>
                <c:ptCount val="5"/>
                <c:pt idx="0">
                  <c:v>189</c:v>
                </c:pt>
                <c:pt idx="1">
                  <c:v>203</c:v>
                </c:pt>
                <c:pt idx="2">
                  <c:v>202</c:v>
                </c:pt>
                <c:pt idx="3">
                  <c:v>208</c:v>
                </c:pt>
                <c:pt idx="4">
                  <c:v>198</c:v>
                </c:pt>
              </c:numCache>
            </c:numRef>
          </c:val>
          <c:extLst>
            <c:ext xmlns:c16="http://schemas.microsoft.com/office/drawing/2014/chart" uri="{C3380CC4-5D6E-409C-BE32-E72D297353CC}">
              <c16:uniqueId val="{0000000A-46EF-4CAD-9F7B-91E295DB72B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1">
                    <a:lumMod val="50000"/>
                  </a:schemeClr>
                </a:solidFill>
              </a:rPr>
              <a:t>Delivery Status Overview</a:t>
            </a:r>
            <a:endParaRPr lang="en-IN"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Pivot_Tables!$C$55</c:f>
              <c:strCache>
                <c:ptCount val="1"/>
                <c:pt idx="0">
                  <c:v>Total</c:v>
                </c:pt>
              </c:strCache>
            </c:strRef>
          </c:tx>
          <c:spPr>
            <a:solidFill>
              <a:schemeClr val="accent1"/>
            </a:solidFill>
            <a:ln>
              <a:noFill/>
            </a:ln>
            <a:effectLst/>
          </c:spPr>
          <c:invertIfNegative val="0"/>
          <c:cat>
            <c:strRef>
              <c:f>Pivot_Tables!$B$56:$B$61</c:f>
              <c:strCache>
                <c:ptCount val="5"/>
                <c:pt idx="0">
                  <c:v>Cancelled</c:v>
                </c:pt>
                <c:pt idx="1">
                  <c:v>Delivered</c:v>
                </c:pt>
                <c:pt idx="2">
                  <c:v>In Transit</c:v>
                </c:pt>
                <c:pt idx="3">
                  <c:v>Returned</c:v>
                </c:pt>
                <c:pt idx="4">
                  <c:v>(blank)</c:v>
                </c:pt>
              </c:strCache>
            </c:strRef>
          </c:cat>
          <c:val>
            <c:numRef>
              <c:f>Pivot_Tables!$C$56:$C$61</c:f>
              <c:numCache>
                <c:formatCode>General</c:formatCode>
                <c:ptCount val="5"/>
                <c:pt idx="0">
                  <c:v>238</c:v>
                </c:pt>
                <c:pt idx="1">
                  <c:v>263</c:v>
                </c:pt>
                <c:pt idx="2">
                  <c:v>260</c:v>
                </c:pt>
                <c:pt idx="3">
                  <c:v>239</c:v>
                </c:pt>
              </c:numCache>
            </c:numRef>
          </c:val>
          <c:extLst>
            <c:ext xmlns:c16="http://schemas.microsoft.com/office/drawing/2014/chart" uri="{C3380CC4-5D6E-409C-BE32-E72D297353CC}">
              <c16:uniqueId val="{00000000-8FD6-4B3C-9950-CBBCDD7C1A0D}"/>
            </c:ext>
          </c:extLst>
        </c:ser>
        <c:dLbls>
          <c:showLegendKey val="0"/>
          <c:showVal val="0"/>
          <c:showCatName val="0"/>
          <c:showSerName val="0"/>
          <c:showPercent val="0"/>
          <c:showBubbleSize val="0"/>
        </c:dLbls>
        <c:gapWidth val="219"/>
        <c:overlap val="-27"/>
        <c:axId val="2111207520"/>
        <c:axId val="2111210400"/>
      </c:barChart>
      <c:catAx>
        <c:axId val="211120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210400"/>
        <c:crosses val="autoZero"/>
        <c:auto val="1"/>
        <c:lblAlgn val="ctr"/>
        <c:lblOffset val="100"/>
        <c:noMultiLvlLbl val="0"/>
      </c:catAx>
      <c:valAx>
        <c:axId val="2111210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1207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262016</xdr:colOff>
      <xdr:row>2</xdr:row>
      <xdr:rowOff>145394</xdr:rowOff>
    </xdr:from>
    <xdr:to>
      <xdr:col>1</xdr:col>
      <xdr:colOff>550488</xdr:colOff>
      <xdr:row>5</xdr:row>
      <xdr:rowOff>132003</xdr:rowOff>
    </xdr:to>
    <xdr:sp macro="" textlink="">
      <xdr:nvSpPr>
        <xdr:cNvPr id="14" name="Rectangle: Rounded Corners 13">
          <a:extLst>
            <a:ext uri="{FF2B5EF4-FFF2-40B4-BE49-F238E27FC236}">
              <a16:creationId xmlns:a16="http://schemas.microsoft.com/office/drawing/2014/main" id="{741FFE92-2502-E0E3-B548-CBBE2BDAA979}"/>
            </a:ext>
          </a:extLst>
        </xdr:cNvPr>
        <xdr:cNvSpPr/>
      </xdr:nvSpPr>
      <xdr:spPr>
        <a:xfrm>
          <a:off x="262016" y="724221"/>
          <a:ext cx="896607" cy="565436"/>
        </a:xfrm>
        <a:prstGeom prst="roundRect">
          <a:avLst/>
        </a:prstGeom>
        <a:solidFill>
          <a:schemeClr val="bg1"/>
        </a:solidFill>
        <a:ln w="28575">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b="1">
            <a:solidFill>
              <a:schemeClr val="tx1"/>
            </a:solidFill>
            <a:effectLst/>
            <a:latin typeface="Aptos" panose="020B0004020202020204" pitchFamily="34" charset="0"/>
          </a:endParaRPr>
        </a:p>
      </xdr:txBody>
    </xdr:sp>
    <xdr:clientData/>
  </xdr:twoCellAnchor>
  <xdr:twoCellAnchor editAs="oneCell">
    <xdr:from>
      <xdr:col>11</xdr:col>
      <xdr:colOff>523715</xdr:colOff>
      <xdr:row>2</xdr:row>
      <xdr:rowOff>155510</xdr:rowOff>
    </xdr:from>
    <xdr:to>
      <xdr:col>14</xdr:col>
      <xdr:colOff>243586</xdr:colOff>
      <xdr:row>5</xdr:row>
      <xdr:rowOff>191681</xdr:rowOff>
    </xdr:to>
    <mc:AlternateContent xmlns:mc="http://schemas.openxmlformats.org/markup-compatibility/2006">
      <mc:Choice xmlns:a14="http://schemas.microsoft.com/office/drawing/2010/main" Requires="a14">
        <xdr:graphicFrame macro="">
          <xdr:nvGraphicFramePr>
            <xdr:cNvPr id="44" name="Years (Order_Date)">
              <a:extLst>
                <a:ext uri="{FF2B5EF4-FFF2-40B4-BE49-F238E27FC236}">
                  <a16:creationId xmlns:a16="http://schemas.microsoft.com/office/drawing/2014/main" id="{42D9793C-5EFF-495F-B751-85C9B33B1E90}"/>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dr:sp macro="" textlink="">
          <xdr:nvSpPr>
            <xdr:cNvPr id="0" name=""/>
            <xdr:cNvSpPr>
              <a:spLocks noTextEdit="1"/>
            </xdr:cNvSpPr>
          </xdr:nvSpPr>
          <xdr:spPr>
            <a:xfrm>
              <a:off x="7930355" y="780350"/>
              <a:ext cx="1548671" cy="7067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312626</xdr:colOff>
      <xdr:row>2</xdr:row>
      <xdr:rowOff>150644</xdr:rowOff>
    </xdr:from>
    <xdr:to>
      <xdr:col>16</xdr:col>
      <xdr:colOff>562585</xdr:colOff>
      <xdr:row>5</xdr:row>
      <xdr:rowOff>193311</xdr:rowOff>
    </xdr:to>
    <mc:AlternateContent xmlns:mc="http://schemas.openxmlformats.org/markup-compatibility/2006">
      <mc:Choice xmlns:a14="http://schemas.microsoft.com/office/drawing/2010/main" Requires="a14">
        <xdr:graphicFrame macro="">
          <xdr:nvGraphicFramePr>
            <xdr:cNvPr id="45" name="Region">
              <a:extLst>
                <a:ext uri="{FF2B5EF4-FFF2-40B4-BE49-F238E27FC236}">
                  <a16:creationId xmlns:a16="http://schemas.microsoft.com/office/drawing/2014/main" id="{550E30C8-3E6C-4EB1-ACD0-3224504C239D}"/>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548066" y="775484"/>
              <a:ext cx="1469159" cy="7132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3936</xdr:colOff>
      <xdr:row>4</xdr:row>
      <xdr:rowOff>116632</xdr:rowOff>
    </xdr:from>
    <xdr:to>
      <xdr:col>18</xdr:col>
      <xdr:colOff>377702</xdr:colOff>
      <xdr:row>7</xdr:row>
      <xdr:rowOff>101081</xdr:rowOff>
    </xdr:to>
    <mc:AlternateContent xmlns:mc="http://schemas.openxmlformats.org/markup-compatibility/2006">
      <mc:Choice xmlns:a14="http://schemas.microsoft.com/office/drawing/2010/main" Requires="a14">
        <xdr:graphicFrame macro="">
          <xdr:nvGraphicFramePr>
            <xdr:cNvPr id="46" name="Product">
              <a:extLst>
                <a:ext uri="{FF2B5EF4-FFF2-40B4-BE49-F238E27FC236}">
                  <a16:creationId xmlns:a16="http://schemas.microsoft.com/office/drawing/2014/main" id="{047AB034-C56B-4A95-B8EC-A61AC36802C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1068176" y="1168192"/>
              <a:ext cx="1478666" cy="7159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447374</xdr:colOff>
      <xdr:row>4</xdr:row>
      <xdr:rowOff>124407</xdr:rowOff>
    </xdr:from>
    <xdr:to>
      <xdr:col>18</xdr:col>
      <xdr:colOff>1914162</xdr:colOff>
      <xdr:row>7</xdr:row>
      <xdr:rowOff>65198</xdr:rowOff>
    </xdr:to>
    <mc:AlternateContent xmlns:mc="http://schemas.openxmlformats.org/markup-compatibility/2006">
      <mc:Choice xmlns:a14="http://schemas.microsoft.com/office/drawing/2010/main" Requires="a14">
        <xdr:graphicFrame macro="">
          <xdr:nvGraphicFramePr>
            <xdr:cNvPr id="47" name="Payment_Mode">
              <a:extLst>
                <a:ext uri="{FF2B5EF4-FFF2-40B4-BE49-F238E27FC236}">
                  <a16:creationId xmlns:a16="http://schemas.microsoft.com/office/drawing/2014/main" id="{CE22DFD9-142E-4D4E-80F8-508545755A5C}"/>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dr:sp macro="" textlink="">
          <xdr:nvSpPr>
            <xdr:cNvPr id="0" name=""/>
            <xdr:cNvSpPr>
              <a:spLocks noTextEdit="1"/>
            </xdr:cNvSpPr>
          </xdr:nvSpPr>
          <xdr:spPr>
            <a:xfrm>
              <a:off x="12616514" y="1175967"/>
              <a:ext cx="1466788" cy="6723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741520</xdr:colOff>
      <xdr:row>2</xdr:row>
      <xdr:rowOff>145394</xdr:rowOff>
    </xdr:from>
    <xdr:to>
      <xdr:col>2</xdr:col>
      <xdr:colOff>519452</xdr:colOff>
      <xdr:row>5</xdr:row>
      <xdr:rowOff>132003</xdr:rowOff>
    </xdr:to>
    <xdr:sp macro="" textlink="">
      <xdr:nvSpPr>
        <xdr:cNvPr id="7" name="Rectangle: Rounded Corners 6">
          <a:extLst>
            <a:ext uri="{FF2B5EF4-FFF2-40B4-BE49-F238E27FC236}">
              <a16:creationId xmlns:a16="http://schemas.microsoft.com/office/drawing/2014/main" id="{0B4692D8-5F60-486C-B3E7-38AE5A287C52}"/>
            </a:ext>
          </a:extLst>
        </xdr:cNvPr>
        <xdr:cNvSpPr/>
      </xdr:nvSpPr>
      <xdr:spPr>
        <a:xfrm>
          <a:off x="1349581" y="722667"/>
          <a:ext cx="901689" cy="571578"/>
        </a:xfrm>
        <a:prstGeom prst="roundRect">
          <a:avLst/>
        </a:prstGeom>
        <a:solidFill>
          <a:schemeClr val="bg1"/>
        </a:solidFill>
        <a:ln w="28575">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000" b="1">
            <a:solidFill>
              <a:schemeClr val="tx1"/>
            </a:solidFill>
            <a:effectLst/>
            <a:latin typeface="Aptos" panose="020B0004020202020204" pitchFamily="34" charset="0"/>
          </a:endParaRPr>
        </a:p>
      </xdr:txBody>
    </xdr:sp>
    <xdr:clientData/>
  </xdr:twoCellAnchor>
  <xdr:twoCellAnchor>
    <xdr:from>
      <xdr:col>3</xdr:col>
      <xdr:colOff>100884</xdr:colOff>
      <xdr:row>2</xdr:row>
      <xdr:rowOff>145394</xdr:rowOff>
    </xdr:from>
    <xdr:to>
      <xdr:col>4</xdr:col>
      <xdr:colOff>389356</xdr:colOff>
      <xdr:row>5</xdr:row>
      <xdr:rowOff>132003</xdr:rowOff>
    </xdr:to>
    <xdr:sp macro="" textlink="">
      <xdr:nvSpPr>
        <xdr:cNvPr id="8" name="Rectangle: Rounded Corners 7">
          <a:extLst>
            <a:ext uri="{FF2B5EF4-FFF2-40B4-BE49-F238E27FC236}">
              <a16:creationId xmlns:a16="http://schemas.microsoft.com/office/drawing/2014/main" id="{A31F8BFD-0C5F-48AA-AEED-35B08C6C6848}"/>
            </a:ext>
          </a:extLst>
        </xdr:cNvPr>
        <xdr:cNvSpPr/>
      </xdr:nvSpPr>
      <xdr:spPr>
        <a:xfrm>
          <a:off x="2440763" y="722667"/>
          <a:ext cx="896532" cy="571578"/>
        </a:xfrm>
        <a:prstGeom prst="roundRect">
          <a:avLst/>
        </a:prstGeom>
        <a:solidFill>
          <a:schemeClr val="bg1"/>
        </a:solidFill>
        <a:ln w="28575">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000" b="1">
            <a:solidFill>
              <a:schemeClr val="tx1"/>
            </a:solidFill>
            <a:effectLst/>
            <a:latin typeface="Aptos" panose="020B0004020202020204" pitchFamily="34" charset="0"/>
          </a:endParaRPr>
        </a:p>
      </xdr:txBody>
    </xdr:sp>
    <xdr:clientData/>
  </xdr:twoCellAnchor>
  <xdr:twoCellAnchor>
    <xdr:from>
      <xdr:col>0</xdr:col>
      <xdr:colOff>564994</xdr:colOff>
      <xdr:row>6</xdr:row>
      <xdr:rowOff>29940</xdr:rowOff>
    </xdr:from>
    <xdr:to>
      <xdr:col>1</xdr:col>
      <xdr:colOff>851927</xdr:colOff>
      <xdr:row>8</xdr:row>
      <xdr:rowOff>201276</xdr:rowOff>
    </xdr:to>
    <xdr:sp macro="" textlink="">
      <xdr:nvSpPr>
        <xdr:cNvPr id="9" name="Rectangle: Rounded Corners 8">
          <a:extLst>
            <a:ext uri="{FF2B5EF4-FFF2-40B4-BE49-F238E27FC236}">
              <a16:creationId xmlns:a16="http://schemas.microsoft.com/office/drawing/2014/main" id="{21CD040B-3162-4C2D-9885-6620A8CAAC70}"/>
            </a:ext>
          </a:extLst>
        </xdr:cNvPr>
        <xdr:cNvSpPr/>
      </xdr:nvSpPr>
      <xdr:spPr>
        <a:xfrm>
          <a:off x="564994" y="1577031"/>
          <a:ext cx="894994" cy="663942"/>
        </a:xfrm>
        <a:prstGeom prst="roundRect">
          <a:avLst/>
        </a:prstGeom>
        <a:solidFill>
          <a:schemeClr val="bg1"/>
        </a:solidFill>
        <a:ln w="28575">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000" b="1">
            <a:solidFill>
              <a:schemeClr val="tx1"/>
            </a:solidFill>
            <a:effectLst/>
            <a:latin typeface="Aptos" panose="020B0004020202020204" pitchFamily="34" charset="0"/>
          </a:endParaRPr>
        </a:p>
      </xdr:txBody>
    </xdr:sp>
    <xdr:clientData/>
  </xdr:twoCellAnchor>
  <xdr:twoCellAnchor>
    <xdr:from>
      <xdr:col>1</xdr:col>
      <xdr:colOff>1042959</xdr:colOff>
      <xdr:row>6</xdr:row>
      <xdr:rowOff>29940</xdr:rowOff>
    </xdr:from>
    <xdr:to>
      <xdr:col>3</xdr:col>
      <xdr:colOff>206134</xdr:colOff>
      <xdr:row>8</xdr:row>
      <xdr:rowOff>201276</xdr:rowOff>
    </xdr:to>
    <xdr:sp macro="" textlink="">
      <xdr:nvSpPr>
        <xdr:cNvPr id="10" name="Rectangle: Rounded Corners 9">
          <a:extLst>
            <a:ext uri="{FF2B5EF4-FFF2-40B4-BE49-F238E27FC236}">
              <a16:creationId xmlns:a16="http://schemas.microsoft.com/office/drawing/2014/main" id="{4F98CFC4-A8E3-4783-8497-65A917950D51}"/>
            </a:ext>
          </a:extLst>
        </xdr:cNvPr>
        <xdr:cNvSpPr/>
      </xdr:nvSpPr>
      <xdr:spPr>
        <a:xfrm>
          <a:off x="1651020" y="1577031"/>
          <a:ext cx="894993" cy="663942"/>
        </a:xfrm>
        <a:prstGeom prst="roundRect">
          <a:avLst/>
        </a:prstGeom>
        <a:solidFill>
          <a:schemeClr val="bg1"/>
        </a:solidFill>
        <a:ln w="28575">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000" b="1">
            <a:solidFill>
              <a:schemeClr val="tx1"/>
            </a:solidFill>
            <a:effectLst/>
            <a:latin typeface="Aptos" panose="020B0004020202020204" pitchFamily="34" charset="0"/>
          </a:endParaRPr>
        </a:p>
      </xdr:txBody>
    </xdr:sp>
    <xdr:clientData/>
  </xdr:twoCellAnchor>
  <xdr:twoCellAnchor>
    <xdr:from>
      <xdr:col>3</xdr:col>
      <xdr:colOff>397164</xdr:colOff>
      <xdr:row>6</xdr:row>
      <xdr:rowOff>29940</xdr:rowOff>
    </xdr:from>
    <xdr:to>
      <xdr:col>5</xdr:col>
      <xdr:colOff>77575</xdr:colOff>
      <xdr:row>8</xdr:row>
      <xdr:rowOff>201276</xdr:rowOff>
    </xdr:to>
    <xdr:sp macro="" textlink="">
      <xdr:nvSpPr>
        <xdr:cNvPr id="11" name="Rectangle: Rounded Corners 10">
          <a:extLst>
            <a:ext uri="{FF2B5EF4-FFF2-40B4-BE49-F238E27FC236}">
              <a16:creationId xmlns:a16="http://schemas.microsoft.com/office/drawing/2014/main" id="{00C45152-19C2-4FD9-AD29-CBC9D7FCC093}"/>
            </a:ext>
          </a:extLst>
        </xdr:cNvPr>
        <xdr:cNvSpPr/>
      </xdr:nvSpPr>
      <xdr:spPr>
        <a:xfrm>
          <a:off x="2737043" y="1577031"/>
          <a:ext cx="896532" cy="663942"/>
        </a:xfrm>
        <a:prstGeom prst="roundRect">
          <a:avLst/>
        </a:prstGeom>
        <a:solidFill>
          <a:schemeClr val="bg1"/>
        </a:solidFill>
        <a:ln w="28575">
          <a:solidFill>
            <a:schemeClr val="accent1">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000" b="1">
            <a:solidFill>
              <a:schemeClr val="tx1"/>
            </a:solidFill>
            <a:effectLst/>
            <a:latin typeface="Aptos" panose="020B0004020202020204" pitchFamily="34" charset="0"/>
          </a:endParaRPr>
        </a:p>
      </xdr:txBody>
    </xdr:sp>
    <xdr:clientData/>
  </xdr:twoCellAnchor>
  <xdr:twoCellAnchor>
    <xdr:from>
      <xdr:col>0</xdr:col>
      <xdr:colOff>277091</xdr:colOff>
      <xdr:row>9</xdr:row>
      <xdr:rowOff>153940</xdr:rowOff>
    </xdr:from>
    <xdr:to>
      <xdr:col>5</xdr:col>
      <xdr:colOff>577273</xdr:colOff>
      <xdr:row>19</xdr:row>
      <xdr:rowOff>153940</xdr:rowOff>
    </xdr:to>
    <xdr:graphicFrame macro="">
      <xdr:nvGraphicFramePr>
        <xdr:cNvPr id="21" name="Chart 20">
          <a:extLst>
            <a:ext uri="{FF2B5EF4-FFF2-40B4-BE49-F238E27FC236}">
              <a16:creationId xmlns:a16="http://schemas.microsoft.com/office/drawing/2014/main" id="{9480DE5A-B81D-4ACA-A9CE-096D9AF96F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136006</xdr:colOff>
      <xdr:row>2</xdr:row>
      <xdr:rowOff>114915</xdr:rowOff>
    </xdr:from>
    <xdr:to>
      <xdr:col>11</xdr:col>
      <xdr:colOff>392545</xdr:colOff>
      <xdr:row>10</xdr:row>
      <xdr:rowOff>61576</xdr:rowOff>
    </xdr:to>
    <xdr:graphicFrame macro="">
      <xdr:nvGraphicFramePr>
        <xdr:cNvPr id="22" name="Chart 21">
          <a:extLst>
            <a:ext uri="{FF2B5EF4-FFF2-40B4-BE49-F238E27FC236}">
              <a16:creationId xmlns:a16="http://schemas.microsoft.com/office/drawing/2014/main" id="{890066CD-97E1-4B1D-AF48-CDF7AC5E6B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280016</xdr:colOff>
      <xdr:row>10</xdr:row>
      <xdr:rowOff>215054</xdr:rowOff>
    </xdr:from>
    <xdr:to>
      <xdr:col>11</xdr:col>
      <xdr:colOff>161636</xdr:colOff>
      <xdr:row>19</xdr:row>
      <xdr:rowOff>161636</xdr:rowOff>
    </xdr:to>
    <xdr:graphicFrame macro="">
      <xdr:nvGraphicFramePr>
        <xdr:cNvPr id="23" name="Chart 22">
          <a:extLst>
            <a:ext uri="{FF2B5EF4-FFF2-40B4-BE49-F238E27FC236}">
              <a16:creationId xmlns:a16="http://schemas.microsoft.com/office/drawing/2014/main" id="{891E8FF3-A42C-47E5-BC5E-3F218082C0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495762</xdr:colOff>
      <xdr:row>6</xdr:row>
      <xdr:rowOff>137775</xdr:rowOff>
    </xdr:from>
    <xdr:to>
      <xdr:col>16</xdr:col>
      <xdr:colOff>407940</xdr:colOff>
      <xdr:row>19</xdr:row>
      <xdr:rowOff>139958</xdr:rowOff>
    </xdr:to>
    <xdr:graphicFrame macro="">
      <xdr:nvGraphicFramePr>
        <xdr:cNvPr id="24" name="Chart 23">
          <a:extLst>
            <a:ext uri="{FF2B5EF4-FFF2-40B4-BE49-F238E27FC236}">
              <a16:creationId xmlns:a16="http://schemas.microsoft.com/office/drawing/2014/main" id="{7FFA5D19-6B0B-430E-8329-3468AD113C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15007</xdr:colOff>
      <xdr:row>8</xdr:row>
      <xdr:rowOff>46183</xdr:rowOff>
    </xdr:from>
    <xdr:to>
      <xdr:col>18</xdr:col>
      <xdr:colOff>1931940</xdr:colOff>
      <xdr:row>19</xdr:row>
      <xdr:rowOff>130850</xdr:rowOff>
    </xdr:to>
    <xdr:graphicFrame macro="">
      <xdr:nvGraphicFramePr>
        <xdr:cNvPr id="27" name="Chart 26">
          <a:extLst>
            <a:ext uri="{FF2B5EF4-FFF2-40B4-BE49-F238E27FC236}">
              <a16:creationId xmlns:a16="http://schemas.microsoft.com/office/drawing/2014/main" id="{4E309E63-A8D1-4CE1-944B-C0D1C1EF65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310173</xdr:colOff>
      <xdr:row>3</xdr:row>
      <xdr:rowOff>44184</xdr:rowOff>
    </xdr:from>
    <xdr:to>
      <xdr:col>1</xdr:col>
      <xdr:colOff>518401</xdr:colOff>
      <xdr:row>4</xdr:row>
      <xdr:rowOff>61502</xdr:rowOff>
    </xdr:to>
    <xdr:sp macro="" textlink="">
      <xdr:nvSpPr>
        <xdr:cNvPr id="54" name="TextBox 53">
          <a:extLst>
            <a:ext uri="{FF2B5EF4-FFF2-40B4-BE49-F238E27FC236}">
              <a16:creationId xmlns:a16="http://schemas.microsoft.com/office/drawing/2014/main" id="{A871F4A4-4EAE-7C0A-8A3A-094B29FFE71B}"/>
            </a:ext>
          </a:extLst>
        </xdr:cNvPr>
        <xdr:cNvSpPr txBox="1"/>
      </xdr:nvSpPr>
      <xdr:spPr>
        <a:xfrm>
          <a:off x="310173" y="851904"/>
          <a:ext cx="817828" cy="261158"/>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 Sales</a:t>
          </a:r>
        </a:p>
      </xdr:txBody>
    </xdr:sp>
    <xdr:clientData/>
  </xdr:twoCellAnchor>
  <xdr:twoCellAnchor>
    <xdr:from>
      <xdr:col>1</xdr:col>
      <xdr:colOff>800060</xdr:colOff>
      <xdr:row>3</xdr:row>
      <xdr:rowOff>41263</xdr:rowOff>
    </xdr:from>
    <xdr:to>
      <xdr:col>2</xdr:col>
      <xdr:colOff>495299</xdr:colOff>
      <xdr:row>4</xdr:row>
      <xdr:rowOff>58581</xdr:rowOff>
    </xdr:to>
    <xdr:sp macro="" textlink="">
      <xdr:nvSpPr>
        <xdr:cNvPr id="69" name="TextBox 68">
          <a:extLst>
            <a:ext uri="{FF2B5EF4-FFF2-40B4-BE49-F238E27FC236}">
              <a16:creationId xmlns:a16="http://schemas.microsoft.com/office/drawing/2014/main" id="{3CC35485-A2C6-46FE-A07D-D68374D9E594}"/>
            </a:ext>
          </a:extLst>
        </xdr:cNvPr>
        <xdr:cNvSpPr txBox="1"/>
      </xdr:nvSpPr>
      <xdr:spPr>
        <a:xfrm>
          <a:off x="1409660" y="848983"/>
          <a:ext cx="815379" cy="261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 Profit</a:t>
          </a:r>
        </a:p>
      </xdr:txBody>
    </xdr:sp>
    <xdr:clientData/>
  </xdr:twoCellAnchor>
  <xdr:twoCellAnchor>
    <xdr:from>
      <xdr:col>3</xdr:col>
      <xdr:colOff>118129</xdr:colOff>
      <xdr:row>3</xdr:row>
      <xdr:rowOff>33937</xdr:rowOff>
    </xdr:from>
    <xdr:to>
      <xdr:col>4</xdr:col>
      <xdr:colOff>404751</xdr:colOff>
      <xdr:row>4</xdr:row>
      <xdr:rowOff>51289</xdr:rowOff>
    </xdr:to>
    <xdr:sp macro="" textlink="">
      <xdr:nvSpPr>
        <xdr:cNvPr id="70" name="TextBox 69">
          <a:extLst>
            <a:ext uri="{FF2B5EF4-FFF2-40B4-BE49-F238E27FC236}">
              <a16:creationId xmlns:a16="http://schemas.microsoft.com/office/drawing/2014/main" id="{62BCD585-AD0A-4352-845C-5975C65C4A9E}"/>
            </a:ext>
          </a:extLst>
        </xdr:cNvPr>
        <xdr:cNvSpPr txBox="1"/>
      </xdr:nvSpPr>
      <xdr:spPr>
        <a:xfrm>
          <a:off x="2457469" y="841657"/>
          <a:ext cx="896222" cy="261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 Orders</a:t>
          </a:r>
        </a:p>
      </xdr:txBody>
    </xdr:sp>
    <xdr:clientData/>
  </xdr:twoCellAnchor>
  <xdr:twoCellAnchor>
    <xdr:from>
      <xdr:col>0</xdr:col>
      <xdr:colOff>582164</xdr:colOff>
      <xdr:row>6</xdr:row>
      <xdr:rowOff>103210</xdr:rowOff>
    </xdr:from>
    <xdr:to>
      <xdr:col>1</xdr:col>
      <xdr:colOff>790316</xdr:colOff>
      <xdr:row>7</xdr:row>
      <xdr:rowOff>120528</xdr:rowOff>
    </xdr:to>
    <xdr:sp macro="" textlink="">
      <xdr:nvSpPr>
        <xdr:cNvPr id="71" name="TextBox 70">
          <a:extLst>
            <a:ext uri="{FF2B5EF4-FFF2-40B4-BE49-F238E27FC236}">
              <a16:creationId xmlns:a16="http://schemas.microsoft.com/office/drawing/2014/main" id="{A920AD50-D8A9-4A13-BA5E-EB86B3D8EF24}"/>
            </a:ext>
          </a:extLst>
        </xdr:cNvPr>
        <xdr:cNvSpPr txBox="1"/>
      </xdr:nvSpPr>
      <xdr:spPr>
        <a:xfrm>
          <a:off x="582164" y="1642450"/>
          <a:ext cx="817752" cy="261158"/>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 Cust.</a:t>
          </a:r>
        </a:p>
      </xdr:txBody>
    </xdr:sp>
    <xdr:clientData/>
  </xdr:twoCellAnchor>
  <xdr:twoCellAnchor>
    <xdr:from>
      <xdr:col>1</xdr:col>
      <xdr:colOff>1096615</xdr:colOff>
      <xdr:row>6</xdr:row>
      <xdr:rowOff>103209</xdr:rowOff>
    </xdr:from>
    <xdr:to>
      <xdr:col>3</xdr:col>
      <xdr:colOff>180846</xdr:colOff>
      <xdr:row>7</xdr:row>
      <xdr:rowOff>120527</xdr:rowOff>
    </xdr:to>
    <xdr:sp macro="" textlink="">
      <xdr:nvSpPr>
        <xdr:cNvPr id="72" name="TextBox 71">
          <a:extLst>
            <a:ext uri="{FF2B5EF4-FFF2-40B4-BE49-F238E27FC236}">
              <a16:creationId xmlns:a16="http://schemas.microsoft.com/office/drawing/2014/main" id="{33AA1B0E-37CC-48B8-919F-77A98F370C12}"/>
            </a:ext>
          </a:extLst>
        </xdr:cNvPr>
        <xdr:cNvSpPr txBox="1"/>
      </xdr:nvSpPr>
      <xdr:spPr>
        <a:xfrm>
          <a:off x="1706215" y="1642449"/>
          <a:ext cx="813971" cy="261158"/>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 Avg </a:t>
          </a:r>
        </a:p>
      </xdr:txBody>
    </xdr:sp>
    <xdr:clientData/>
  </xdr:twoCellAnchor>
  <xdr:twoCellAnchor>
    <xdr:from>
      <xdr:col>3</xdr:col>
      <xdr:colOff>421365</xdr:colOff>
      <xdr:row>6</xdr:row>
      <xdr:rowOff>103209</xdr:rowOff>
    </xdr:from>
    <xdr:to>
      <xdr:col>5</xdr:col>
      <xdr:colOff>77939</xdr:colOff>
      <xdr:row>7</xdr:row>
      <xdr:rowOff>120561</xdr:rowOff>
    </xdr:to>
    <xdr:sp macro="" textlink="">
      <xdr:nvSpPr>
        <xdr:cNvPr id="73" name="TextBox 72">
          <a:extLst>
            <a:ext uri="{FF2B5EF4-FFF2-40B4-BE49-F238E27FC236}">
              <a16:creationId xmlns:a16="http://schemas.microsoft.com/office/drawing/2014/main" id="{3BE18A7A-F046-4808-AED2-EB401320DD92}"/>
            </a:ext>
          </a:extLst>
        </xdr:cNvPr>
        <xdr:cNvSpPr txBox="1"/>
      </xdr:nvSpPr>
      <xdr:spPr>
        <a:xfrm>
          <a:off x="2760705" y="1642449"/>
          <a:ext cx="875774" cy="261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 Margin</a:t>
          </a:r>
        </a:p>
      </xdr:txBody>
    </xdr:sp>
    <xdr:clientData/>
  </xdr:twoCellAnchor>
  <xdr:twoCellAnchor>
    <xdr:from>
      <xdr:col>0</xdr:col>
      <xdr:colOff>207818</xdr:colOff>
      <xdr:row>4</xdr:row>
      <xdr:rowOff>23425</xdr:rowOff>
    </xdr:from>
    <xdr:to>
      <xdr:col>1</xdr:col>
      <xdr:colOff>631150</xdr:colOff>
      <xdr:row>5</xdr:row>
      <xdr:rowOff>57912</xdr:rowOff>
    </xdr:to>
    <xdr:sp macro="" textlink="Clean_Data!E1">
      <xdr:nvSpPr>
        <xdr:cNvPr id="76" name="TextBox 75">
          <a:extLst>
            <a:ext uri="{FF2B5EF4-FFF2-40B4-BE49-F238E27FC236}">
              <a16:creationId xmlns:a16="http://schemas.microsoft.com/office/drawing/2014/main" id="{EC37F0B8-0466-0624-B9AA-20A4F85C56EA}"/>
            </a:ext>
          </a:extLst>
        </xdr:cNvPr>
        <xdr:cNvSpPr txBox="1"/>
      </xdr:nvSpPr>
      <xdr:spPr>
        <a:xfrm>
          <a:off x="207818" y="1077910"/>
          <a:ext cx="1031393" cy="280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0790709-EE87-471E-B39F-9654ADA19E59}" type="TxLink">
            <a:rPr lang="en-US" sz="1100" b="1" i="0" u="none" strike="noStrike">
              <a:solidFill>
                <a:srgbClr val="000000"/>
              </a:solidFill>
              <a:latin typeface="Aptos"/>
            </a:rPr>
            <a:t>₹ 8,04,21,785</a:t>
          </a:fld>
          <a:endParaRPr lang="en-IN" sz="1100"/>
        </a:p>
      </xdr:txBody>
    </xdr:sp>
    <xdr:clientData/>
  </xdr:twoCellAnchor>
  <xdr:twoCellAnchor>
    <xdr:from>
      <xdr:col>1</xdr:col>
      <xdr:colOff>738909</xdr:colOff>
      <xdr:row>4</xdr:row>
      <xdr:rowOff>38448</xdr:rowOff>
    </xdr:from>
    <xdr:to>
      <xdr:col>2</xdr:col>
      <xdr:colOff>538788</xdr:colOff>
      <xdr:row>5</xdr:row>
      <xdr:rowOff>42889</xdr:rowOff>
    </xdr:to>
    <xdr:sp macro="" textlink="Clean_Data!E3">
      <xdr:nvSpPr>
        <xdr:cNvPr id="77" name="TextBox 76">
          <a:extLst>
            <a:ext uri="{FF2B5EF4-FFF2-40B4-BE49-F238E27FC236}">
              <a16:creationId xmlns:a16="http://schemas.microsoft.com/office/drawing/2014/main" id="{424B12D8-9C06-8014-13A4-9DB280EE84F6}"/>
            </a:ext>
          </a:extLst>
        </xdr:cNvPr>
        <xdr:cNvSpPr txBox="1"/>
      </xdr:nvSpPr>
      <xdr:spPr>
        <a:xfrm>
          <a:off x="1346970" y="1092933"/>
          <a:ext cx="923636" cy="2507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1DBD18D-768E-44CC-B548-385F348AE00D}" type="TxLink">
            <a:rPr lang="en-US" sz="1100" b="1" i="0" u="none" strike="noStrike">
              <a:solidFill>
                <a:srgbClr val="000000"/>
              </a:solidFill>
              <a:latin typeface="Aptos"/>
            </a:rPr>
            <a:t>₹ 68,68,135</a:t>
          </a:fld>
          <a:endParaRPr lang="en-IN" sz="1100"/>
        </a:p>
      </xdr:txBody>
    </xdr:sp>
    <xdr:clientData/>
  </xdr:twoCellAnchor>
  <xdr:twoCellAnchor>
    <xdr:from>
      <xdr:col>3</xdr:col>
      <xdr:colOff>261179</xdr:colOff>
      <xdr:row>4</xdr:row>
      <xdr:rowOff>34569</xdr:rowOff>
    </xdr:from>
    <xdr:to>
      <xdr:col>4</xdr:col>
      <xdr:colOff>332008</xdr:colOff>
      <xdr:row>5</xdr:row>
      <xdr:rowOff>46767</xdr:rowOff>
    </xdr:to>
    <xdr:sp macro="" textlink="Clean_Data!E5">
      <xdr:nvSpPr>
        <xdr:cNvPr id="79" name="TextBox 78">
          <a:extLst>
            <a:ext uri="{FF2B5EF4-FFF2-40B4-BE49-F238E27FC236}">
              <a16:creationId xmlns:a16="http://schemas.microsoft.com/office/drawing/2014/main" id="{1D75BB76-EB23-E0B6-4B12-B1033D5E932A}"/>
            </a:ext>
          </a:extLst>
        </xdr:cNvPr>
        <xdr:cNvSpPr txBox="1"/>
      </xdr:nvSpPr>
      <xdr:spPr>
        <a:xfrm>
          <a:off x="2839664" y="996690"/>
          <a:ext cx="740465" cy="220016"/>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1F607D6-D198-49F8-A415-B46F466CF6CD}" type="TxLink">
            <a:rPr lang="en-US" sz="1100" b="1" i="0" u="none" strike="noStrike">
              <a:solidFill>
                <a:srgbClr val="000000"/>
              </a:solidFill>
              <a:latin typeface="Aptos"/>
            </a:rPr>
            <a:t>₹ 1,000</a:t>
          </a:fld>
          <a:endParaRPr lang="en-IN" sz="1100"/>
        </a:p>
      </xdr:txBody>
    </xdr:sp>
    <xdr:clientData/>
  </xdr:twoCellAnchor>
  <xdr:twoCellAnchor>
    <xdr:from>
      <xdr:col>1</xdr:col>
      <xdr:colOff>256073</xdr:colOff>
      <xdr:row>7</xdr:row>
      <xdr:rowOff>127113</xdr:rowOff>
    </xdr:from>
    <xdr:to>
      <xdr:col>1</xdr:col>
      <xdr:colOff>585539</xdr:colOff>
      <xdr:row>8</xdr:row>
      <xdr:rowOff>92769</xdr:rowOff>
    </xdr:to>
    <xdr:sp macro="" textlink="Clean_Data!E7">
      <xdr:nvSpPr>
        <xdr:cNvPr id="80" name="TextBox 79">
          <a:extLst>
            <a:ext uri="{FF2B5EF4-FFF2-40B4-BE49-F238E27FC236}">
              <a16:creationId xmlns:a16="http://schemas.microsoft.com/office/drawing/2014/main" id="{F022AF88-6688-0A99-BBFB-944C11A2B7EC}"/>
            </a:ext>
          </a:extLst>
        </xdr:cNvPr>
        <xdr:cNvSpPr txBox="1"/>
      </xdr:nvSpPr>
      <xdr:spPr>
        <a:xfrm>
          <a:off x="864134" y="1920507"/>
          <a:ext cx="329466" cy="211959"/>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C2DC8FA-D229-449F-8108-ED209AE4C958}" type="TxLink">
            <a:rPr lang="en-US" sz="1100" b="1" i="0" u="none" strike="noStrike">
              <a:solidFill>
                <a:srgbClr val="000000"/>
              </a:solidFill>
              <a:latin typeface="Aptos"/>
            </a:rPr>
            <a:t>20</a:t>
          </a:fld>
          <a:endParaRPr lang="en-IN" sz="1100"/>
        </a:p>
      </xdr:txBody>
    </xdr:sp>
    <xdr:clientData/>
  </xdr:twoCellAnchor>
  <xdr:twoCellAnchor>
    <xdr:from>
      <xdr:col>2</xdr:col>
      <xdr:colOff>77048</xdr:colOff>
      <xdr:row>7</xdr:row>
      <xdr:rowOff>99964</xdr:rowOff>
    </xdr:from>
    <xdr:to>
      <xdr:col>3</xdr:col>
      <xdr:colOff>177030</xdr:colOff>
      <xdr:row>8</xdr:row>
      <xdr:rowOff>119919</xdr:rowOff>
    </xdr:to>
    <xdr:sp macro="" textlink="Clean_Data!E9">
      <xdr:nvSpPr>
        <xdr:cNvPr id="81" name="TextBox 80">
          <a:extLst>
            <a:ext uri="{FF2B5EF4-FFF2-40B4-BE49-F238E27FC236}">
              <a16:creationId xmlns:a16="http://schemas.microsoft.com/office/drawing/2014/main" id="{5FFFDFDC-2D91-2B4C-CFD5-189771F7E26D}"/>
            </a:ext>
          </a:extLst>
        </xdr:cNvPr>
        <xdr:cNvSpPr txBox="1"/>
      </xdr:nvSpPr>
      <xdr:spPr>
        <a:xfrm>
          <a:off x="1808866" y="1893358"/>
          <a:ext cx="708043" cy="266258"/>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5EA7C6B-10FE-4905-887B-3EBD9F2F9873}" type="TxLink">
            <a:rPr lang="en-US" sz="1100" b="1" i="0" u="none" strike="noStrike">
              <a:solidFill>
                <a:srgbClr val="000000"/>
              </a:solidFill>
              <a:latin typeface="Aptos"/>
            </a:rPr>
            <a:t>₹ 80,422</a:t>
          </a:fld>
          <a:endParaRPr lang="en-IN" sz="1100"/>
        </a:p>
      </xdr:txBody>
    </xdr:sp>
    <xdr:clientData/>
  </xdr:twoCellAnchor>
  <xdr:twoCellAnchor>
    <xdr:from>
      <xdr:col>4</xdr:col>
      <xdr:colOff>74995</xdr:colOff>
      <xdr:row>7</xdr:row>
      <xdr:rowOff>96085</xdr:rowOff>
    </xdr:from>
    <xdr:to>
      <xdr:col>4</xdr:col>
      <xdr:colOff>427377</xdr:colOff>
      <xdr:row>8</xdr:row>
      <xdr:rowOff>123797</xdr:rowOff>
    </xdr:to>
    <xdr:sp macro="" textlink="Clean_Data!E11">
      <xdr:nvSpPr>
        <xdr:cNvPr id="82" name="TextBox 81">
          <a:extLst>
            <a:ext uri="{FF2B5EF4-FFF2-40B4-BE49-F238E27FC236}">
              <a16:creationId xmlns:a16="http://schemas.microsoft.com/office/drawing/2014/main" id="{DFC4A7E2-A111-F98F-777D-03005CCD9304}"/>
            </a:ext>
          </a:extLst>
        </xdr:cNvPr>
        <xdr:cNvSpPr txBox="1"/>
      </xdr:nvSpPr>
      <xdr:spPr>
        <a:xfrm>
          <a:off x="3022934" y="1889479"/>
          <a:ext cx="352382" cy="274015"/>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3C81043-8B6E-453A-A0BC-E6A21DFB8A39}" type="TxLink">
            <a:rPr lang="en-US" sz="1100" b="1" i="0" u="none" strike="noStrike">
              <a:solidFill>
                <a:srgbClr val="000000"/>
              </a:solidFill>
              <a:latin typeface="Aptos"/>
            </a:rPr>
            <a:t>9%</a:t>
          </a:fld>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nksha naik" refreshedDate="46222.725637152776" createdVersion="8" refreshedVersion="8" minRefreshableVersion="3" recordCount="1000" xr:uid="{7FD70F49-C4EA-4E55-A08A-3B88C8005774}">
  <cacheSource type="worksheet">
    <worksheetSource name="Table12"/>
  </cacheSource>
  <cacheFields count="21">
    <cacheField name="Order_ID" numFmtId="0">
      <sharedItems/>
    </cacheField>
    <cacheField name="Customer_ID" numFmtId="0">
      <sharedItems/>
    </cacheField>
    <cacheField name="Order_Date" numFmtId="14">
      <sharedItems containsSemiMixedTypes="0" containsNonDate="0" containsDate="1" containsString="0" minDate="2024-01-01T00:00:00" maxDate="2026-01-01T00:00:00" count="527">
        <d v="2025-10-13T00:00:00"/>
        <d v="2025-06-04T00:00:00"/>
        <d v="2025-12-19T00:00:00"/>
        <d v="2025-03-22T00:00:00"/>
        <d v="2024-03-20T00:00:00"/>
        <d v="2024-02-21T00:00:00"/>
        <d v="2025-07-15T00:00:00"/>
        <d v="2025-03-24T00:00:00"/>
        <d v="2025-11-14T00:00:00"/>
        <d v="2024-07-02T00:00:00"/>
        <d v="2025-11-30T00:00:00"/>
        <d v="2024-06-06T00:00:00"/>
        <d v="2025-01-20T00:00:00"/>
        <d v="2025-03-05T00:00:00"/>
        <d v="2024-12-29T00:00:00"/>
        <d v="2025-03-12T00:00:00"/>
        <d v="2025-04-28T00:00:00"/>
        <d v="2024-04-24T00:00:00"/>
        <d v="2024-02-09T00:00:00"/>
        <d v="2024-06-22T00:00:00"/>
        <d v="2024-09-09T00:00:00"/>
        <d v="2024-08-09T00:00:00"/>
        <d v="2024-02-05T00:00:00"/>
        <d v="2024-01-31T00:00:00"/>
        <d v="2024-02-06T00:00:00"/>
        <d v="2025-12-23T00:00:00"/>
        <d v="2024-02-28T00:00:00"/>
        <d v="2025-01-10T00:00:00"/>
        <d v="2025-10-14T00:00:00"/>
        <d v="2025-11-25T00:00:00"/>
        <d v="2025-05-13T00:00:00"/>
        <d v="2024-02-19T00:00:00"/>
        <d v="2025-09-12T00:00:00"/>
        <d v="2024-09-18T00:00:00"/>
        <d v="2024-08-12T00:00:00"/>
        <d v="2025-04-17T00:00:00"/>
        <d v="2025-08-28T00:00:00"/>
        <d v="2025-11-19T00:00:00"/>
        <d v="2024-04-22T00:00:00"/>
        <d v="2025-12-13T00:00:00"/>
        <d v="2024-02-27T00:00:00"/>
        <d v="2024-05-21T00:00:00"/>
        <d v="2025-04-05T00:00:00"/>
        <d v="2025-03-27T00:00:00"/>
        <d v="2025-08-18T00:00:00"/>
        <d v="2025-07-07T00:00:00"/>
        <d v="2025-10-26T00:00:00"/>
        <d v="2025-11-15T00:00:00"/>
        <d v="2024-05-27T00:00:00"/>
        <d v="2025-06-14T00:00:00"/>
        <d v="2024-01-10T00:00:00"/>
        <d v="2024-10-16T00:00:00"/>
        <d v="2024-05-22T00:00:00"/>
        <d v="2024-12-24T00:00:00"/>
        <d v="2024-07-30T00:00:00"/>
        <d v="2024-06-28T00:00:00"/>
        <d v="2025-12-31T00:00:00"/>
        <d v="2025-09-29T00:00:00"/>
        <d v="2024-01-20T00:00:00"/>
        <d v="2025-06-26T00:00:00"/>
        <d v="2025-12-21T00:00:00"/>
        <d v="2024-01-22T00:00:00"/>
        <d v="2025-07-21T00:00:00"/>
        <d v="2025-03-14T00:00:00"/>
        <d v="2024-09-16T00:00:00"/>
        <d v="2025-05-24T00:00:00"/>
        <d v="2025-04-06T00:00:00"/>
        <d v="2025-10-17T00:00:00"/>
        <d v="2024-12-21T00:00:00"/>
        <d v="2024-05-02T00:00:00"/>
        <d v="2025-12-18T00:00:00"/>
        <d v="2024-09-22T00:00:00"/>
        <d v="2025-09-07T00:00:00"/>
        <d v="2025-06-19T00:00:00"/>
        <d v="2025-06-11T00:00:00"/>
        <d v="2024-10-07T00:00:00"/>
        <d v="2024-01-14T00:00:00"/>
        <d v="2024-04-11T00:00:00"/>
        <d v="2025-11-10T00:00:00"/>
        <d v="2024-05-12T00:00:00"/>
        <d v="2024-04-20T00:00:00"/>
        <d v="2024-05-10T00:00:00"/>
        <d v="2024-08-30T00:00:00"/>
        <d v="2025-04-03T00:00:00"/>
        <d v="2025-03-09T00:00:00"/>
        <d v="2024-05-17T00:00:00"/>
        <d v="2024-07-04T00:00:00"/>
        <d v="2025-04-16T00:00:00"/>
        <d v="2025-10-24T00:00:00"/>
        <d v="2025-01-12T00:00:00"/>
        <d v="2025-09-16T00:00:00"/>
        <d v="2024-04-04T00:00:00"/>
        <d v="2025-01-29T00:00:00"/>
        <d v="2024-08-19T00:00:00"/>
        <d v="2024-01-03T00:00:00"/>
        <d v="2024-11-17T00:00:00"/>
        <d v="2025-01-25T00:00:00"/>
        <d v="2025-04-14T00:00:00"/>
        <d v="2024-10-15T00:00:00"/>
        <d v="2025-10-15T00:00:00"/>
        <d v="2024-07-01T00:00:00"/>
        <d v="2025-02-06T00:00:00"/>
        <d v="2025-10-12T00:00:00"/>
        <d v="2025-01-03T00:00:00"/>
        <d v="2025-04-13T00:00:00"/>
        <d v="2025-05-11T00:00:00"/>
        <d v="2024-12-27T00:00:00"/>
        <d v="2025-03-28T00:00:00"/>
        <d v="2024-05-30T00:00:00"/>
        <d v="2024-04-12T00:00:00"/>
        <d v="2025-09-06T00:00:00"/>
        <d v="2024-10-13T00:00:00"/>
        <d v="2024-02-14T00:00:00"/>
        <d v="2024-01-07T00:00:00"/>
        <d v="2024-11-12T00:00:00"/>
        <d v="2025-04-30T00:00:00"/>
        <d v="2024-04-06T00:00:00"/>
        <d v="2024-02-23T00:00:00"/>
        <d v="2025-12-09T00:00:00"/>
        <d v="2024-06-09T00:00:00"/>
        <d v="2025-07-02T00:00:00"/>
        <d v="2024-04-18T00:00:00"/>
        <d v="2025-08-23T00:00:00"/>
        <d v="2024-09-27T00:00:00"/>
        <d v="2025-08-06T00:00:00"/>
        <d v="2025-07-12T00:00:00"/>
        <d v="2024-03-30T00:00:00"/>
        <d v="2024-09-20T00:00:00"/>
        <d v="2025-02-21T00:00:00"/>
        <d v="2024-10-27T00:00:00"/>
        <d v="2025-07-03T00:00:00"/>
        <d v="2025-04-19T00:00:00"/>
        <d v="2024-04-05T00:00:00"/>
        <d v="2024-05-20T00:00:00"/>
        <d v="2025-10-31T00:00:00"/>
        <d v="2024-05-28T00:00:00"/>
        <d v="2024-03-05T00:00:00"/>
        <d v="2025-07-01T00:00:00"/>
        <d v="2025-10-05T00:00:00"/>
        <d v="2025-10-01T00:00:00"/>
        <d v="2025-05-19T00:00:00"/>
        <d v="2025-11-04T00:00:00"/>
        <d v="2025-02-09T00:00:00"/>
        <d v="2025-08-14T00:00:00"/>
        <d v="2025-12-25T00:00:00"/>
        <d v="2025-07-22T00:00:00"/>
        <d v="2025-11-23T00:00:00"/>
        <d v="2025-03-30T00:00:00"/>
        <d v="2024-07-26T00:00:00"/>
        <d v="2025-05-21T00:00:00"/>
        <d v="2025-05-09T00:00:00"/>
        <d v="2024-01-06T00:00:00"/>
        <d v="2025-02-24T00:00:00"/>
        <d v="2024-05-11T00:00:00"/>
        <d v="2024-03-25T00:00:00"/>
        <d v="2025-03-03T00:00:00"/>
        <d v="2024-08-04T00:00:00"/>
        <d v="2024-07-19T00:00:00"/>
        <d v="2025-07-29T00:00:00"/>
        <d v="2024-10-30T00:00:00"/>
        <d v="2024-12-30T00:00:00"/>
        <d v="2025-07-10T00:00:00"/>
        <d v="2025-11-05T00:00:00"/>
        <d v="2024-12-17T00:00:00"/>
        <d v="2024-08-11T00:00:00"/>
        <d v="2025-10-16T00:00:00"/>
        <d v="2024-04-08T00:00:00"/>
        <d v="2024-01-08T00:00:00"/>
        <d v="2025-08-10T00:00:00"/>
        <d v="2024-08-08T00:00:00"/>
        <d v="2024-12-10T00:00:00"/>
        <d v="2025-07-27T00:00:00"/>
        <d v="2025-11-18T00:00:00"/>
        <d v="2024-01-21T00:00:00"/>
        <d v="2024-04-26T00:00:00"/>
        <d v="2025-08-16T00:00:00"/>
        <d v="2024-07-15T00:00:00"/>
        <d v="2024-08-26T00:00:00"/>
        <d v="2025-01-23T00:00:00"/>
        <d v="2025-09-03T00:00:00"/>
        <d v="2024-08-06T00:00:00"/>
        <d v="2025-03-25T00:00:00"/>
        <d v="2025-12-08T00:00:00"/>
        <d v="2025-12-07T00:00:00"/>
        <d v="2025-10-27T00:00:00"/>
        <d v="2025-11-24T00:00:00"/>
        <d v="2025-01-21T00:00:00"/>
        <d v="2024-12-15T00:00:00"/>
        <d v="2025-11-01T00:00:00"/>
        <d v="2024-07-14T00:00:00"/>
        <d v="2025-02-12T00:00:00"/>
        <d v="2024-08-15T00:00:00"/>
        <d v="2025-05-05T00:00:00"/>
        <d v="2025-03-18T00:00:00"/>
        <d v="2025-05-10T00:00:00"/>
        <d v="2025-11-26T00:00:00"/>
        <d v="2024-02-24T00:00:00"/>
        <d v="2024-12-31T00:00:00"/>
        <d v="2025-09-01T00:00:00"/>
        <d v="2024-06-25T00:00:00"/>
        <d v="2024-06-29T00:00:00"/>
        <d v="2024-03-23T00:00:00"/>
        <d v="2024-05-29T00:00:00"/>
        <d v="2025-10-28T00:00:00"/>
        <d v="2025-04-22T00:00:00"/>
        <d v="2025-10-03T00:00:00"/>
        <d v="2025-06-03T00:00:00"/>
        <d v="2024-01-16T00:00:00"/>
        <d v="2024-12-11T00:00:00"/>
        <d v="2024-03-10T00:00:00"/>
        <d v="2024-10-14T00:00:00"/>
        <d v="2025-06-16T00:00:00"/>
        <d v="2024-03-12T00:00:00"/>
        <d v="2024-12-14T00:00:00"/>
        <d v="2024-07-29T00:00:00"/>
        <d v="2025-02-02T00:00:00"/>
        <d v="2025-08-04T00:00:00"/>
        <d v="2024-09-03T00:00:00"/>
        <d v="2024-10-24T00:00:00"/>
        <d v="2025-07-24T00:00:00"/>
        <d v="2024-01-05T00:00:00"/>
        <d v="2024-01-25T00:00:00"/>
        <d v="2025-08-30T00:00:00"/>
        <d v="2024-08-13T00:00:00"/>
        <d v="2024-06-27T00:00:00"/>
        <d v="2024-02-26T00:00:00"/>
        <d v="2025-08-13T00:00:00"/>
        <d v="2024-01-19T00:00:00"/>
        <d v="2024-01-18T00:00:00"/>
        <d v="2024-08-01T00:00:00"/>
        <d v="2025-12-05T00:00:00"/>
        <d v="2025-10-25T00:00:00"/>
        <d v="2024-10-17T00:00:00"/>
        <d v="2025-04-29T00:00:00"/>
        <d v="2025-09-18T00:00:00"/>
        <d v="2024-08-24T00:00:00"/>
        <d v="2025-05-03T00:00:00"/>
        <d v="2024-10-22T00:00:00"/>
        <d v="2024-07-08T00:00:00"/>
        <d v="2025-10-09T00:00:00"/>
        <d v="2024-04-14T00:00:00"/>
        <d v="2024-03-03T00:00:00"/>
        <d v="2025-05-27T00:00:00"/>
        <d v="2025-11-12T00:00:00"/>
        <d v="2025-08-29T00:00:00"/>
        <d v="2025-03-06T00:00:00"/>
        <d v="2025-11-13T00:00:00"/>
        <d v="2024-07-18T00:00:00"/>
        <d v="2024-07-12T00:00:00"/>
        <d v="2025-03-08T00:00:00"/>
        <d v="2025-02-10T00:00:00"/>
        <d v="2025-01-15T00:00:00"/>
        <d v="2025-09-25T00:00:00"/>
        <d v="2025-11-27T00:00:00"/>
        <d v="2024-01-15T00:00:00"/>
        <d v="2024-03-02T00:00:00"/>
        <d v="2024-03-01T00:00:00"/>
        <d v="2024-01-30T00:00:00"/>
        <d v="2024-11-19T00:00:00"/>
        <d v="2024-06-08T00:00:00"/>
        <d v="2025-05-14T00:00:00"/>
        <d v="2024-06-14T00:00:00"/>
        <d v="2025-12-30T00:00:00"/>
        <d v="2025-09-23T00:00:00"/>
        <d v="2025-10-04T00:00:00"/>
        <d v="2024-10-05T00:00:00"/>
        <d v="2025-08-17T00:00:00"/>
        <d v="2024-07-27T00:00:00"/>
        <d v="2025-07-18T00:00:00"/>
        <d v="2025-03-04T00:00:00"/>
        <d v="2025-08-09T00:00:00"/>
        <d v="2024-03-11T00:00:00"/>
        <d v="2024-05-15T00:00:00"/>
        <d v="2025-09-05T00:00:00"/>
        <d v="2025-06-09T00:00:00"/>
        <d v="2025-02-26T00:00:00"/>
        <d v="2025-11-07T00:00:00"/>
        <d v="2025-08-02T00:00:00"/>
        <d v="2024-12-09T00:00:00"/>
        <d v="2024-10-28T00:00:00"/>
        <d v="2024-12-02T00:00:00"/>
        <d v="2024-03-04T00:00:00"/>
        <d v="2025-01-17T00:00:00"/>
        <d v="2024-05-03T00:00:00"/>
        <d v="2025-12-28T00:00:00"/>
        <d v="2024-02-25T00:00:00"/>
        <d v="2025-03-17T00:00:00"/>
        <d v="2024-01-02T00:00:00"/>
        <d v="2024-06-07T00:00:00"/>
        <d v="2025-08-03T00:00:00"/>
        <d v="2024-01-24T00:00:00"/>
        <d v="2024-10-31T00:00:00"/>
        <d v="2024-08-14T00:00:00"/>
        <d v="2024-12-28T00:00:00"/>
        <d v="2025-05-28T00:00:00"/>
        <d v="2024-06-01T00:00:00"/>
        <d v="2024-03-08T00:00:00"/>
        <d v="2025-02-23T00:00:00"/>
        <d v="2024-02-22T00:00:00"/>
        <d v="2025-03-16T00:00:00"/>
        <d v="2025-03-20T00:00:00"/>
        <d v="2024-06-24T00:00:00"/>
        <d v="2025-01-18T00:00:00"/>
        <d v="2024-03-31T00:00:00"/>
        <d v="2025-04-07T00:00:00"/>
        <d v="2025-06-17T00:00:00"/>
        <d v="2025-05-25T00:00:00"/>
        <d v="2024-12-13T00:00:00"/>
        <d v="2025-04-09T00:00:00"/>
        <d v="2025-10-20T00:00:00"/>
        <d v="2024-06-30T00:00:00"/>
        <d v="2025-05-30T00:00:00"/>
        <d v="2025-10-21T00:00:00"/>
        <d v="2025-12-12T00:00:00"/>
        <d v="2025-10-18T00:00:00"/>
        <d v="2025-01-22T00:00:00"/>
        <d v="2024-01-23T00:00:00"/>
        <d v="2024-04-30T00:00:00"/>
        <d v="2025-06-15T00:00:00"/>
        <d v="2025-05-31T00:00:00"/>
        <d v="2025-05-06T00:00:00"/>
        <d v="2024-09-26T00:00:00"/>
        <d v="2024-01-04T00:00:00"/>
        <d v="2025-06-01T00:00:00"/>
        <d v="2025-04-18T00:00:00"/>
        <d v="2025-12-22T00:00:00"/>
        <d v="2025-02-11T00:00:00"/>
        <d v="2024-05-14T00:00:00"/>
        <d v="2024-03-18T00:00:00"/>
        <d v="2024-09-11T00:00:00"/>
        <d v="2024-04-27T00:00:00"/>
        <d v="2024-07-22T00:00:00"/>
        <d v="2025-07-04T00:00:00"/>
        <d v="2024-09-12T00:00:00"/>
        <d v="2025-03-31T00:00:00"/>
        <d v="2025-06-25T00:00:00"/>
        <d v="2025-04-04T00:00:00"/>
        <d v="2024-06-13T00:00:00"/>
        <d v="2025-04-10T00:00:00"/>
        <d v="2025-06-18T00:00:00"/>
        <d v="2024-10-26T00:00:00"/>
        <d v="2024-10-09T00:00:00"/>
        <d v="2025-02-05T00:00:00"/>
        <d v="2024-12-23T00:00:00"/>
        <d v="2024-08-31T00:00:00"/>
        <d v="2024-05-09T00:00:00"/>
        <d v="2025-01-24T00:00:00"/>
        <d v="2025-09-08T00:00:00"/>
        <d v="2025-09-11T00:00:00"/>
        <d v="2025-02-18T00:00:00"/>
        <d v="2025-04-27T00:00:00"/>
        <d v="2024-08-28T00:00:00"/>
        <d v="2024-09-29T00:00:00"/>
        <d v="2025-08-31T00:00:00"/>
        <d v="2024-12-06T00:00:00"/>
        <d v="2024-10-21T00:00:00"/>
        <d v="2025-01-05T00:00:00"/>
        <d v="2024-05-01T00:00:00"/>
        <d v="2024-05-25T00:00:00"/>
        <d v="2024-02-20T00:00:00"/>
        <d v="2024-11-01T00:00:00"/>
        <d v="2024-07-13T00:00:00"/>
        <d v="2025-03-11T00:00:00"/>
        <d v="2024-11-27T00:00:00"/>
        <d v="2025-07-17T00:00:00"/>
        <d v="2025-03-19T00:00:00"/>
        <d v="2024-10-06T00:00:00"/>
        <d v="2024-05-26T00:00:00"/>
        <d v="2024-02-10T00:00:00"/>
        <d v="2025-07-31T00:00:00"/>
        <d v="2024-08-29T00:00:00"/>
        <d v="2024-11-30T00:00:00"/>
        <d v="2024-08-21T00:00:00"/>
        <d v="2025-02-22T00:00:00"/>
        <d v="2025-03-02T00:00:00"/>
        <d v="2025-08-15T00:00:00"/>
        <d v="2024-08-02T00:00:00"/>
        <d v="2025-10-19T00:00:00"/>
        <d v="2024-04-23T00:00:00"/>
        <d v="2024-08-23T00:00:00"/>
        <d v="2025-03-13T00:00:00"/>
        <d v="2024-04-29T00:00:00"/>
        <d v="2024-02-29T00:00:00"/>
        <d v="2024-04-03T00:00:00"/>
        <d v="2024-05-04T00:00:00"/>
        <d v="2025-07-09T00:00:00"/>
        <d v="2024-04-19T00:00:00"/>
        <d v="2024-10-02T00:00:00"/>
        <d v="2025-05-02T00:00:00"/>
        <d v="2024-12-22T00:00:00"/>
        <d v="2024-10-03T00:00:00"/>
        <d v="2024-06-05T00:00:00"/>
        <d v="2024-02-13T00:00:00"/>
        <d v="2024-08-27T00:00:00"/>
        <d v="2025-05-23T00:00:00"/>
        <d v="2025-08-20T00:00:00"/>
        <d v="2024-12-12T00:00:00"/>
        <d v="2024-11-10T00:00:00"/>
        <d v="2025-08-07T00:00:00"/>
        <d v="2024-05-19T00:00:00"/>
        <d v="2025-07-30T00:00:00"/>
        <d v="2024-07-21T00:00:00"/>
        <d v="2024-01-09T00:00:00"/>
        <d v="2024-08-25T00:00:00"/>
        <d v="2025-06-10T00:00:00"/>
        <d v="2024-02-07T00:00:00"/>
        <d v="2024-09-30T00:00:00"/>
        <d v="2024-04-25T00:00:00"/>
        <d v="2025-09-24T00:00:00"/>
        <d v="2025-12-11T00:00:00"/>
        <d v="2024-04-16T00:00:00"/>
        <d v="2025-09-21T00:00:00"/>
        <d v="2025-02-13T00:00:00"/>
        <d v="2024-11-04T00:00:00"/>
        <d v="2024-05-31T00:00:00"/>
        <d v="2025-04-01T00:00:00"/>
        <d v="2024-03-06T00:00:00"/>
        <d v="2025-08-25T00:00:00"/>
        <d v="2024-10-23T00:00:00"/>
        <d v="2024-07-20T00:00:00"/>
        <d v="2025-11-28T00:00:00"/>
        <d v="2025-05-29T00:00:00"/>
        <d v="2025-12-15T00:00:00"/>
        <d v="2025-06-22T00:00:00"/>
        <d v="2025-04-20T00:00:00"/>
        <d v="2025-01-31T00:00:00"/>
        <d v="2024-01-11T00:00:00"/>
        <d v="2025-03-21T00:00:00"/>
        <d v="2024-10-01T00:00:00"/>
        <d v="2024-11-05T00:00:00"/>
        <d v="2024-10-19T00:00:00"/>
        <d v="2025-02-15T00:00:00"/>
        <d v="2024-09-07T00:00:00"/>
        <d v="2025-01-07T00:00:00"/>
        <d v="2025-09-10T00:00:00"/>
        <d v="2025-07-26T00:00:00"/>
        <d v="2024-11-13T00:00:00"/>
        <d v="2024-07-23T00:00:00"/>
        <d v="2024-09-23T00:00:00"/>
        <d v="2025-03-15T00:00:00"/>
        <d v="2025-01-04T00:00:00"/>
        <d v="2024-08-17T00:00:00"/>
        <d v="2025-12-10T00:00:00"/>
        <d v="2025-05-15T00:00:00"/>
        <d v="2024-07-03T00:00:00"/>
        <d v="2025-12-29T00:00:00"/>
        <d v="2024-05-24T00:00:00"/>
        <d v="2025-07-11T00:00:00"/>
        <d v="2024-02-12T00:00:00"/>
        <d v="2024-01-27T00:00:00"/>
        <d v="2024-12-05T00:00:00"/>
        <d v="2024-11-25T00:00:00"/>
        <d v="2025-11-03T00:00:00"/>
        <d v="2025-10-06T00:00:00"/>
        <d v="2025-02-07T00:00:00"/>
        <d v="2025-08-19T00:00:00"/>
        <d v="2024-01-01T00:00:00"/>
        <d v="2024-09-17T00:00:00"/>
        <d v="2025-11-06T00:00:00"/>
        <d v="2024-06-18T00:00:00"/>
        <d v="2024-02-15T00:00:00"/>
        <d v="2025-12-14T00:00:00"/>
        <d v="2025-11-16T00:00:00"/>
        <d v="2024-11-18T00:00:00"/>
        <d v="2025-10-07T00:00:00"/>
        <d v="2024-11-15T00:00:00"/>
        <d v="2025-01-09T00:00:00"/>
        <d v="2024-06-04T00:00:00"/>
        <d v="2025-05-01T00:00:00"/>
        <d v="2025-10-30T00:00:00"/>
        <d v="2024-11-09T00:00:00"/>
        <d v="2024-05-18T00:00:00"/>
        <d v="2025-06-28T00:00:00"/>
        <d v="2025-06-08T00:00:00"/>
        <d v="2024-05-16T00:00:00"/>
        <d v="2024-03-24T00:00:00"/>
        <d v="2025-02-14T00:00:00"/>
        <d v="2025-11-17T00:00:00"/>
        <d v="2025-05-12T00:00:00"/>
        <d v="2025-12-16T00:00:00"/>
        <d v="2025-02-20T00:00:00"/>
        <d v="2025-10-02T00:00:00"/>
        <d v="2024-06-16T00:00:00"/>
        <d v="2024-02-04T00:00:00"/>
        <d v="2025-02-17T00:00:00"/>
        <d v="2024-11-22T00:00:00"/>
        <d v="2024-07-28T00:00:00"/>
        <d v="2025-05-26T00:00:00"/>
        <d v="2025-09-15T00:00:00"/>
        <d v="2025-04-23T00:00:00"/>
        <d v="2025-06-02T00:00:00"/>
        <d v="2024-11-08T00:00:00"/>
        <d v="2025-04-25T00:00:00"/>
        <d v="2025-01-11T00:00:00"/>
        <d v="2025-09-19T00:00:00"/>
        <d v="2024-07-31T00:00:00"/>
        <d v="2025-10-22T00:00:00"/>
        <d v="2024-08-10T00:00:00"/>
        <d v="2024-01-29T00:00:00"/>
        <d v="2024-08-22T00:00:00"/>
        <d v="2025-01-01T00:00:00"/>
        <d v="2025-12-27T00:00:00"/>
        <d v="2025-05-18T00:00:00"/>
        <d v="2024-01-26T00:00:00"/>
        <d v="2024-12-07T00:00:00"/>
        <d v="2025-07-25T00:00:00"/>
        <d v="2025-10-10T00:00:00"/>
        <d v="2024-12-25T00:00:00"/>
        <d v="2025-03-10T00:00:00"/>
        <d v="2025-09-20T00:00:00"/>
        <d v="2025-02-01T00:00:00"/>
        <d v="2024-11-21T00:00:00"/>
        <d v="2025-08-08T00:00:00"/>
        <d v="2025-04-02T00:00:00"/>
        <d v="2024-05-05T00:00:00"/>
        <d v="2025-01-26T00:00:00"/>
        <d v="2024-10-10T00:00:00"/>
        <d v="2025-01-28T00:00:00"/>
        <d v="2024-11-06T00:00:00"/>
        <d v="2025-05-22T00:00:00"/>
        <d v="2025-11-09T00:00:00"/>
        <d v="2025-12-20T00:00:00"/>
        <d v="2025-09-17T00:00:00"/>
        <d v="2025-11-29T00:00:00"/>
        <d v="2025-06-20T00:00:00"/>
        <d v="2024-09-06T00:00:00"/>
        <d v="2025-08-27T00:00:00"/>
      </sharedItems>
      <fieldGroup par="20"/>
    </cacheField>
    <cacheField name="Customer_Name" numFmtId="0">
      <sharedItems/>
    </cacheField>
    <cacheField name="City" numFmtId="0">
      <sharedItems/>
    </cacheField>
    <cacheField name="State" numFmtId="0">
      <sharedItems/>
    </cacheField>
    <cacheField name="Region" numFmtId="0">
      <sharedItems count="4">
        <s v="West"/>
        <s v="South"/>
        <s v="North"/>
        <s v="East"/>
      </sharedItems>
    </cacheField>
    <cacheField name="Product" numFmtId="0">
      <sharedItems count="10">
        <s v="Monitor"/>
        <s v="Keyboard"/>
        <s v="Smartphone"/>
        <s v="Tablet"/>
        <s v="Smartwatch"/>
        <s v="Speaker"/>
        <s v="Headphones"/>
        <s v="Laptop"/>
        <s v="Printer"/>
        <s v="Mouse"/>
      </sharedItems>
    </cacheField>
    <cacheField name="Category" numFmtId="0">
      <sharedItems/>
    </cacheField>
    <cacheField name="Salesperson" numFmtId="0">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800" maxValue="65000"/>
    </cacheField>
    <cacheField name="Cost_Price" numFmtId="0">
      <sharedItems containsSemiMixedTypes="0" containsString="0" containsNumber="1" containsInteger="1" minValue="450" maxValue="52000"/>
    </cacheField>
    <cacheField name="Discount_%" numFmtId="9">
      <sharedItems containsSemiMixedTypes="0" containsString="0" containsNumber="1" minValue="0" maxValue="0.3"/>
    </cacheField>
    <cacheField name="Total_Sales" numFmtId="0">
      <sharedItems containsSemiMixedTypes="0" containsString="0" containsNumber="1" minValue="568" maxValue="630500"/>
    </cacheField>
    <cacheField name="Total_Cost" numFmtId="0">
      <sharedItems containsSemiMixedTypes="0" containsString="0" containsNumber="1" containsInteger="1" minValue="450" maxValue="520000"/>
    </cacheField>
    <cacheField name="Profit" numFmtId="0">
      <sharedItems containsSemiMixedTypes="0" containsString="0" containsNumber="1" minValue="-45500" maxValue="117000"/>
    </cacheField>
    <cacheField name="Payment_Mode" numFmtId="0">
      <sharedItems count="5">
        <s v="Credit Card"/>
        <s v="Debit Card"/>
        <s v="Net Banking"/>
        <s v="UPI"/>
        <s v="Cash"/>
      </sharedItems>
    </cacheField>
    <cacheField name="Delivery_Status" numFmtId="0">
      <sharedItems/>
    </cacheField>
    <cacheField name="Months (Order_Date)" numFmtId="0" databaseField="0">
      <fieldGroup base="2">
        <rangePr groupBy="months" startDate="2024-01-01T00:00:00" endDate="2026-01-01T00:00:00"/>
        <groupItems count="14">
          <s v="&lt;01-01-2024"/>
          <s v="Jan"/>
          <s v="Feb"/>
          <s v="Mar"/>
          <s v="Apr"/>
          <s v="May"/>
          <s v="Jun"/>
          <s v="Jul"/>
          <s v="Aug"/>
          <s v="Sep"/>
          <s v="Oct"/>
          <s v="Nov"/>
          <s v="Dec"/>
          <s v="&gt;01-01-2026"/>
        </groupItems>
      </fieldGroup>
    </cacheField>
    <cacheField name="Years (Order_Date)" numFmtId="0" databaseField="0">
      <fieldGroup base="2">
        <rangePr groupBy="years" startDate="2024-01-01T00:00:00" endDate="2026-01-01T00:00:00"/>
        <groupItems count="5">
          <s v="&lt;01-01-2024"/>
          <s v="2024"/>
          <s v="2025"/>
          <s v="2026"/>
          <s v="&gt;01-01-2026"/>
        </groupItems>
      </fieldGroup>
    </cacheField>
  </cacheFields>
  <extLst>
    <ext xmlns:x14="http://schemas.microsoft.com/office/spreadsheetml/2009/9/main" uri="{725AE2AE-9491-48be-B2B4-4EB974FC3084}">
      <x14:pivotCacheDefinition pivotCacheId="182811003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nksha naik" refreshedDate="46222.769221643517" createdVersion="8" refreshedVersion="8" minRefreshableVersion="3" recordCount="1001" xr:uid="{AC04BBE8-92AA-45B0-9760-6B2E2AEE4C0F}">
  <cacheSource type="worksheet">
    <worksheetSource ref="A1:S1048576" sheet="Raw_Data"/>
  </cacheSource>
  <cacheFields count="19">
    <cacheField name="Order_ID" numFmtId="0">
      <sharedItems containsBlank="1"/>
    </cacheField>
    <cacheField name="Customer_ID" numFmtId="0">
      <sharedItems containsBlank="1"/>
    </cacheField>
    <cacheField name="Order_Date" numFmtId="0">
      <sharedItems containsNonDate="0" containsDate="1" containsString="0" containsBlank="1" minDate="2024-01-01T00:00:00" maxDate="2026-01-01T00:00:00"/>
    </cacheField>
    <cacheField name="Customer_Name" numFmtId="0">
      <sharedItems containsBlank="1"/>
    </cacheField>
    <cacheField name="City" numFmtId="0">
      <sharedItems containsBlank="1"/>
    </cacheField>
    <cacheField name="State" numFmtId="0">
      <sharedItems containsBlank="1"/>
    </cacheField>
    <cacheField name="Region" numFmtId="0">
      <sharedItems containsBlank="1"/>
    </cacheField>
    <cacheField name="Product" numFmtId="0">
      <sharedItems containsBlank="1"/>
    </cacheField>
    <cacheField name="Category" numFmtId="0">
      <sharedItems containsBlank="1"/>
    </cacheField>
    <cacheField name="Salesperson" numFmtId="0">
      <sharedItems containsBlank="1"/>
    </cacheField>
    <cacheField name="Quantity" numFmtId="0">
      <sharedItems containsString="0" containsBlank="1" containsNumber="1" containsInteger="1" minValue="1" maxValue="10"/>
    </cacheField>
    <cacheField name="Unit_Price" numFmtId="0">
      <sharedItems containsString="0" containsBlank="1" containsNumber="1" containsInteger="1" minValue="800" maxValue="65000"/>
    </cacheField>
    <cacheField name="Cost_Price" numFmtId="0">
      <sharedItems containsString="0" containsBlank="1" containsNumber="1" containsInteger="1" minValue="450" maxValue="52000"/>
    </cacheField>
    <cacheField name="Discount_%" numFmtId="0">
      <sharedItems containsString="0" containsBlank="1" containsNumber="1" minValue="0" maxValue="0.3"/>
    </cacheField>
    <cacheField name="Total_Sales" numFmtId="0">
      <sharedItems containsString="0" containsBlank="1" containsNumber="1" minValue="568" maxValue="630500"/>
    </cacheField>
    <cacheField name="Total_Cost" numFmtId="0">
      <sharedItems containsString="0" containsBlank="1" containsNumber="1" containsInteger="1" minValue="450" maxValue="520000"/>
    </cacheField>
    <cacheField name="Profit" numFmtId="0">
      <sharedItems containsString="0" containsBlank="1" containsNumber="1" minValue="-45500" maxValue="117000"/>
    </cacheField>
    <cacheField name="Payment_Mode" numFmtId="0">
      <sharedItems containsBlank="1"/>
    </cacheField>
    <cacheField name="Delivery_Status" numFmtId="0">
      <sharedItems containsBlank="1" count="5">
        <s v="Delivered"/>
        <s v="Cancelled"/>
        <s v="In Transit"/>
        <s v="Returned"/>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01"/>
    <s v="CUST0001"/>
    <x v="0"/>
    <s v="Nikhil Jain"/>
    <s v="Surat"/>
    <s v="Gujarat"/>
    <x v="0"/>
    <x v="0"/>
    <s v="Office"/>
    <s v="Arjun Rao"/>
    <n v="5"/>
    <n v="18000"/>
    <n v="14000"/>
    <n v="0.04"/>
    <n v="86400"/>
    <n v="70000"/>
    <n v="16400"/>
    <x v="0"/>
    <s v="Delivered"/>
  </r>
  <r>
    <s v="ORD0002"/>
    <s v="CUST0002"/>
    <x v="1"/>
    <s v="Divya Menon"/>
    <s v="Mumbai"/>
    <s v="Maharashtra"/>
    <x v="0"/>
    <x v="1"/>
    <s v="Accessories"/>
    <s v="Arjun Rao"/>
    <n v="3"/>
    <n v="1500"/>
    <n v="900"/>
    <n v="0.08"/>
    <n v="4140"/>
    <n v="2700"/>
    <n v="1440"/>
    <x v="1"/>
    <s v="Cancelled"/>
  </r>
  <r>
    <s v="ORD0003"/>
    <s v="CUST0003"/>
    <x v="2"/>
    <s v="Sneha Nair"/>
    <s v="Mysuru"/>
    <s v="Karnataka"/>
    <x v="1"/>
    <x v="2"/>
    <s v="Electronics"/>
    <s v="Arjun Rao"/>
    <n v="3"/>
    <n v="35000"/>
    <n v="28000"/>
    <n v="0.22"/>
    <n v="81900"/>
    <n v="84000"/>
    <n v="-2100"/>
    <x v="2"/>
    <s v="Cancelled"/>
  </r>
  <r>
    <s v="ORD0004"/>
    <s v="CUST0004"/>
    <x v="3"/>
    <s v="Arjun Mehta"/>
    <s v="Jaipur"/>
    <s v="Rajasthan"/>
    <x v="2"/>
    <x v="3"/>
    <s v="Electronics"/>
    <s v="Neha Gupta"/>
    <n v="1"/>
    <n v="25000"/>
    <n v="20000"/>
    <n v="0.28999999999999998"/>
    <n v="17750"/>
    <n v="20000"/>
    <n v="-2250"/>
    <x v="0"/>
    <s v="In Transit"/>
  </r>
  <r>
    <s v="ORD0005"/>
    <s v="CUST0005"/>
    <x v="4"/>
    <s v="Deepika Roy"/>
    <s v="Bengaluru"/>
    <s v="Karnataka"/>
    <x v="1"/>
    <x v="4"/>
    <s v="Wearables"/>
    <s v="Neha Gupta"/>
    <n v="6"/>
    <n v="12000"/>
    <n v="8500"/>
    <n v="0.21"/>
    <n v="56880"/>
    <n v="51000"/>
    <n v="5880"/>
    <x v="3"/>
    <s v="In Transit"/>
  </r>
  <r>
    <s v="ORD0006"/>
    <s v="CUST0006"/>
    <x v="5"/>
    <s v="Priya Patel"/>
    <s v="Pune"/>
    <s v="Maharashtra"/>
    <x v="0"/>
    <x v="4"/>
    <s v="Wearables"/>
    <s v="Pooja Das"/>
    <n v="6"/>
    <n v="12000"/>
    <n v="8500"/>
    <n v="7.0000000000000007E-2"/>
    <n v="66960"/>
    <n v="51000"/>
    <n v="15960"/>
    <x v="2"/>
    <s v="Returned"/>
  </r>
  <r>
    <s v="ORD0007"/>
    <s v="CUST0007"/>
    <x v="6"/>
    <s v="Vikram Singh"/>
    <s v="Coimbatore"/>
    <s v="Tamil Nadu"/>
    <x v="1"/>
    <x v="3"/>
    <s v="Electronics"/>
    <s v="Rahul Verma"/>
    <n v="10"/>
    <n v="25000"/>
    <n v="20000"/>
    <n v="0.27"/>
    <n v="182500"/>
    <n v="200000"/>
    <n v="-17500"/>
    <x v="3"/>
    <s v="Cancelled"/>
  </r>
  <r>
    <s v="ORD0008"/>
    <s v="CUST0008"/>
    <x v="7"/>
    <s v="Rohit Verma"/>
    <s v="Hyderabad"/>
    <s v="Telangana"/>
    <x v="1"/>
    <x v="4"/>
    <s v="Wearables"/>
    <s v="Sneha Patil"/>
    <n v="7"/>
    <n v="12000"/>
    <n v="8500"/>
    <n v="0.13"/>
    <n v="73080"/>
    <n v="59500"/>
    <n v="13580"/>
    <x v="1"/>
    <s v="Delivered"/>
  </r>
  <r>
    <s v="ORD0009"/>
    <s v="CUST0009"/>
    <x v="8"/>
    <s v="Anjali Rao"/>
    <s v="Jaipur"/>
    <s v="Rajasthan"/>
    <x v="2"/>
    <x v="5"/>
    <s v="Electronics"/>
    <s v="Amit Sharma"/>
    <n v="9"/>
    <n v="5000"/>
    <n v="3200"/>
    <n v="7.0000000000000007E-2"/>
    <n v="41850"/>
    <n v="28800"/>
    <n v="13050"/>
    <x v="4"/>
    <s v="Cancelled"/>
  </r>
  <r>
    <s v="ORD0010"/>
    <s v="CUST0010"/>
    <x v="9"/>
    <s v="Rohan Kulkarni"/>
    <s v="New Delhi"/>
    <s v="Delhi"/>
    <x v="2"/>
    <x v="1"/>
    <s v="Accessories"/>
    <s v="Sneha Patil"/>
    <n v="8"/>
    <n v="1500"/>
    <n v="900"/>
    <n v="0"/>
    <n v="12000"/>
    <n v="7200"/>
    <n v="4800"/>
    <x v="2"/>
    <s v="In Transit"/>
  </r>
  <r>
    <s v="ORD0011"/>
    <s v="CUST0011"/>
    <x v="10"/>
    <s v="Anjali Rao"/>
    <s v="Jaipur"/>
    <s v="Rajasthan"/>
    <x v="2"/>
    <x v="2"/>
    <s v="Electronics"/>
    <s v="Rahul Verma"/>
    <n v="8"/>
    <n v="35000"/>
    <n v="28000"/>
    <n v="0.26"/>
    <n v="207200"/>
    <n v="224000"/>
    <n v="-16800"/>
    <x v="0"/>
    <s v="Returned"/>
  </r>
  <r>
    <s v="ORD0012"/>
    <s v="CUST0012"/>
    <x v="11"/>
    <s v="Karan Joshi"/>
    <s v="Pune"/>
    <s v="Maharashtra"/>
    <x v="0"/>
    <x v="6"/>
    <s v="Accessories"/>
    <s v="Arjun Rao"/>
    <n v="7"/>
    <n v="3000"/>
    <n v="1800"/>
    <n v="0.08"/>
    <n v="19320"/>
    <n v="12600"/>
    <n v="6720"/>
    <x v="3"/>
    <s v="Cancelled"/>
  </r>
  <r>
    <s v="ORD0013"/>
    <s v="CUST0013"/>
    <x v="12"/>
    <s v="Rohan Kulkarni"/>
    <s v="Jaipur"/>
    <s v="Rajasthan"/>
    <x v="2"/>
    <x v="7"/>
    <s v="Electronics"/>
    <s v="Amit Sharma"/>
    <n v="9"/>
    <n v="65000"/>
    <n v="52000"/>
    <n v="0.19"/>
    <n v="473850.00000000006"/>
    <n v="468000"/>
    <n v="5850.0000000000582"/>
    <x v="2"/>
    <s v="In Transit"/>
  </r>
  <r>
    <s v="ORD0014"/>
    <s v="CUST0014"/>
    <x v="13"/>
    <s v="Amit Kumar"/>
    <s v="Kolkata"/>
    <s v="West Bengal"/>
    <x v="3"/>
    <x v="6"/>
    <s v="Accessories"/>
    <s v="Arjun Rao"/>
    <n v="1"/>
    <n v="3000"/>
    <n v="1800"/>
    <n v="0.17"/>
    <n v="2490"/>
    <n v="1800"/>
    <n v="690"/>
    <x v="0"/>
    <s v="Delivered"/>
  </r>
  <r>
    <s v="ORD0015"/>
    <s v="CUST0015"/>
    <x v="14"/>
    <s v="Divya Menon"/>
    <s v="Kolkata"/>
    <s v="West Bengal"/>
    <x v="3"/>
    <x v="6"/>
    <s v="Accessories"/>
    <s v="Karan Singh"/>
    <n v="7"/>
    <n v="3000"/>
    <n v="1800"/>
    <n v="0.22"/>
    <n v="16380"/>
    <n v="12600"/>
    <n v="3780"/>
    <x v="4"/>
    <s v="Cancelled"/>
  </r>
  <r>
    <s v="ORD0016"/>
    <s v="CUST0016"/>
    <x v="15"/>
    <s v="Vikram Singh"/>
    <s v="Warangal"/>
    <s v="Telangana"/>
    <x v="1"/>
    <x v="3"/>
    <s v="Electronics"/>
    <s v="Priya Nair"/>
    <n v="4"/>
    <n v="25000"/>
    <n v="20000"/>
    <n v="0.15"/>
    <n v="85000"/>
    <n v="80000"/>
    <n v="5000"/>
    <x v="2"/>
    <s v="In Transit"/>
  </r>
  <r>
    <s v="ORD0017"/>
    <s v="CUST0017"/>
    <x v="16"/>
    <s v="Kavya Reddy"/>
    <s v="Mumbai"/>
    <s v="Maharashtra"/>
    <x v="0"/>
    <x v="8"/>
    <s v="Office"/>
    <s v="Sneha Patil"/>
    <n v="6"/>
    <n v="15000"/>
    <n v="11500"/>
    <n v="0.22"/>
    <n v="70200"/>
    <n v="69000"/>
    <n v="1200"/>
    <x v="0"/>
    <s v="In Transit"/>
  </r>
  <r>
    <s v="ORD0018"/>
    <s v="CUST0018"/>
    <x v="17"/>
    <s v="Neha Gupta"/>
    <s v="Pune"/>
    <s v="Maharashtra"/>
    <x v="0"/>
    <x v="5"/>
    <s v="Electronics"/>
    <s v="Rahul Verma"/>
    <n v="10"/>
    <n v="5000"/>
    <n v="3200"/>
    <n v="0.21"/>
    <n v="39500"/>
    <n v="32000"/>
    <n v="7500"/>
    <x v="4"/>
    <s v="Returned"/>
  </r>
  <r>
    <s v="ORD0019"/>
    <s v="CUST0019"/>
    <x v="18"/>
    <s v="Karan Joshi"/>
    <s v="Mysuru"/>
    <s v="Karnataka"/>
    <x v="1"/>
    <x v="1"/>
    <s v="Accessories"/>
    <s v="Arjun Rao"/>
    <n v="10"/>
    <n v="1500"/>
    <n v="900"/>
    <n v="0.04"/>
    <n v="14400"/>
    <n v="9000"/>
    <n v="5400"/>
    <x v="4"/>
    <s v="In Transit"/>
  </r>
  <r>
    <s v="ORD0020"/>
    <s v="CUST0020"/>
    <x v="19"/>
    <s v="Anjali Rao"/>
    <s v="Mysuru"/>
    <s v="Karnataka"/>
    <x v="1"/>
    <x v="6"/>
    <s v="Accessories"/>
    <s v="Arjun Rao"/>
    <n v="5"/>
    <n v="3000"/>
    <n v="1800"/>
    <n v="0.04"/>
    <n v="14400"/>
    <n v="9000"/>
    <n v="5400"/>
    <x v="3"/>
    <s v="Delivered"/>
  </r>
  <r>
    <s v="ORD0021"/>
    <s v="CUST0021"/>
    <x v="20"/>
    <s v="Pooja Das"/>
    <s v="Ahmedabad"/>
    <s v="Gujarat"/>
    <x v="0"/>
    <x v="4"/>
    <s v="Wearables"/>
    <s v="Sneha Patil"/>
    <n v="9"/>
    <n v="12000"/>
    <n v="8500"/>
    <n v="0.03"/>
    <n v="104760"/>
    <n v="76500"/>
    <n v="28260"/>
    <x v="0"/>
    <s v="Delivered"/>
  </r>
  <r>
    <s v="ORD0022"/>
    <s v="CUST0022"/>
    <x v="21"/>
    <s v="Rahul Sharma"/>
    <s v="Warangal"/>
    <s v="Telangana"/>
    <x v="1"/>
    <x v="8"/>
    <s v="Office"/>
    <s v="Rahul Verma"/>
    <n v="7"/>
    <n v="15000"/>
    <n v="11500"/>
    <n v="0.06"/>
    <n v="98700"/>
    <n v="80500"/>
    <n v="18200"/>
    <x v="1"/>
    <s v="Delivered"/>
  </r>
  <r>
    <s v="ORD0023"/>
    <s v="CUST0023"/>
    <x v="22"/>
    <s v="Priya Patel"/>
    <s v="Kolkata"/>
    <s v="West Bengal"/>
    <x v="3"/>
    <x v="4"/>
    <s v="Wearables"/>
    <s v="Rahul Verma"/>
    <n v="10"/>
    <n v="12000"/>
    <n v="8500"/>
    <n v="0.21"/>
    <n v="94800"/>
    <n v="85000"/>
    <n v="9800"/>
    <x v="1"/>
    <s v="Returned"/>
  </r>
  <r>
    <s v="ORD0024"/>
    <s v="CUST0024"/>
    <x v="23"/>
    <s v="Neha Gupta"/>
    <s v="Kolkata"/>
    <s v="West Bengal"/>
    <x v="3"/>
    <x v="6"/>
    <s v="Accessories"/>
    <s v="Amit Sharma"/>
    <n v="10"/>
    <n v="3000"/>
    <n v="1800"/>
    <n v="7.0000000000000007E-2"/>
    <n v="27899.999999999996"/>
    <n v="18000"/>
    <n v="9899.9999999999964"/>
    <x v="1"/>
    <s v="In Transit"/>
  </r>
  <r>
    <s v="ORD0025"/>
    <s v="CUST0025"/>
    <x v="24"/>
    <s v="Neha Gupta"/>
    <s v="Chennai"/>
    <s v="Tamil Nadu"/>
    <x v="1"/>
    <x v="8"/>
    <s v="Office"/>
    <s v="Sneha Patil"/>
    <n v="4"/>
    <n v="15000"/>
    <n v="11500"/>
    <n v="0.13"/>
    <n v="52200"/>
    <n v="46000"/>
    <n v="6200"/>
    <x v="0"/>
    <s v="Returned"/>
  </r>
  <r>
    <s v="ORD0026"/>
    <s v="CUST0026"/>
    <x v="25"/>
    <s v="Priya Patel"/>
    <s v="Chennai"/>
    <s v="Tamil Nadu"/>
    <x v="1"/>
    <x v="3"/>
    <s v="Electronics"/>
    <s v="Anjali Mehta"/>
    <n v="8"/>
    <n v="25000"/>
    <n v="20000"/>
    <n v="0.22"/>
    <n v="156000"/>
    <n v="160000"/>
    <n v="-4000"/>
    <x v="2"/>
    <s v="Returned"/>
  </r>
  <r>
    <s v="ORD0027"/>
    <s v="CUST0027"/>
    <x v="26"/>
    <s v="Rahul Sharma"/>
    <s v="Chennai"/>
    <s v="Tamil Nadu"/>
    <x v="1"/>
    <x v="7"/>
    <s v="Electronics"/>
    <s v="Neha Gupta"/>
    <n v="9"/>
    <n v="65000"/>
    <n v="52000"/>
    <n v="0.19"/>
    <n v="473850.00000000006"/>
    <n v="468000"/>
    <n v="5850.0000000000582"/>
    <x v="1"/>
    <s v="Delivered"/>
  </r>
  <r>
    <s v="ORD0028"/>
    <s v="CUST0028"/>
    <x v="27"/>
    <s v="Vikram Singh"/>
    <s v="Hyderabad"/>
    <s v="Telangana"/>
    <x v="1"/>
    <x v="0"/>
    <s v="Office"/>
    <s v="Anjali Mehta"/>
    <n v="6"/>
    <n v="18000"/>
    <n v="14000"/>
    <n v="0.08"/>
    <n v="99360"/>
    <n v="84000"/>
    <n v="15360"/>
    <x v="4"/>
    <s v="Returned"/>
  </r>
  <r>
    <s v="ORD0029"/>
    <s v="CUST0029"/>
    <x v="28"/>
    <s v="Priya Patel"/>
    <s v="Hyderabad"/>
    <s v="Telangana"/>
    <x v="1"/>
    <x v="7"/>
    <s v="Electronics"/>
    <s v="Rahul Verma"/>
    <n v="7"/>
    <n v="65000"/>
    <n v="52000"/>
    <n v="0.13"/>
    <n v="395850"/>
    <n v="364000"/>
    <n v="31850"/>
    <x v="0"/>
    <s v="Delivered"/>
  </r>
  <r>
    <s v="ORD0030"/>
    <s v="CUST0030"/>
    <x v="29"/>
    <s v="Meera Shah"/>
    <s v="Chennai"/>
    <s v="Tamil Nadu"/>
    <x v="1"/>
    <x v="4"/>
    <s v="Wearables"/>
    <s v="Neha Gupta"/>
    <n v="5"/>
    <n v="12000"/>
    <n v="8500"/>
    <n v="0.14000000000000001"/>
    <n v="51600"/>
    <n v="42500"/>
    <n v="9100"/>
    <x v="1"/>
    <s v="Cancelled"/>
  </r>
  <r>
    <s v="ORD0031"/>
    <s v="CUST0031"/>
    <x v="30"/>
    <s v="Priya Patel"/>
    <s v="Jaipur"/>
    <s v="Rajasthan"/>
    <x v="2"/>
    <x v="6"/>
    <s v="Accessories"/>
    <s v="Amit Sharma"/>
    <n v="9"/>
    <n v="3000"/>
    <n v="1800"/>
    <n v="0.03"/>
    <n v="26190"/>
    <n v="16200"/>
    <n v="9990"/>
    <x v="1"/>
    <s v="Delivered"/>
  </r>
  <r>
    <s v="ORD0032"/>
    <s v="CUST0032"/>
    <x v="31"/>
    <s v="Neha Gupta"/>
    <s v="Pune"/>
    <s v="Maharashtra"/>
    <x v="0"/>
    <x v="2"/>
    <s v="Electronics"/>
    <s v="Priya Nair"/>
    <n v="8"/>
    <n v="35000"/>
    <n v="28000"/>
    <n v="0.09"/>
    <n v="254800"/>
    <n v="224000"/>
    <n v="30800"/>
    <x v="2"/>
    <s v="Cancelled"/>
  </r>
  <r>
    <s v="ORD0033"/>
    <s v="CUST0033"/>
    <x v="32"/>
    <s v="Sneha Nair"/>
    <s v="Ahmedabad"/>
    <s v="Gujarat"/>
    <x v="0"/>
    <x v="3"/>
    <s v="Electronics"/>
    <s v="Arjun Rao"/>
    <n v="7"/>
    <n v="25000"/>
    <n v="20000"/>
    <n v="0.17"/>
    <n v="145250"/>
    <n v="140000"/>
    <n v="5250"/>
    <x v="3"/>
    <s v="Cancelled"/>
  </r>
  <r>
    <s v="ORD0034"/>
    <s v="CUST0034"/>
    <x v="33"/>
    <s v="Deepika Roy"/>
    <s v="New Delhi"/>
    <s v="Delhi"/>
    <x v="2"/>
    <x v="8"/>
    <s v="Office"/>
    <s v="Rahul Verma"/>
    <n v="10"/>
    <n v="15000"/>
    <n v="11500"/>
    <n v="0.12"/>
    <n v="132000"/>
    <n v="115000"/>
    <n v="17000"/>
    <x v="1"/>
    <s v="Delivered"/>
  </r>
  <r>
    <s v="ORD0035"/>
    <s v="CUST0035"/>
    <x v="34"/>
    <s v="Rahul Sharma"/>
    <s v="Hyderabad"/>
    <s v="Telangana"/>
    <x v="1"/>
    <x v="6"/>
    <s v="Accessories"/>
    <s v="Arjun Rao"/>
    <n v="9"/>
    <n v="3000"/>
    <n v="1800"/>
    <n v="0.25"/>
    <n v="20250"/>
    <n v="16200"/>
    <n v="4050"/>
    <x v="2"/>
    <s v="Returned"/>
  </r>
  <r>
    <s v="ORD0036"/>
    <s v="CUST0036"/>
    <x v="35"/>
    <s v="Rohit Verma"/>
    <s v="Kolkata"/>
    <s v="West Bengal"/>
    <x v="3"/>
    <x v="3"/>
    <s v="Electronics"/>
    <s v="Neha Gupta"/>
    <n v="2"/>
    <n v="25000"/>
    <n v="20000"/>
    <n v="0.27"/>
    <n v="36500"/>
    <n v="40000"/>
    <n v="-3500"/>
    <x v="1"/>
    <s v="In Transit"/>
  </r>
  <r>
    <s v="ORD0037"/>
    <s v="CUST0037"/>
    <x v="21"/>
    <s v="Aisha Khan"/>
    <s v="Coimbatore"/>
    <s v="Tamil Nadu"/>
    <x v="1"/>
    <x v="0"/>
    <s v="Office"/>
    <s v="Neha Gupta"/>
    <n v="10"/>
    <n v="18000"/>
    <n v="14000"/>
    <n v="0.01"/>
    <n v="178200"/>
    <n v="140000"/>
    <n v="38200"/>
    <x v="1"/>
    <s v="Cancelled"/>
  </r>
  <r>
    <s v="ORD0038"/>
    <s v="CUST0038"/>
    <x v="36"/>
    <s v="Sneha Nair"/>
    <s v="Chennai"/>
    <s v="Tamil Nadu"/>
    <x v="1"/>
    <x v="5"/>
    <s v="Electronics"/>
    <s v="Karan Singh"/>
    <n v="1"/>
    <n v="5000"/>
    <n v="3200"/>
    <n v="0.27"/>
    <n v="3650"/>
    <n v="3200"/>
    <n v="450"/>
    <x v="4"/>
    <s v="Returned"/>
  </r>
  <r>
    <s v="ORD0039"/>
    <s v="CUST0039"/>
    <x v="37"/>
    <s v="Aditya Mishra"/>
    <s v="Mumbai"/>
    <s v="Maharashtra"/>
    <x v="0"/>
    <x v="3"/>
    <s v="Electronics"/>
    <s v="Priya Nair"/>
    <n v="5"/>
    <n v="25000"/>
    <n v="20000"/>
    <n v="0.21"/>
    <n v="98750"/>
    <n v="100000"/>
    <n v="-1250"/>
    <x v="2"/>
    <s v="Delivered"/>
  </r>
  <r>
    <s v="ORD0040"/>
    <s v="CUST0040"/>
    <x v="38"/>
    <s v="Deepika Roy"/>
    <s v="Ahmedabad"/>
    <s v="Gujarat"/>
    <x v="0"/>
    <x v="6"/>
    <s v="Accessories"/>
    <s v="Rahul Verma"/>
    <n v="5"/>
    <n v="3000"/>
    <n v="1800"/>
    <n v="0.24"/>
    <n v="11400"/>
    <n v="9000"/>
    <n v="2400"/>
    <x v="3"/>
    <s v="In Transit"/>
  </r>
  <r>
    <s v="ORD0041"/>
    <s v="CUST0041"/>
    <x v="21"/>
    <s v="Kavya Reddy"/>
    <s v="Ahmedabad"/>
    <s v="Gujarat"/>
    <x v="0"/>
    <x v="6"/>
    <s v="Accessories"/>
    <s v="Pooja Das"/>
    <n v="1"/>
    <n v="3000"/>
    <n v="1800"/>
    <n v="0.28999999999999998"/>
    <n v="2130"/>
    <n v="1800"/>
    <n v="330"/>
    <x v="0"/>
    <s v="Cancelled"/>
  </r>
  <r>
    <s v="ORD0042"/>
    <s v="CUST0042"/>
    <x v="39"/>
    <s v="Karan Joshi"/>
    <s v="Hyderabad"/>
    <s v="Telangana"/>
    <x v="1"/>
    <x v="8"/>
    <s v="Office"/>
    <s v="Neha Gupta"/>
    <n v="5"/>
    <n v="15000"/>
    <n v="11500"/>
    <n v="0.24"/>
    <n v="57000"/>
    <n v="57500"/>
    <n v="-500"/>
    <x v="4"/>
    <s v="In Transit"/>
  </r>
  <r>
    <s v="ORD0043"/>
    <s v="CUST0043"/>
    <x v="40"/>
    <s v="Sneha Nair"/>
    <s v="Kolkata"/>
    <s v="West Bengal"/>
    <x v="3"/>
    <x v="5"/>
    <s v="Electronics"/>
    <s v="Arjun Rao"/>
    <n v="1"/>
    <n v="5000"/>
    <n v="3200"/>
    <n v="0.16"/>
    <n v="4200"/>
    <n v="3200"/>
    <n v="1000"/>
    <x v="4"/>
    <s v="In Transit"/>
  </r>
  <r>
    <s v="ORD0044"/>
    <s v="CUST0044"/>
    <x v="41"/>
    <s v="Aditya Mishra"/>
    <s v="Pune"/>
    <s v="Maharashtra"/>
    <x v="0"/>
    <x v="1"/>
    <s v="Accessories"/>
    <s v="Priya Nair"/>
    <n v="1"/>
    <n v="1500"/>
    <n v="900"/>
    <n v="0.17"/>
    <n v="1245"/>
    <n v="900"/>
    <n v="345"/>
    <x v="3"/>
    <s v="Delivered"/>
  </r>
  <r>
    <s v="ORD0045"/>
    <s v="CUST0045"/>
    <x v="42"/>
    <s v="Karan Joshi"/>
    <s v="Bengaluru"/>
    <s v="Karnataka"/>
    <x v="1"/>
    <x v="8"/>
    <s v="Office"/>
    <s v="Karan Singh"/>
    <n v="3"/>
    <n v="15000"/>
    <n v="11500"/>
    <n v="0.05"/>
    <n v="42750"/>
    <n v="34500"/>
    <n v="8250"/>
    <x v="0"/>
    <s v="In Transit"/>
  </r>
  <r>
    <s v="ORD0046"/>
    <s v="CUST0046"/>
    <x v="43"/>
    <s v="Suresh Iyer"/>
    <s v="Coimbatore"/>
    <s v="Tamil Nadu"/>
    <x v="1"/>
    <x v="9"/>
    <s v="Accessories"/>
    <s v="Neha Gupta"/>
    <n v="7"/>
    <n v="800"/>
    <n v="450"/>
    <n v="0.16"/>
    <n v="4704"/>
    <n v="3150"/>
    <n v="1554"/>
    <x v="3"/>
    <s v="Delivered"/>
  </r>
  <r>
    <s v="ORD0047"/>
    <s v="CUST0047"/>
    <x v="44"/>
    <s v="Karan Joshi"/>
    <s v="Surat"/>
    <s v="Gujarat"/>
    <x v="0"/>
    <x v="4"/>
    <s v="Wearables"/>
    <s v="Priya Nair"/>
    <n v="2"/>
    <n v="12000"/>
    <n v="8500"/>
    <n v="0.27"/>
    <n v="17520"/>
    <n v="17000"/>
    <n v="520"/>
    <x v="4"/>
    <s v="Returned"/>
  </r>
  <r>
    <s v="ORD0048"/>
    <s v="CUST0048"/>
    <x v="45"/>
    <s v="Deepika Roy"/>
    <s v="Surat"/>
    <s v="Gujarat"/>
    <x v="0"/>
    <x v="0"/>
    <s v="Office"/>
    <s v="Pooja Das"/>
    <n v="3"/>
    <n v="18000"/>
    <n v="14000"/>
    <n v="0.15"/>
    <n v="45900"/>
    <n v="42000"/>
    <n v="3900"/>
    <x v="2"/>
    <s v="In Transit"/>
  </r>
  <r>
    <s v="ORD0049"/>
    <s v="CUST0049"/>
    <x v="46"/>
    <s v="Karan Joshi"/>
    <s v="Bengaluru"/>
    <s v="Karnataka"/>
    <x v="1"/>
    <x v="2"/>
    <s v="Electronics"/>
    <s v="Sneha Patil"/>
    <n v="8"/>
    <n v="35000"/>
    <n v="28000"/>
    <n v="7.0000000000000007E-2"/>
    <n v="260399.99999999997"/>
    <n v="224000"/>
    <n v="36399.999999999971"/>
    <x v="3"/>
    <s v="Delivered"/>
  </r>
  <r>
    <s v="ORD0050"/>
    <s v="CUST0050"/>
    <x v="47"/>
    <s v="Vikram Singh"/>
    <s v="Kolkata"/>
    <s v="West Bengal"/>
    <x v="3"/>
    <x v="0"/>
    <s v="Office"/>
    <s v="Amit Sharma"/>
    <n v="5"/>
    <n v="18000"/>
    <n v="14000"/>
    <n v="0.19"/>
    <n v="72900"/>
    <n v="70000"/>
    <n v="2900"/>
    <x v="2"/>
    <s v="Delivered"/>
  </r>
  <r>
    <s v="ORD0051"/>
    <s v="CUST0051"/>
    <x v="48"/>
    <s v="Kavya Reddy"/>
    <s v="Mysuru"/>
    <s v="Karnataka"/>
    <x v="1"/>
    <x v="1"/>
    <s v="Accessories"/>
    <s v="Sneha Patil"/>
    <n v="5"/>
    <n v="1500"/>
    <n v="900"/>
    <n v="0.3"/>
    <n v="5250"/>
    <n v="4500"/>
    <n v="750"/>
    <x v="0"/>
    <s v="Returned"/>
  </r>
  <r>
    <s v="ORD0052"/>
    <s v="CUST0052"/>
    <x v="44"/>
    <s v="Kavya Reddy"/>
    <s v="Ahmedabad"/>
    <s v="Gujarat"/>
    <x v="0"/>
    <x v="0"/>
    <s v="Office"/>
    <s v="Sneha Patil"/>
    <n v="9"/>
    <n v="18000"/>
    <n v="14000"/>
    <n v="0.06"/>
    <n v="152280"/>
    <n v="126000"/>
    <n v="26280"/>
    <x v="0"/>
    <s v="In Transit"/>
  </r>
  <r>
    <s v="ORD0053"/>
    <s v="CUST0053"/>
    <x v="49"/>
    <s v="Anjali Rao"/>
    <s v="Mysuru"/>
    <s v="Karnataka"/>
    <x v="1"/>
    <x v="8"/>
    <s v="Office"/>
    <s v="Arjun Rao"/>
    <n v="4"/>
    <n v="15000"/>
    <n v="11500"/>
    <n v="0.05"/>
    <n v="57000"/>
    <n v="46000"/>
    <n v="11000"/>
    <x v="4"/>
    <s v="Delivered"/>
  </r>
  <r>
    <s v="ORD0054"/>
    <s v="CUST0054"/>
    <x v="50"/>
    <s v="Aisha Khan"/>
    <s v="Chennai"/>
    <s v="Tamil Nadu"/>
    <x v="1"/>
    <x v="9"/>
    <s v="Accessories"/>
    <s v="Amit Sharma"/>
    <n v="5"/>
    <n v="800"/>
    <n v="450"/>
    <n v="0.23"/>
    <n v="3080"/>
    <n v="2250"/>
    <n v="830"/>
    <x v="0"/>
    <s v="In Transit"/>
  </r>
  <r>
    <s v="ORD0055"/>
    <s v="CUST0055"/>
    <x v="51"/>
    <s v="Rohan Kulkarni"/>
    <s v="New Delhi"/>
    <s v="Delhi"/>
    <x v="2"/>
    <x v="2"/>
    <s v="Electronics"/>
    <s v="Anjali Mehta"/>
    <n v="5"/>
    <n v="35000"/>
    <n v="28000"/>
    <n v="0.21"/>
    <n v="138250"/>
    <n v="140000"/>
    <n v="-1750"/>
    <x v="2"/>
    <s v="Delivered"/>
  </r>
  <r>
    <s v="ORD0056"/>
    <s v="CUST0056"/>
    <x v="52"/>
    <s v="Deepika Roy"/>
    <s v="Warangal"/>
    <s v="Telangana"/>
    <x v="1"/>
    <x v="4"/>
    <s v="Wearables"/>
    <s v="Pooja Das"/>
    <n v="3"/>
    <n v="12000"/>
    <n v="8500"/>
    <n v="0.04"/>
    <n v="34560"/>
    <n v="25500"/>
    <n v="9060"/>
    <x v="2"/>
    <s v="In Transit"/>
  </r>
  <r>
    <s v="ORD0057"/>
    <s v="CUST0057"/>
    <x v="53"/>
    <s v="Vikram Singh"/>
    <s v="Pune"/>
    <s v="Maharashtra"/>
    <x v="0"/>
    <x v="2"/>
    <s v="Electronics"/>
    <s v="Pooja Das"/>
    <n v="6"/>
    <n v="35000"/>
    <n v="28000"/>
    <n v="0.18"/>
    <n v="172200"/>
    <n v="168000"/>
    <n v="4200"/>
    <x v="1"/>
    <s v="Cancelled"/>
  </r>
  <r>
    <s v="ORD0058"/>
    <s v="CUST0058"/>
    <x v="39"/>
    <s v="Divya Menon"/>
    <s v="Bengaluru"/>
    <s v="Karnataka"/>
    <x v="1"/>
    <x v="2"/>
    <s v="Electronics"/>
    <s v="Pooja Das"/>
    <n v="8"/>
    <n v="35000"/>
    <n v="28000"/>
    <n v="0.11"/>
    <n v="249200"/>
    <n v="224000"/>
    <n v="25200"/>
    <x v="3"/>
    <s v="In Transit"/>
  </r>
  <r>
    <s v="ORD0059"/>
    <s v="CUST0059"/>
    <x v="52"/>
    <s v="Vikram Singh"/>
    <s v="Warangal"/>
    <s v="Telangana"/>
    <x v="1"/>
    <x v="0"/>
    <s v="Office"/>
    <s v="Arjun Rao"/>
    <n v="4"/>
    <n v="18000"/>
    <n v="14000"/>
    <n v="0.25"/>
    <n v="54000"/>
    <n v="56000"/>
    <n v="-2000"/>
    <x v="3"/>
    <s v="Returned"/>
  </r>
  <r>
    <s v="ORD0060"/>
    <s v="CUST0060"/>
    <x v="54"/>
    <s v="Divya Menon"/>
    <s v="Coimbatore"/>
    <s v="Tamil Nadu"/>
    <x v="1"/>
    <x v="2"/>
    <s v="Electronics"/>
    <s v="Amit Sharma"/>
    <n v="4"/>
    <n v="35000"/>
    <n v="28000"/>
    <n v="0.28999999999999998"/>
    <n v="99400"/>
    <n v="112000"/>
    <n v="-12600"/>
    <x v="1"/>
    <s v="Returned"/>
  </r>
  <r>
    <s v="ORD0061"/>
    <s v="CUST0061"/>
    <x v="55"/>
    <s v="Neha Gupta"/>
    <s v="Chennai"/>
    <s v="Tamil Nadu"/>
    <x v="1"/>
    <x v="4"/>
    <s v="Wearables"/>
    <s v="Karan Singh"/>
    <n v="3"/>
    <n v="12000"/>
    <n v="8500"/>
    <n v="0.06"/>
    <n v="33840"/>
    <n v="25500"/>
    <n v="8340"/>
    <x v="0"/>
    <s v="Delivered"/>
  </r>
  <r>
    <s v="ORD0062"/>
    <s v="CUST0062"/>
    <x v="56"/>
    <s v="Rohan Kulkarni"/>
    <s v="Hyderabad"/>
    <s v="Telangana"/>
    <x v="1"/>
    <x v="7"/>
    <s v="Electronics"/>
    <s v="Vikram Joshi"/>
    <n v="4"/>
    <n v="65000"/>
    <n v="52000"/>
    <n v="0.06"/>
    <n v="244400"/>
    <n v="208000"/>
    <n v="36400"/>
    <x v="4"/>
    <s v="In Transit"/>
  </r>
  <r>
    <s v="ORD0063"/>
    <s v="CUST0063"/>
    <x v="57"/>
    <s v="Pooja Das"/>
    <s v="Pune"/>
    <s v="Maharashtra"/>
    <x v="0"/>
    <x v="3"/>
    <s v="Electronics"/>
    <s v="Priya Nair"/>
    <n v="8"/>
    <n v="25000"/>
    <n v="20000"/>
    <n v="0.28000000000000003"/>
    <n v="144000"/>
    <n v="160000"/>
    <n v="-16000"/>
    <x v="0"/>
    <s v="In Transit"/>
  </r>
  <r>
    <s v="ORD0064"/>
    <s v="CUST0064"/>
    <x v="58"/>
    <s v="Divya Menon"/>
    <s v="Mysuru"/>
    <s v="Karnataka"/>
    <x v="1"/>
    <x v="2"/>
    <s v="Electronics"/>
    <s v="Neha Gupta"/>
    <n v="9"/>
    <n v="35000"/>
    <n v="28000"/>
    <n v="0.04"/>
    <n v="302400"/>
    <n v="252000"/>
    <n v="50400"/>
    <x v="4"/>
    <s v="In Transit"/>
  </r>
  <r>
    <s v="ORD0065"/>
    <s v="CUST0065"/>
    <x v="59"/>
    <s v="Deepika Roy"/>
    <s v="Ahmedabad"/>
    <s v="Gujarat"/>
    <x v="0"/>
    <x v="0"/>
    <s v="Office"/>
    <s v="Neha Gupta"/>
    <n v="4"/>
    <n v="18000"/>
    <n v="14000"/>
    <n v="0.2"/>
    <n v="57600"/>
    <n v="56000"/>
    <n v="1600"/>
    <x v="2"/>
    <s v="Delivered"/>
  </r>
  <r>
    <s v="ORD0066"/>
    <s v="CUST0066"/>
    <x v="60"/>
    <s v="Nikhil Jain"/>
    <s v="Mumbai"/>
    <s v="Maharashtra"/>
    <x v="0"/>
    <x v="8"/>
    <s v="Office"/>
    <s v="Amit Sharma"/>
    <n v="8"/>
    <n v="15000"/>
    <n v="11500"/>
    <n v="0.05"/>
    <n v="114000"/>
    <n v="92000"/>
    <n v="22000"/>
    <x v="2"/>
    <s v="Returned"/>
  </r>
  <r>
    <s v="ORD0067"/>
    <s v="CUST0067"/>
    <x v="61"/>
    <s v="Nikhil Jain"/>
    <s v="Jaipur"/>
    <s v="Rajasthan"/>
    <x v="2"/>
    <x v="1"/>
    <s v="Accessories"/>
    <s v="Neha Gupta"/>
    <n v="9"/>
    <n v="1500"/>
    <n v="900"/>
    <n v="0.02"/>
    <n v="13230"/>
    <n v="8100"/>
    <n v="5130"/>
    <x v="3"/>
    <s v="Cancelled"/>
  </r>
  <r>
    <s v="ORD0068"/>
    <s v="CUST0068"/>
    <x v="62"/>
    <s v="Aditya Mishra"/>
    <s v="Hyderabad"/>
    <s v="Telangana"/>
    <x v="1"/>
    <x v="6"/>
    <s v="Accessories"/>
    <s v="Amit Sharma"/>
    <n v="5"/>
    <n v="3000"/>
    <n v="1800"/>
    <n v="0.2"/>
    <n v="12000"/>
    <n v="9000"/>
    <n v="3000"/>
    <x v="4"/>
    <s v="Delivered"/>
  </r>
  <r>
    <s v="ORD0069"/>
    <s v="CUST0069"/>
    <x v="63"/>
    <s v="Rohan Kulkarni"/>
    <s v="Mumbai"/>
    <s v="Maharashtra"/>
    <x v="0"/>
    <x v="1"/>
    <s v="Accessories"/>
    <s v="Sneha Patil"/>
    <n v="10"/>
    <n v="1500"/>
    <n v="900"/>
    <n v="0.2"/>
    <n v="12000"/>
    <n v="9000"/>
    <n v="3000"/>
    <x v="3"/>
    <s v="Returned"/>
  </r>
  <r>
    <s v="ORD0070"/>
    <s v="CUST0070"/>
    <x v="64"/>
    <s v="Aisha Khan"/>
    <s v="Mysuru"/>
    <s v="Karnataka"/>
    <x v="1"/>
    <x v="6"/>
    <s v="Accessories"/>
    <s v="Arjun Rao"/>
    <n v="8"/>
    <n v="3000"/>
    <n v="1800"/>
    <n v="0.17"/>
    <n v="19920"/>
    <n v="14400"/>
    <n v="5520"/>
    <x v="4"/>
    <s v="Delivered"/>
  </r>
  <r>
    <s v="ORD0071"/>
    <s v="CUST0071"/>
    <x v="65"/>
    <s v="Anjali Rao"/>
    <s v="Bengaluru"/>
    <s v="Karnataka"/>
    <x v="1"/>
    <x v="6"/>
    <s v="Accessories"/>
    <s v="Pooja Das"/>
    <n v="8"/>
    <n v="3000"/>
    <n v="1800"/>
    <n v="0.05"/>
    <n v="22800"/>
    <n v="14400"/>
    <n v="8400"/>
    <x v="4"/>
    <s v="Delivered"/>
  </r>
  <r>
    <s v="ORD0072"/>
    <s v="CUST0072"/>
    <x v="63"/>
    <s v="Arjun Mehta"/>
    <s v="Hyderabad"/>
    <s v="Telangana"/>
    <x v="1"/>
    <x v="0"/>
    <s v="Office"/>
    <s v="Sneha Patil"/>
    <n v="10"/>
    <n v="18000"/>
    <n v="14000"/>
    <n v="0.18"/>
    <n v="147600"/>
    <n v="140000"/>
    <n v="7600"/>
    <x v="1"/>
    <s v="Returned"/>
  </r>
  <r>
    <s v="ORD0073"/>
    <s v="CUST0073"/>
    <x v="66"/>
    <s v="Kavya Reddy"/>
    <s v="Hyderabad"/>
    <s v="Telangana"/>
    <x v="1"/>
    <x v="9"/>
    <s v="Accessories"/>
    <s v="Rahul Verma"/>
    <n v="2"/>
    <n v="800"/>
    <n v="450"/>
    <n v="0.03"/>
    <n v="1552"/>
    <n v="900"/>
    <n v="652"/>
    <x v="0"/>
    <s v="Cancelled"/>
  </r>
  <r>
    <s v="ORD0074"/>
    <s v="CUST0074"/>
    <x v="67"/>
    <s v="Nikhil Jain"/>
    <s v="New Delhi"/>
    <s v="Delhi"/>
    <x v="2"/>
    <x v="7"/>
    <s v="Electronics"/>
    <s v="Arjun Rao"/>
    <n v="3"/>
    <n v="65000"/>
    <n v="52000"/>
    <n v="0.28999999999999998"/>
    <n v="138450"/>
    <n v="156000"/>
    <n v="-17550"/>
    <x v="4"/>
    <s v="In Transit"/>
  </r>
  <r>
    <s v="ORD0075"/>
    <s v="CUST0075"/>
    <x v="68"/>
    <s v="Kavya Reddy"/>
    <s v="Coimbatore"/>
    <s v="Tamil Nadu"/>
    <x v="1"/>
    <x v="1"/>
    <s v="Accessories"/>
    <s v="Neha Gupta"/>
    <n v="1"/>
    <n v="1500"/>
    <n v="900"/>
    <n v="0.25"/>
    <n v="1125"/>
    <n v="900"/>
    <n v="225"/>
    <x v="3"/>
    <s v="Returned"/>
  </r>
  <r>
    <s v="ORD0076"/>
    <s v="CUST0076"/>
    <x v="69"/>
    <s v="Suresh Iyer"/>
    <s v="Hyderabad"/>
    <s v="Telangana"/>
    <x v="1"/>
    <x v="1"/>
    <s v="Accessories"/>
    <s v="Karan Singh"/>
    <n v="8"/>
    <n v="1500"/>
    <n v="900"/>
    <n v="0.1"/>
    <n v="10800"/>
    <n v="7200"/>
    <n v="3600"/>
    <x v="3"/>
    <s v="Delivered"/>
  </r>
  <r>
    <s v="ORD0077"/>
    <s v="CUST0077"/>
    <x v="70"/>
    <s v="Vikram Singh"/>
    <s v="Kolkata"/>
    <s v="West Bengal"/>
    <x v="3"/>
    <x v="6"/>
    <s v="Accessories"/>
    <s v="Karan Singh"/>
    <n v="6"/>
    <n v="3000"/>
    <n v="1800"/>
    <n v="0.03"/>
    <n v="17460"/>
    <n v="10800"/>
    <n v="6660"/>
    <x v="1"/>
    <s v="Cancelled"/>
  </r>
  <r>
    <s v="ORD0078"/>
    <s v="CUST0078"/>
    <x v="71"/>
    <s v="Rohan Kulkarni"/>
    <s v="Surat"/>
    <s v="Gujarat"/>
    <x v="0"/>
    <x v="8"/>
    <s v="Office"/>
    <s v="Sneha Patil"/>
    <n v="1"/>
    <n v="15000"/>
    <n v="11500"/>
    <n v="0.02"/>
    <n v="14700"/>
    <n v="11500"/>
    <n v="3200"/>
    <x v="0"/>
    <s v="Delivered"/>
  </r>
  <r>
    <s v="ORD0079"/>
    <s v="CUST0079"/>
    <x v="72"/>
    <s v="Divya Menon"/>
    <s v="Coimbatore"/>
    <s v="Tamil Nadu"/>
    <x v="1"/>
    <x v="9"/>
    <s v="Accessories"/>
    <s v="Vikram Joshi"/>
    <n v="2"/>
    <n v="800"/>
    <n v="450"/>
    <n v="0.06"/>
    <n v="1504"/>
    <n v="900"/>
    <n v="604"/>
    <x v="4"/>
    <s v="Returned"/>
  </r>
  <r>
    <s v="ORD0080"/>
    <s v="CUST0080"/>
    <x v="73"/>
    <s v="Priya Patel"/>
    <s v="Coimbatore"/>
    <s v="Tamil Nadu"/>
    <x v="1"/>
    <x v="8"/>
    <s v="Office"/>
    <s v="Priya Nair"/>
    <n v="5"/>
    <n v="15000"/>
    <n v="11500"/>
    <n v="0.12"/>
    <n v="66000"/>
    <n v="57500"/>
    <n v="8500"/>
    <x v="4"/>
    <s v="Returned"/>
  </r>
  <r>
    <s v="ORD0081"/>
    <s v="CUST0081"/>
    <x v="74"/>
    <s v="Neha Gupta"/>
    <s v="Pune"/>
    <s v="Maharashtra"/>
    <x v="0"/>
    <x v="4"/>
    <s v="Wearables"/>
    <s v="Rahul Verma"/>
    <n v="4"/>
    <n v="12000"/>
    <n v="8500"/>
    <n v="0.25"/>
    <n v="36000"/>
    <n v="34000"/>
    <n v="2000"/>
    <x v="3"/>
    <s v="Returned"/>
  </r>
  <r>
    <s v="ORD0082"/>
    <s v="CUST0082"/>
    <x v="75"/>
    <s v="Divya Menon"/>
    <s v="Mysuru"/>
    <s v="Karnataka"/>
    <x v="1"/>
    <x v="9"/>
    <s v="Accessories"/>
    <s v="Amit Sharma"/>
    <n v="5"/>
    <n v="800"/>
    <n v="450"/>
    <n v="0.09"/>
    <n v="3640"/>
    <n v="2250"/>
    <n v="1390"/>
    <x v="2"/>
    <s v="In Transit"/>
  </r>
  <r>
    <s v="ORD0083"/>
    <s v="CUST0083"/>
    <x v="76"/>
    <s v="Amit Kumar"/>
    <s v="Hyderabad"/>
    <s v="Telangana"/>
    <x v="1"/>
    <x v="0"/>
    <s v="Office"/>
    <s v="Vikram Joshi"/>
    <n v="4"/>
    <n v="18000"/>
    <n v="14000"/>
    <n v="0.1"/>
    <n v="64800"/>
    <n v="56000"/>
    <n v="8800"/>
    <x v="1"/>
    <s v="In Transit"/>
  </r>
  <r>
    <s v="ORD0084"/>
    <s v="CUST0084"/>
    <x v="77"/>
    <s v="Divya Menon"/>
    <s v="Mysuru"/>
    <s v="Karnataka"/>
    <x v="1"/>
    <x v="9"/>
    <s v="Accessories"/>
    <s v="Anjali Mehta"/>
    <n v="7"/>
    <n v="800"/>
    <n v="450"/>
    <n v="0.14000000000000001"/>
    <n v="4816"/>
    <n v="3150"/>
    <n v="1666"/>
    <x v="4"/>
    <s v="Cancelled"/>
  </r>
  <r>
    <s v="ORD0085"/>
    <s v="CUST0085"/>
    <x v="78"/>
    <s v="Sneha Nair"/>
    <s v="Mumbai"/>
    <s v="Maharashtra"/>
    <x v="0"/>
    <x v="2"/>
    <s v="Electronics"/>
    <s v="Vikram Joshi"/>
    <n v="4"/>
    <n v="35000"/>
    <n v="28000"/>
    <n v="0.16"/>
    <n v="117600"/>
    <n v="112000"/>
    <n v="5600"/>
    <x v="2"/>
    <s v="Returned"/>
  </r>
  <r>
    <s v="ORD0086"/>
    <s v="CUST0086"/>
    <x v="79"/>
    <s v="Priya Patel"/>
    <s v="Hyderabad"/>
    <s v="Telangana"/>
    <x v="1"/>
    <x v="9"/>
    <s v="Accessories"/>
    <s v="Amit Sharma"/>
    <n v="9"/>
    <n v="800"/>
    <n v="450"/>
    <n v="0.1"/>
    <n v="6480"/>
    <n v="4050"/>
    <n v="2430"/>
    <x v="2"/>
    <s v="Cancelled"/>
  </r>
  <r>
    <s v="ORD0087"/>
    <s v="CUST0087"/>
    <x v="80"/>
    <s v="Divya Menon"/>
    <s v="Hyderabad"/>
    <s v="Telangana"/>
    <x v="1"/>
    <x v="0"/>
    <s v="Office"/>
    <s v="Vikram Joshi"/>
    <n v="3"/>
    <n v="18000"/>
    <n v="14000"/>
    <n v="0.11"/>
    <n v="48060"/>
    <n v="42000"/>
    <n v="6060"/>
    <x v="0"/>
    <s v="Delivered"/>
  </r>
  <r>
    <s v="ORD0088"/>
    <s v="CUST0088"/>
    <x v="81"/>
    <s v="Vikram Singh"/>
    <s v="Hyderabad"/>
    <s v="Telangana"/>
    <x v="1"/>
    <x v="2"/>
    <s v="Electronics"/>
    <s v="Neha Gupta"/>
    <n v="1"/>
    <n v="35000"/>
    <n v="28000"/>
    <n v="0.01"/>
    <n v="34650"/>
    <n v="28000"/>
    <n v="6650"/>
    <x v="2"/>
    <s v="Cancelled"/>
  </r>
  <r>
    <s v="ORD0089"/>
    <s v="CUST0089"/>
    <x v="82"/>
    <s v="Arjun Mehta"/>
    <s v="Warangal"/>
    <s v="Telangana"/>
    <x v="1"/>
    <x v="9"/>
    <s v="Accessories"/>
    <s v="Neha Gupta"/>
    <n v="3"/>
    <n v="800"/>
    <n v="450"/>
    <n v="0.2"/>
    <n v="1920"/>
    <n v="1350"/>
    <n v="570"/>
    <x v="4"/>
    <s v="In Transit"/>
  </r>
  <r>
    <s v="ORD0090"/>
    <s v="CUST0090"/>
    <x v="83"/>
    <s v="Aditya Mishra"/>
    <s v="Pune"/>
    <s v="Maharashtra"/>
    <x v="0"/>
    <x v="3"/>
    <s v="Electronics"/>
    <s v="Amit Sharma"/>
    <n v="2"/>
    <n v="25000"/>
    <n v="20000"/>
    <n v="0.06"/>
    <n v="47000"/>
    <n v="40000"/>
    <n v="7000"/>
    <x v="2"/>
    <s v="Delivered"/>
  </r>
  <r>
    <s v="ORD0091"/>
    <s v="CUST0091"/>
    <x v="84"/>
    <s v="Aisha Khan"/>
    <s v="Mysuru"/>
    <s v="Karnataka"/>
    <x v="1"/>
    <x v="1"/>
    <s v="Accessories"/>
    <s v="Pooja Das"/>
    <n v="1"/>
    <n v="1500"/>
    <n v="900"/>
    <n v="0.11"/>
    <n v="1335"/>
    <n v="900"/>
    <n v="435"/>
    <x v="3"/>
    <s v="Cancelled"/>
  </r>
  <r>
    <s v="ORD0092"/>
    <s v="CUST0092"/>
    <x v="85"/>
    <s v="Suresh Iyer"/>
    <s v="Jaipur"/>
    <s v="Rajasthan"/>
    <x v="2"/>
    <x v="1"/>
    <s v="Accessories"/>
    <s v="Amit Sharma"/>
    <n v="5"/>
    <n v="1500"/>
    <n v="900"/>
    <n v="0.09"/>
    <n v="6825"/>
    <n v="4500"/>
    <n v="2325"/>
    <x v="4"/>
    <s v="Delivered"/>
  </r>
  <r>
    <s v="ORD0093"/>
    <s v="CUST0093"/>
    <x v="86"/>
    <s v="Kavya Reddy"/>
    <s v="Kolkata"/>
    <s v="West Bengal"/>
    <x v="3"/>
    <x v="9"/>
    <s v="Accessories"/>
    <s v="Vikram Joshi"/>
    <n v="8"/>
    <n v="800"/>
    <n v="450"/>
    <n v="0.21"/>
    <n v="5056"/>
    <n v="3600"/>
    <n v="1456"/>
    <x v="4"/>
    <s v="In Transit"/>
  </r>
  <r>
    <s v="ORD0094"/>
    <s v="CUST0094"/>
    <x v="87"/>
    <s v="Arjun Mehta"/>
    <s v="Jaipur"/>
    <s v="Rajasthan"/>
    <x v="2"/>
    <x v="3"/>
    <s v="Electronics"/>
    <s v="Neha Gupta"/>
    <n v="1"/>
    <n v="25000"/>
    <n v="20000"/>
    <n v="0.04"/>
    <n v="24000"/>
    <n v="20000"/>
    <n v="4000"/>
    <x v="1"/>
    <s v="In Transit"/>
  </r>
  <r>
    <s v="ORD0095"/>
    <s v="CUST0095"/>
    <x v="88"/>
    <s v="Priya Patel"/>
    <s v="New Delhi"/>
    <s v="Delhi"/>
    <x v="2"/>
    <x v="5"/>
    <s v="Electronics"/>
    <s v="Anjali Mehta"/>
    <n v="6"/>
    <n v="5000"/>
    <n v="3200"/>
    <n v="0.11"/>
    <n v="26700"/>
    <n v="19200"/>
    <n v="7500"/>
    <x v="0"/>
    <s v="Delivered"/>
  </r>
  <r>
    <s v="ORD0096"/>
    <s v="CUST0096"/>
    <x v="89"/>
    <s v="Aisha Khan"/>
    <s v="Pune"/>
    <s v="Maharashtra"/>
    <x v="0"/>
    <x v="7"/>
    <s v="Electronics"/>
    <s v="Arjun Rao"/>
    <n v="9"/>
    <n v="65000"/>
    <n v="52000"/>
    <n v="0.25"/>
    <n v="438750"/>
    <n v="468000"/>
    <n v="-29250"/>
    <x v="1"/>
    <s v="Cancelled"/>
  </r>
  <r>
    <s v="ORD0097"/>
    <s v="CUST0097"/>
    <x v="28"/>
    <s v="Pooja Das"/>
    <s v="Kolkata"/>
    <s v="West Bengal"/>
    <x v="3"/>
    <x v="4"/>
    <s v="Wearables"/>
    <s v="Priya Nair"/>
    <n v="9"/>
    <n v="12000"/>
    <n v="8500"/>
    <n v="0.25"/>
    <n v="81000"/>
    <n v="76500"/>
    <n v="4500"/>
    <x v="0"/>
    <s v="Returned"/>
  </r>
  <r>
    <s v="ORD0098"/>
    <s v="CUST0098"/>
    <x v="90"/>
    <s v="Pooja Das"/>
    <s v="Bengaluru"/>
    <s v="Karnataka"/>
    <x v="1"/>
    <x v="6"/>
    <s v="Accessories"/>
    <s v="Pooja Das"/>
    <n v="8"/>
    <n v="3000"/>
    <n v="1800"/>
    <n v="0"/>
    <n v="24000"/>
    <n v="14400"/>
    <n v="9600"/>
    <x v="2"/>
    <s v="Cancelled"/>
  </r>
  <r>
    <s v="ORD0099"/>
    <s v="CUST0099"/>
    <x v="91"/>
    <s v="Pooja Das"/>
    <s v="Jaipur"/>
    <s v="Rajasthan"/>
    <x v="2"/>
    <x v="9"/>
    <s v="Accessories"/>
    <s v="Vikram Joshi"/>
    <n v="4"/>
    <n v="800"/>
    <n v="450"/>
    <n v="0.04"/>
    <n v="3072"/>
    <n v="1800"/>
    <n v="1272"/>
    <x v="1"/>
    <s v="Cancelled"/>
  </r>
  <r>
    <s v="ORD0100"/>
    <s v="CUST0100"/>
    <x v="92"/>
    <s v="Kavya Reddy"/>
    <s v="Warangal"/>
    <s v="Telangana"/>
    <x v="1"/>
    <x v="4"/>
    <s v="Wearables"/>
    <s v="Arjun Rao"/>
    <n v="6"/>
    <n v="12000"/>
    <n v="8500"/>
    <n v="0.17"/>
    <n v="59760"/>
    <n v="51000"/>
    <n v="8760"/>
    <x v="3"/>
    <s v="Cancelled"/>
  </r>
  <r>
    <s v="ORD0101"/>
    <s v="CUST0101"/>
    <x v="93"/>
    <s v="Rohit Verma"/>
    <s v="New Delhi"/>
    <s v="Delhi"/>
    <x v="2"/>
    <x v="3"/>
    <s v="Electronics"/>
    <s v="Anjali Mehta"/>
    <n v="8"/>
    <n v="25000"/>
    <n v="20000"/>
    <n v="0.08"/>
    <n v="184000"/>
    <n v="160000"/>
    <n v="24000"/>
    <x v="3"/>
    <s v="In Transit"/>
  </r>
  <r>
    <s v="ORD0102"/>
    <s v="CUST0102"/>
    <x v="94"/>
    <s v="Divya Menon"/>
    <s v="Hyderabad"/>
    <s v="Telangana"/>
    <x v="1"/>
    <x v="1"/>
    <s v="Accessories"/>
    <s v="Pooja Das"/>
    <n v="7"/>
    <n v="1500"/>
    <n v="900"/>
    <n v="0.15"/>
    <n v="8925"/>
    <n v="6300"/>
    <n v="2625"/>
    <x v="0"/>
    <s v="In Transit"/>
  </r>
  <r>
    <s v="ORD0103"/>
    <s v="CUST0103"/>
    <x v="95"/>
    <s v="Priya Patel"/>
    <s v="Pune"/>
    <s v="Maharashtra"/>
    <x v="0"/>
    <x v="8"/>
    <s v="Office"/>
    <s v="Priya Nair"/>
    <n v="6"/>
    <n v="15000"/>
    <n v="11500"/>
    <n v="0.11"/>
    <n v="80100"/>
    <n v="69000"/>
    <n v="11100"/>
    <x v="0"/>
    <s v="In Transit"/>
  </r>
  <r>
    <s v="ORD0104"/>
    <s v="CUST0104"/>
    <x v="96"/>
    <s v="Meera Shah"/>
    <s v="Coimbatore"/>
    <s v="Tamil Nadu"/>
    <x v="1"/>
    <x v="2"/>
    <s v="Electronics"/>
    <s v="Anjali Mehta"/>
    <n v="8"/>
    <n v="35000"/>
    <n v="28000"/>
    <n v="0.04"/>
    <n v="268800"/>
    <n v="224000"/>
    <n v="44800"/>
    <x v="3"/>
    <s v="Returned"/>
  </r>
  <r>
    <s v="ORD0105"/>
    <s v="CUST0105"/>
    <x v="97"/>
    <s v="Deepika Roy"/>
    <s v="Surat"/>
    <s v="Gujarat"/>
    <x v="0"/>
    <x v="9"/>
    <s v="Accessories"/>
    <s v="Karan Singh"/>
    <n v="5"/>
    <n v="800"/>
    <n v="450"/>
    <n v="0.26"/>
    <n v="2960"/>
    <n v="2250"/>
    <n v="710"/>
    <x v="4"/>
    <s v="Cancelled"/>
  </r>
  <r>
    <s v="ORD0106"/>
    <s v="CUST0106"/>
    <x v="98"/>
    <s v="Neha Gupta"/>
    <s v="Bengaluru"/>
    <s v="Karnataka"/>
    <x v="1"/>
    <x v="0"/>
    <s v="Office"/>
    <s v="Priya Nair"/>
    <n v="4"/>
    <n v="18000"/>
    <n v="14000"/>
    <n v="0.16"/>
    <n v="60480"/>
    <n v="56000"/>
    <n v="4480"/>
    <x v="3"/>
    <s v="Delivered"/>
  </r>
  <r>
    <s v="ORD0107"/>
    <s v="CUST0107"/>
    <x v="99"/>
    <s v="Rohan Kulkarni"/>
    <s v="Surat"/>
    <s v="Gujarat"/>
    <x v="0"/>
    <x v="9"/>
    <s v="Accessories"/>
    <s v="Anjali Mehta"/>
    <n v="5"/>
    <n v="800"/>
    <n v="450"/>
    <n v="0.16"/>
    <n v="3360"/>
    <n v="2250"/>
    <n v="1110"/>
    <x v="0"/>
    <s v="Cancelled"/>
  </r>
  <r>
    <s v="ORD0108"/>
    <s v="CUST0108"/>
    <x v="100"/>
    <s v="Pooja Das"/>
    <s v="Bengaluru"/>
    <s v="Karnataka"/>
    <x v="1"/>
    <x v="4"/>
    <s v="Wearables"/>
    <s v="Sneha Patil"/>
    <n v="1"/>
    <n v="12000"/>
    <n v="8500"/>
    <n v="0.1"/>
    <n v="10800"/>
    <n v="8500"/>
    <n v="2300"/>
    <x v="4"/>
    <s v="Delivered"/>
  </r>
  <r>
    <s v="ORD0109"/>
    <s v="CUST0109"/>
    <x v="101"/>
    <s v="Meera Shah"/>
    <s v="New Delhi"/>
    <s v="Delhi"/>
    <x v="2"/>
    <x v="7"/>
    <s v="Electronics"/>
    <s v="Karan Singh"/>
    <n v="1"/>
    <n v="65000"/>
    <n v="52000"/>
    <n v="0.16"/>
    <n v="54600"/>
    <n v="52000"/>
    <n v="2600"/>
    <x v="4"/>
    <s v="Returned"/>
  </r>
  <r>
    <s v="ORD0110"/>
    <s v="CUST0110"/>
    <x v="102"/>
    <s v="Nikhil Jain"/>
    <s v="Bengaluru"/>
    <s v="Karnataka"/>
    <x v="1"/>
    <x v="0"/>
    <s v="Office"/>
    <s v="Rahul Verma"/>
    <n v="3"/>
    <n v="18000"/>
    <n v="14000"/>
    <n v="0"/>
    <n v="54000"/>
    <n v="42000"/>
    <n v="12000"/>
    <x v="1"/>
    <s v="Delivered"/>
  </r>
  <r>
    <s v="ORD0111"/>
    <s v="CUST0111"/>
    <x v="103"/>
    <s v="Vikram Singh"/>
    <s v="Hyderabad"/>
    <s v="Telangana"/>
    <x v="1"/>
    <x v="8"/>
    <s v="Office"/>
    <s v="Amit Sharma"/>
    <n v="9"/>
    <n v="15000"/>
    <n v="11500"/>
    <n v="0.16"/>
    <n v="113400"/>
    <n v="103500"/>
    <n v="9900"/>
    <x v="0"/>
    <s v="Returned"/>
  </r>
  <r>
    <s v="ORD0112"/>
    <s v="CUST0112"/>
    <x v="104"/>
    <s v="Rohan Kulkarni"/>
    <s v="Mumbai"/>
    <s v="Maharashtra"/>
    <x v="0"/>
    <x v="5"/>
    <s v="Electronics"/>
    <s v="Pooja Das"/>
    <n v="3"/>
    <n v="5000"/>
    <n v="3200"/>
    <n v="0.02"/>
    <n v="14700"/>
    <n v="9600"/>
    <n v="5100"/>
    <x v="2"/>
    <s v="Delivered"/>
  </r>
  <r>
    <s v="ORD0113"/>
    <s v="CUST0113"/>
    <x v="105"/>
    <s v="Meera Shah"/>
    <s v="Kolkata"/>
    <s v="West Bengal"/>
    <x v="3"/>
    <x v="3"/>
    <s v="Electronics"/>
    <s v="Neha Gupta"/>
    <n v="6"/>
    <n v="25000"/>
    <n v="20000"/>
    <n v="0.05"/>
    <n v="142500"/>
    <n v="120000"/>
    <n v="22500"/>
    <x v="1"/>
    <s v="Cancelled"/>
  </r>
  <r>
    <s v="ORD0114"/>
    <s v="CUST0114"/>
    <x v="106"/>
    <s v="Rahul Sharma"/>
    <s v="Kolkata"/>
    <s v="West Bengal"/>
    <x v="3"/>
    <x v="9"/>
    <s v="Accessories"/>
    <s v="Arjun Rao"/>
    <n v="7"/>
    <n v="800"/>
    <n v="450"/>
    <n v="0"/>
    <n v="5600"/>
    <n v="3150"/>
    <n v="2450"/>
    <x v="0"/>
    <s v="Returned"/>
  </r>
  <r>
    <s v="ORD0115"/>
    <s v="CUST0115"/>
    <x v="107"/>
    <s v="Arjun Mehta"/>
    <s v="Pune"/>
    <s v="Maharashtra"/>
    <x v="0"/>
    <x v="8"/>
    <s v="Office"/>
    <s v="Rahul Verma"/>
    <n v="8"/>
    <n v="15000"/>
    <n v="11500"/>
    <n v="0.05"/>
    <n v="114000"/>
    <n v="92000"/>
    <n v="22000"/>
    <x v="0"/>
    <s v="Delivered"/>
  </r>
  <r>
    <s v="ORD0116"/>
    <s v="CUST0116"/>
    <x v="51"/>
    <s v="Pooja Das"/>
    <s v="Jaipur"/>
    <s v="Rajasthan"/>
    <x v="2"/>
    <x v="5"/>
    <s v="Electronics"/>
    <s v="Anjali Mehta"/>
    <n v="6"/>
    <n v="5000"/>
    <n v="3200"/>
    <n v="0.23"/>
    <n v="23100"/>
    <n v="19200"/>
    <n v="3900"/>
    <x v="4"/>
    <s v="Returned"/>
  </r>
  <r>
    <s v="ORD0117"/>
    <s v="CUST0117"/>
    <x v="108"/>
    <s v="Arjun Mehta"/>
    <s v="Jaipur"/>
    <s v="Rajasthan"/>
    <x v="2"/>
    <x v="3"/>
    <s v="Electronics"/>
    <s v="Neha Gupta"/>
    <n v="2"/>
    <n v="25000"/>
    <n v="20000"/>
    <n v="0.24"/>
    <n v="38000"/>
    <n v="40000"/>
    <n v="-2000"/>
    <x v="1"/>
    <s v="In Transit"/>
  </r>
  <r>
    <s v="ORD0118"/>
    <s v="CUST0118"/>
    <x v="109"/>
    <s v="Rohit Verma"/>
    <s v="Kolkata"/>
    <s v="West Bengal"/>
    <x v="3"/>
    <x v="6"/>
    <s v="Accessories"/>
    <s v="Priya Nair"/>
    <n v="6"/>
    <n v="3000"/>
    <n v="1800"/>
    <n v="0.14000000000000001"/>
    <n v="15480"/>
    <n v="10800"/>
    <n v="4680"/>
    <x v="2"/>
    <s v="Returned"/>
  </r>
  <r>
    <s v="ORD0119"/>
    <s v="CUST0119"/>
    <x v="110"/>
    <s v="Divya Menon"/>
    <s v="Mumbai"/>
    <s v="Maharashtra"/>
    <x v="0"/>
    <x v="6"/>
    <s v="Accessories"/>
    <s v="Neha Gupta"/>
    <n v="3"/>
    <n v="3000"/>
    <n v="1800"/>
    <n v="0.22"/>
    <n v="7020"/>
    <n v="5400"/>
    <n v="1620"/>
    <x v="3"/>
    <s v="Returned"/>
  </r>
  <r>
    <s v="ORD0120"/>
    <s v="CUST0120"/>
    <x v="111"/>
    <s v="Pooja Das"/>
    <s v="New Delhi"/>
    <s v="Delhi"/>
    <x v="2"/>
    <x v="3"/>
    <s v="Electronics"/>
    <s v="Neha Gupta"/>
    <n v="9"/>
    <n v="25000"/>
    <n v="20000"/>
    <n v="0.06"/>
    <n v="211500"/>
    <n v="180000"/>
    <n v="31500"/>
    <x v="0"/>
    <s v="Delivered"/>
  </r>
  <r>
    <s v="ORD0121"/>
    <s v="CUST0121"/>
    <x v="112"/>
    <s v="Deepika Roy"/>
    <s v="Warangal"/>
    <s v="Telangana"/>
    <x v="1"/>
    <x v="4"/>
    <s v="Wearables"/>
    <s v="Pooja Das"/>
    <n v="9"/>
    <n v="12000"/>
    <n v="8500"/>
    <n v="0.02"/>
    <n v="105840"/>
    <n v="76500"/>
    <n v="29340"/>
    <x v="0"/>
    <s v="Delivered"/>
  </r>
  <r>
    <s v="ORD0122"/>
    <s v="CUST0122"/>
    <x v="113"/>
    <s v="Rahul Sharma"/>
    <s v="Hyderabad"/>
    <s v="Telangana"/>
    <x v="1"/>
    <x v="8"/>
    <s v="Office"/>
    <s v="Rahul Verma"/>
    <n v="10"/>
    <n v="15000"/>
    <n v="11500"/>
    <n v="7.0000000000000007E-2"/>
    <n v="139500"/>
    <n v="115000"/>
    <n v="24500"/>
    <x v="4"/>
    <s v="Returned"/>
  </r>
  <r>
    <s v="ORD0123"/>
    <s v="CUST0123"/>
    <x v="114"/>
    <s v="Priya Patel"/>
    <s v="Kolkata"/>
    <s v="West Bengal"/>
    <x v="3"/>
    <x v="6"/>
    <s v="Accessories"/>
    <s v="Sneha Patil"/>
    <n v="6"/>
    <n v="3000"/>
    <n v="1800"/>
    <n v="0.01"/>
    <n v="17820"/>
    <n v="10800"/>
    <n v="7020"/>
    <x v="1"/>
    <s v="Returned"/>
  </r>
  <r>
    <s v="ORD0124"/>
    <s v="CUST0124"/>
    <x v="115"/>
    <s v="Kavya Reddy"/>
    <s v="Surat"/>
    <s v="Gujarat"/>
    <x v="0"/>
    <x v="9"/>
    <s v="Accessories"/>
    <s v="Neha Gupta"/>
    <n v="1"/>
    <n v="800"/>
    <n v="450"/>
    <n v="0.11"/>
    <n v="712"/>
    <n v="450"/>
    <n v="262"/>
    <x v="2"/>
    <s v="Returned"/>
  </r>
  <r>
    <s v="ORD0125"/>
    <s v="CUST0125"/>
    <x v="116"/>
    <s v="Rohan Kulkarni"/>
    <s v="Mysuru"/>
    <s v="Karnataka"/>
    <x v="1"/>
    <x v="5"/>
    <s v="Electronics"/>
    <s v="Priya Nair"/>
    <n v="9"/>
    <n v="5000"/>
    <n v="3200"/>
    <n v="0.16"/>
    <n v="37800"/>
    <n v="28800"/>
    <n v="9000"/>
    <x v="2"/>
    <s v="Cancelled"/>
  </r>
  <r>
    <s v="ORD0126"/>
    <s v="CUST0126"/>
    <x v="117"/>
    <s v="Rahul Sharma"/>
    <s v="Mysuru"/>
    <s v="Karnataka"/>
    <x v="1"/>
    <x v="1"/>
    <s v="Accessories"/>
    <s v="Amit Sharma"/>
    <n v="6"/>
    <n v="1500"/>
    <n v="900"/>
    <n v="0.25"/>
    <n v="6750"/>
    <n v="5400"/>
    <n v="1350"/>
    <x v="1"/>
    <s v="In Transit"/>
  </r>
  <r>
    <s v="ORD0127"/>
    <s v="CUST0127"/>
    <x v="95"/>
    <s v="Aditya Mishra"/>
    <s v="Kolkata"/>
    <s v="West Bengal"/>
    <x v="3"/>
    <x v="0"/>
    <s v="Office"/>
    <s v="Neha Gupta"/>
    <n v="7"/>
    <n v="18000"/>
    <n v="14000"/>
    <n v="0.21"/>
    <n v="99540"/>
    <n v="98000"/>
    <n v="1540"/>
    <x v="2"/>
    <s v="Delivered"/>
  </r>
  <r>
    <s v="ORD0128"/>
    <s v="CUST0128"/>
    <x v="118"/>
    <s v="Aditya Mishra"/>
    <s v="Jaipur"/>
    <s v="Rajasthan"/>
    <x v="2"/>
    <x v="5"/>
    <s v="Electronics"/>
    <s v="Arjun Rao"/>
    <n v="5"/>
    <n v="5000"/>
    <n v="3200"/>
    <n v="0.1"/>
    <n v="22500"/>
    <n v="16000"/>
    <n v="6500"/>
    <x v="4"/>
    <s v="Delivered"/>
  </r>
  <r>
    <s v="ORD0129"/>
    <s v="CUST0129"/>
    <x v="56"/>
    <s v="Aditya Mishra"/>
    <s v="Warangal"/>
    <s v="Telangana"/>
    <x v="1"/>
    <x v="1"/>
    <s v="Accessories"/>
    <s v="Priya Nair"/>
    <n v="4"/>
    <n v="1500"/>
    <n v="900"/>
    <n v="0.01"/>
    <n v="5940"/>
    <n v="3600"/>
    <n v="2340"/>
    <x v="0"/>
    <s v="Returned"/>
  </r>
  <r>
    <s v="ORD0130"/>
    <s v="CUST0130"/>
    <x v="119"/>
    <s v="Rohit Verma"/>
    <s v="Pune"/>
    <s v="Maharashtra"/>
    <x v="0"/>
    <x v="3"/>
    <s v="Electronics"/>
    <s v="Vikram Joshi"/>
    <n v="7"/>
    <n v="25000"/>
    <n v="20000"/>
    <n v="0.3"/>
    <n v="122499.99999999999"/>
    <n v="140000"/>
    <n v="-17500.000000000015"/>
    <x v="1"/>
    <s v="Returned"/>
  </r>
  <r>
    <s v="ORD0131"/>
    <s v="CUST0131"/>
    <x v="120"/>
    <s v="Kavya Reddy"/>
    <s v="Mumbai"/>
    <s v="Maharashtra"/>
    <x v="0"/>
    <x v="4"/>
    <s v="Wearables"/>
    <s v="Priya Nair"/>
    <n v="9"/>
    <n v="12000"/>
    <n v="8500"/>
    <n v="0.25"/>
    <n v="81000"/>
    <n v="76500"/>
    <n v="4500"/>
    <x v="4"/>
    <s v="Delivered"/>
  </r>
  <r>
    <s v="ORD0132"/>
    <s v="CUST0132"/>
    <x v="121"/>
    <s v="Pooja Das"/>
    <s v="New Delhi"/>
    <s v="Delhi"/>
    <x v="2"/>
    <x v="0"/>
    <s v="Office"/>
    <s v="Karan Singh"/>
    <n v="7"/>
    <n v="18000"/>
    <n v="14000"/>
    <n v="0.2"/>
    <n v="100800"/>
    <n v="98000"/>
    <n v="2800"/>
    <x v="3"/>
    <s v="Delivered"/>
  </r>
  <r>
    <s v="ORD0133"/>
    <s v="CUST0133"/>
    <x v="122"/>
    <s v="Divya Menon"/>
    <s v="Coimbatore"/>
    <s v="Tamil Nadu"/>
    <x v="1"/>
    <x v="0"/>
    <s v="Office"/>
    <s v="Amit Sharma"/>
    <n v="5"/>
    <n v="18000"/>
    <n v="14000"/>
    <n v="0.23"/>
    <n v="69300"/>
    <n v="70000"/>
    <n v="-700"/>
    <x v="1"/>
    <s v="Cancelled"/>
  </r>
  <r>
    <s v="ORD0134"/>
    <s v="CUST0134"/>
    <x v="123"/>
    <s v="Amit Kumar"/>
    <s v="Chennai"/>
    <s v="Tamil Nadu"/>
    <x v="1"/>
    <x v="4"/>
    <s v="Wearables"/>
    <s v="Priya Nair"/>
    <n v="6"/>
    <n v="12000"/>
    <n v="8500"/>
    <n v="0.16"/>
    <n v="60480"/>
    <n v="51000"/>
    <n v="9480"/>
    <x v="2"/>
    <s v="In Transit"/>
  </r>
  <r>
    <s v="ORD0135"/>
    <s v="CUST0135"/>
    <x v="124"/>
    <s v="Rahul Sharma"/>
    <s v="Mumbai"/>
    <s v="Maharashtra"/>
    <x v="0"/>
    <x v="6"/>
    <s v="Accessories"/>
    <s v="Rahul Verma"/>
    <n v="7"/>
    <n v="3000"/>
    <n v="1800"/>
    <n v="0.06"/>
    <n v="19740"/>
    <n v="12600"/>
    <n v="7140"/>
    <x v="2"/>
    <s v="Returned"/>
  </r>
  <r>
    <s v="ORD0136"/>
    <s v="CUST0136"/>
    <x v="125"/>
    <s v="Rohan Kulkarni"/>
    <s v="New Delhi"/>
    <s v="Delhi"/>
    <x v="2"/>
    <x v="7"/>
    <s v="Electronics"/>
    <s v="Rahul Verma"/>
    <n v="4"/>
    <n v="65000"/>
    <n v="52000"/>
    <n v="0.22"/>
    <n v="202800"/>
    <n v="208000"/>
    <n v="-5200"/>
    <x v="3"/>
    <s v="Delivered"/>
  </r>
  <r>
    <s v="ORD0137"/>
    <s v="CUST0137"/>
    <x v="126"/>
    <s v="Pooja Das"/>
    <s v="Mysuru"/>
    <s v="Karnataka"/>
    <x v="1"/>
    <x v="4"/>
    <s v="Wearables"/>
    <s v="Vikram Joshi"/>
    <n v="4"/>
    <n v="12000"/>
    <n v="8500"/>
    <n v="0.04"/>
    <n v="46080"/>
    <n v="34000"/>
    <n v="12080"/>
    <x v="3"/>
    <s v="Delivered"/>
  </r>
  <r>
    <s v="ORD0138"/>
    <s v="CUST0138"/>
    <x v="127"/>
    <s v="Suresh Iyer"/>
    <s v="Kolkata"/>
    <s v="West Bengal"/>
    <x v="3"/>
    <x v="4"/>
    <s v="Wearables"/>
    <s v="Rahul Verma"/>
    <n v="4"/>
    <n v="12000"/>
    <n v="8500"/>
    <n v="0.27"/>
    <n v="35040"/>
    <n v="34000"/>
    <n v="1040"/>
    <x v="3"/>
    <s v="Delivered"/>
  </r>
  <r>
    <s v="ORD0139"/>
    <s v="CUST0139"/>
    <x v="128"/>
    <s v="Vikram Singh"/>
    <s v="Mumbai"/>
    <s v="Maharashtra"/>
    <x v="0"/>
    <x v="5"/>
    <s v="Electronics"/>
    <s v="Rahul Verma"/>
    <n v="10"/>
    <n v="5000"/>
    <n v="3200"/>
    <n v="0.24"/>
    <n v="38000"/>
    <n v="32000"/>
    <n v="6000"/>
    <x v="2"/>
    <s v="In Transit"/>
  </r>
  <r>
    <s v="ORD0140"/>
    <s v="CUST0140"/>
    <x v="129"/>
    <s v="Priya Patel"/>
    <s v="Jaipur"/>
    <s v="Rajasthan"/>
    <x v="2"/>
    <x v="0"/>
    <s v="Office"/>
    <s v="Sneha Patil"/>
    <n v="6"/>
    <n v="18000"/>
    <n v="14000"/>
    <n v="0"/>
    <n v="108000"/>
    <n v="84000"/>
    <n v="24000"/>
    <x v="2"/>
    <s v="Delivered"/>
  </r>
  <r>
    <s v="ORD0141"/>
    <s v="CUST0141"/>
    <x v="108"/>
    <s v="Sneha Nair"/>
    <s v="Bengaluru"/>
    <s v="Karnataka"/>
    <x v="1"/>
    <x v="7"/>
    <s v="Electronics"/>
    <s v="Rahul Verma"/>
    <n v="8"/>
    <n v="65000"/>
    <n v="52000"/>
    <n v="0"/>
    <n v="520000"/>
    <n v="416000"/>
    <n v="104000"/>
    <x v="1"/>
    <s v="Returned"/>
  </r>
  <r>
    <s v="ORD0142"/>
    <s v="CUST0142"/>
    <x v="130"/>
    <s v="Karan Joshi"/>
    <s v="Ahmedabad"/>
    <s v="Gujarat"/>
    <x v="0"/>
    <x v="4"/>
    <s v="Wearables"/>
    <s v="Amit Sharma"/>
    <n v="1"/>
    <n v="12000"/>
    <n v="8500"/>
    <n v="0.04"/>
    <n v="11520"/>
    <n v="8500"/>
    <n v="3020"/>
    <x v="3"/>
    <s v="Delivered"/>
  </r>
  <r>
    <s v="ORD0143"/>
    <s v="CUST0143"/>
    <x v="108"/>
    <s v="Priya Patel"/>
    <s v="Mumbai"/>
    <s v="Maharashtra"/>
    <x v="0"/>
    <x v="0"/>
    <s v="Office"/>
    <s v="Arjun Rao"/>
    <n v="1"/>
    <n v="18000"/>
    <n v="14000"/>
    <n v="0.19"/>
    <n v="14580.000000000002"/>
    <n v="14000"/>
    <n v="580.00000000000182"/>
    <x v="0"/>
    <s v="Cancelled"/>
  </r>
  <r>
    <s v="ORD0144"/>
    <s v="CUST0144"/>
    <x v="131"/>
    <s v="Neha Gupta"/>
    <s v="Coimbatore"/>
    <s v="Tamil Nadu"/>
    <x v="1"/>
    <x v="8"/>
    <s v="Office"/>
    <s v="Rahul Verma"/>
    <n v="7"/>
    <n v="15000"/>
    <n v="11500"/>
    <n v="0.27"/>
    <n v="76650"/>
    <n v="80500"/>
    <n v="-3850"/>
    <x v="3"/>
    <s v="Delivered"/>
  </r>
  <r>
    <s v="ORD0145"/>
    <s v="CUST0145"/>
    <x v="1"/>
    <s v="Kavya Reddy"/>
    <s v="Surat"/>
    <s v="Gujarat"/>
    <x v="0"/>
    <x v="4"/>
    <s v="Wearables"/>
    <s v="Arjun Rao"/>
    <n v="6"/>
    <n v="12000"/>
    <n v="8500"/>
    <n v="0.15"/>
    <n v="61200"/>
    <n v="51000"/>
    <n v="10200"/>
    <x v="1"/>
    <s v="Delivered"/>
  </r>
  <r>
    <s v="ORD0146"/>
    <s v="CUST0146"/>
    <x v="132"/>
    <s v="Kavya Reddy"/>
    <s v="Coimbatore"/>
    <s v="Tamil Nadu"/>
    <x v="1"/>
    <x v="3"/>
    <s v="Electronics"/>
    <s v="Pooja Das"/>
    <n v="3"/>
    <n v="25000"/>
    <n v="20000"/>
    <n v="0.19"/>
    <n v="60750.000000000007"/>
    <n v="60000"/>
    <n v="750.00000000000728"/>
    <x v="1"/>
    <s v="Delivered"/>
  </r>
  <r>
    <s v="ORD0147"/>
    <s v="CUST0147"/>
    <x v="133"/>
    <s v="Meera Shah"/>
    <s v="Ahmedabad"/>
    <s v="Gujarat"/>
    <x v="0"/>
    <x v="8"/>
    <s v="Office"/>
    <s v="Vikram Joshi"/>
    <n v="2"/>
    <n v="15000"/>
    <n v="11500"/>
    <n v="0.11"/>
    <n v="26700"/>
    <n v="23000"/>
    <n v="3700"/>
    <x v="2"/>
    <s v="Delivered"/>
  </r>
  <r>
    <s v="ORD0148"/>
    <s v="CUST0148"/>
    <x v="134"/>
    <s v="Suresh Iyer"/>
    <s v="Hyderabad"/>
    <s v="Telangana"/>
    <x v="1"/>
    <x v="5"/>
    <s v="Electronics"/>
    <s v="Sneha Patil"/>
    <n v="1"/>
    <n v="5000"/>
    <n v="3200"/>
    <n v="0.16"/>
    <n v="4200"/>
    <n v="3200"/>
    <n v="1000"/>
    <x v="3"/>
    <s v="In Transit"/>
  </r>
  <r>
    <s v="ORD0149"/>
    <s v="CUST0149"/>
    <x v="135"/>
    <s v="Amit Kumar"/>
    <s v="Chennai"/>
    <s v="Tamil Nadu"/>
    <x v="1"/>
    <x v="6"/>
    <s v="Accessories"/>
    <s v="Pooja Das"/>
    <n v="4"/>
    <n v="3000"/>
    <n v="1800"/>
    <n v="0.22"/>
    <n v="9360"/>
    <n v="7200"/>
    <n v="2160"/>
    <x v="3"/>
    <s v="Cancelled"/>
  </r>
  <r>
    <s v="ORD0150"/>
    <s v="CUST0150"/>
    <x v="134"/>
    <s v="Kavya Reddy"/>
    <s v="Coimbatore"/>
    <s v="Tamil Nadu"/>
    <x v="1"/>
    <x v="8"/>
    <s v="Office"/>
    <s v="Priya Nair"/>
    <n v="3"/>
    <n v="15000"/>
    <n v="11500"/>
    <n v="0.28000000000000003"/>
    <n v="32400"/>
    <n v="34500"/>
    <n v="-2100"/>
    <x v="0"/>
    <s v="Returned"/>
  </r>
  <r>
    <s v="ORD0151"/>
    <s v="CUST0151"/>
    <x v="136"/>
    <s v="Karan Joshi"/>
    <s v="Pune"/>
    <s v="Maharashtra"/>
    <x v="0"/>
    <x v="2"/>
    <s v="Electronics"/>
    <s v="Amit Sharma"/>
    <n v="8"/>
    <n v="35000"/>
    <n v="28000"/>
    <n v="0.27"/>
    <n v="204400"/>
    <n v="224000"/>
    <n v="-19600"/>
    <x v="3"/>
    <s v="Returned"/>
  </r>
  <r>
    <s v="ORD0152"/>
    <s v="CUST0152"/>
    <x v="19"/>
    <s v="Nikhil Jain"/>
    <s v="Bengaluru"/>
    <s v="Karnataka"/>
    <x v="1"/>
    <x v="7"/>
    <s v="Electronics"/>
    <s v="Vikram Joshi"/>
    <n v="2"/>
    <n v="65000"/>
    <n v="52000"/>
    <n v="0.03"/>
    <n v="126100"/>
    <n v="104000"/>
    <n v="22100"/>
    <x v="3"/>
    <s v="Returned"/>
  </r>
  <r>
    <s v="ORD0153"/>
    <s v="CUST0153"/>
    <x v="29"/>
    <s v="Anjali Rao"/>
    <s v="Mumbai"/>
    <s v="Maharashtra"/>
    <x v="0"/>
    <x v="3"/>
    <s v="Electronics"/>
    <s v="Pooja Das"/>
    <n v="9"/>
    <n v="25000"/>
    <n v="20000"/>
    <n v="0.08"/>
    <n v="207000"/>
    <n v="180000"/>
    <n v="27000"/>
    <x v="1"/>
    <s v="Returned"/>
  </r>
  <r>
    <s v="ORD0154"/>
    <s v="CUST0154"/>
    <x v="137"/>
    <s v="Anjali Rao"/>
    <s v="Kolkata"/>
    <s v="West Bengal"/>
    <x v="3"/>
    <x v="6"/>
    <s v="Accessories"/>
    <s v="Karan Singh"/>
    <n v="3"/>
    <n v="3000"/>
    <n v="1800"/>
    <n v="0.22"/>
    <n v="7020"/>
    <n v="5400"/>
    <n v="1620"/>
    <x v="1"/>
    <s v="In Transit"/>
  </r>
  <r>
    <s v="ORD0155"/>
    <s v="CUST0155"/>
    <x v="138"/>
    <s v="Rahul Sharma"/>
    <s v="Chennai"/>
    <s v="Tamil Nadu"/>
    <x v="1"/>
    <x v="4"/>
    <s v="Wearables"/>
    <s v="Sneha Patil"/>
    <n v="5"/>
    <n v="12000"/>
    <n v="8500"/>
    <n v="0.13"/>
    <n v="52200"/>
    <n v="42500"/>
    <n v="9700"/>
    <x v="0"/>
    <s v="Returned"/>
  </r>
  <r>
    <s v="ORD0156"/>
    <s v="CUST0156"/>
    <x v="139"/>
    <s v="Anjali Rao"/>
    <s v="Pune"/>
    <s v="Maharashtra"/>
    <x v="0"/>
    <x v="8"/>
    <s v="Office"/>
    <s v="Anjali Mehta"/>
    <n v="3"/>
    <n v="15000"/>
    <n v="11500"/>
    <n v="0.2"/>
    <n v="36000"/>
    <n v="34500"/>
    <n v="1500"/>
    <x v="2"/>
    <s v="Delivered"/>
  </r>
  <r>
    <s v="ORD0157"/>
    <s v="CUST0157"/>
    <x v="140"/>
    <s v="Aditya Mishra"/>
    <s v="Bengaluru"/>
    <s v="Karnataka"/>
    <x v="1"/>
    <x v="7"/>
    <s v="Electronics"/>
    <s v="Rahul Verma"/>
    <n v="9"/>
    <n v="65000"/>
    <n v="52000"/>
    <n v="0"/>
    <n v="585000"/>
    <n v="468000"/>
    <n v="117000"/>
    <x v="1"/>
    <s v="Delivered"/>
  </r>
  <r>
    <s v="ORD0158"/>
    <s v="CUST0158"/>
    <x v="141"/>
    <s v="Kavya Reddy"/>
    <s v="Hyderabad"/>
    <s v="Telangana"/>
    <x v="1"/>
    <x v="2"/>
    <s v="Electronics"/>
    <s v="Priya Nair"/>
    <n v="10"/>
    <n v="35000"/>
    <n v="28000"/>
    <n v="0.01"/>
    <n v="346500"/>
    <n v="280000"/>
    <n v="66500"/>
    <x v="1"/>
    <s v="In Transit"/>
  </r>
  <r>
    <s v="ORD0159"/>
    <s v="CUST0159"/>
    <x v="56"/>
    <s v="Meera Shah"/>
    <s v="Chennai"/>
    <s v="Tamil Nadu"/>
    <x v="1"/>
    <x v="8"/>
    <s v="Office"/>
    <s v="Neha Gupta"/>
    <n v="8"/>
    <n v="15000"/>
    <n v="11500"/>
    <n v="0.02"/>
    <n v="117600"/>
    <n v="92000"/>
    <n v="25600"/>
    <x v="2"/>
    <s v="Cancelled"/>
  </r>
  <r>
    <s v="ORD0160"/>
    <s v="CUST0160"/>
    <x v="43"/>
    <s v="Nikhil Jain"/>
    <s v="Jaipur"/>
    <s v="Rajasthan"/>
    <x v="2"/>
    <x v="6"/>
    <s v="Accessories"/>
    <s v="Amit Sharma"/>
    <n v="5"/>
    <n v="3000"/>
    <n v="1800"/>
    <n v="0.02"/>
    <n v="14700"/>
    <n v="9000"/>
    <n v="5700"/>
    <x v="4"/>
    <s v="Delivered"/>
  </r>
  <r>
    <s v="ORD0161"/>
    <s v="CUST0161"/>
    <x v="142"/>
    <s v="Neha Gupta"/>
    <s v="Mumbai"/>
    <s v="Maharashtra"/>
    <x v="0"/>
    <x v="1"/>
    <s v="Accessories"/>
    <s v="Karan Singh"/>
    <n v="3"/>
    <n v="1500"/>
    <n v="900"/>
    <n v="0.19"/>
    <n v="3645.0000000000005"/>
    <n v="2700"/>
    <n v="945.00000000000045"/>
    <x v="2"/>
    <s v="Cancelled"/>
  </r>
  <r>
    <s v="ORD0162"/>
    <s v="CUST0162"/>
    <x v="45"/>
    <s v="Amit Kumar"/>
    <s v="Coimbatore"/>
    <s v="Tamil Nadu"/>
    <x v="1"/>
    <x v="9"/>
    <s v="Accessories"/>
    <s v="Anjali Mehta"/>
    <n v="8"/>
    <n v="800"/>
    <n v="450"/>
    <n v="0.06"/>
    <n v="6016"/>
    <n v="3600"/>
    <n v="2416"/>
    <x v="0"/>
    <s v="Cancelled"/>
  </r>
  <r>
    <s v="ORD0163"/>
    <s v="CUST0163"/>
    <x v="143"/>
    <s v="Karan Joshi"/>
    <s v="Kolkata"/>
    <s v="West Bengal"/>
    <x v="3"/>
    <x v="2"/>
    <s v="Electronics"/>
    <s v="Karan Singh"/>
    <n v="9"/>
    <n v="35000"/>
    <n v="28000"/>
    <n v="0.1"/>
    <n v="283500"/>
    <n v="252000"/>
    <n v="31500"/>
    <x v="0"/>
    <s v="Delivered"/>
  </r>
  <r>
    <s v="ORD0164"/>
    <s v="CUST0164"/>
    <x v="144"/>
    <s v="Neha Gupta"/>
    <s v="Surat"/>
    <s v="Gujarat"/>
    <x v="0"/>
    <x v="9"/>
    <s v="Accessories"/>
    <s v="Anjali Mehta"/>
    <n v="5"/>
    <n v="800"/>
    <n v="450"/>
    <n v="0.13"/>
    <n v="3480"/>
    <n v="2250"/>
    <n v="1230"/>
    <x v="1"/>
    <s v="Delivered"/>
  </r>
  <r>
    <s v="ORD0165"/>
    <s v="CUST0165"/>
    <x v="32"/>
    <s v="Karan Joshi"/>
    <s v="Surat"/>
    <s v="Gujarat"/>
    <x v="0"/>
    <x v="0"/>
    <s v="Office"/>
    <s v="Priya Nair"/>
    <n v="9"/>
    <n v="18000"/>
    <n v="14000"/>
    <n v="0.05"/>
    <n v="153900"/>
    <n v="126000"/>
    <n v="27900"/>
    <x v="0"/>
    <s v="Delivered"/>
  </r>
  <r>
    <s v="ORD0166"/>
    <s v="CUST0166"/>
    <x v="145"/>
    <s v="Anjali Rao"/>
    <s v="Chennai"/>
    <s v="Tamil Nadu"/>
    <x v="1"/>
    <x v="5"/>
    <s v="Electronics"/>
    <s v="Neha Gupta"/>
    <n v="10"/>
    <n v="5000"/>
    <n v="3200"/>
    <n v="0.1"/>
    <n v="45000"/>
    <n v="32000"/>
    <n v="13000"/>
    <x v="0"/>
    <s v="Cancelled"/>
  </r>
  <r>
    <s v="ORD0167"/>
    <s v="CUST0167"/>
    <x v="76"/>
    <s v="Arjun Mehta"/>
    <s v="Jaipur"/>
    <s v="Rajasthan"/>
    <x v="2"/>
    <x v="7"/>
    <s v="Electronics"/>
    <s v="Vikram Joshi"/>
    <n v="8"/>
    <n v="65000"/>
    <n v="52000"/>
    <n v="0.19"/>
    <n v="421200"/>
    <n v="416000"/>
    <n v="5200"/>
    <x v="2"/>
    <s v="In Transit"/>
  </r>
  <r>
    <s v="ORD0168"/>
    <s v="CUST0168"/>
    <x v="146"/>
    <s v="Suresh Iyer"/>
    <s v="Bengaluru"/>
    <s v="Karnataka"/>
    <x v="1"/>
    <x v="9"/>
    <s v="Accessories"/>
    <s v="Neha Gupta"/>
    <n v="10"/>
    <n v="800"/>
    <n v="450"/>
    <n v="0.04"/>
    <n v="7680"/>
    <n v="4500"/>
    <n v="3180"/>
    <x v="2"/>
    <s v="In Transit"/>
  </r>
  <r>
    <s v="ORD0169"/>
    <s v="CUST0169"/>
    <x v="114"/>
    <s v="Rahul Sharma"/>
    <s v="Coimbatore"/>
    <s v="Tamil Nadu"/>
    <x v="1"/>
    <x v="2"/>
    <s v="Electronics"/>
    <s v="Pooja Das"/>
    <n v="9"/>
    <n v="35000"/>
    <n v="28000"/>
    <n v="0.21"/>
    <n v="248850"/>
    <n v="252000"/>
    <n v="-3150"/>
    <x v="4"/>
    <s v="In Transit"/>
  </r>
  <r>
    <s v="ORD0170"/>
    <s v="CUST0170"/>
    <x v="147"/>
    <s v="Nikhil Jain"/>
    <s v="Mumbai"/>
    <s v="Maharashtra"/>
    <x v="0"/>
    <x v="8"/>
    <s v="Office"/>
    <s v="Sneha Patil"/>
    <n v="3"/>
    <n v="15000"/>
    <n v="11500"/>
    <n v="0.3"/>
    <n v="31499.999999999996"/>
    <n v="34500"/>
    <n v="-3000.0000000000036"/>
    <x v="2"/>
    <s v="Delivered"/>
  </r>
  <r>
    <s v="ORD0171"/>
    <s v="CUST0171"/>
    <x v="148"/>
    <s v="Priya Patel"/>
    <s v="Warangal"/>
    <s v="Telangana"/>
    <x v="1"/>
    <x v="8"/>
    <s v="Office"/>
    <s v="Neha Gupta"/>
    <n v="6"/>
    <n v="15000"/>
    <n v="11500"/>
    <n v="0.24"/>
    <n v="68400"/>
    <n v="69000"/>
    <n v="-600"/>
    <x v="4"/>
    <s v="In Transit"/>
  </r>
  <r>
    <s v="ORD0172"/>
    <s v="CUST0172"/>
    <x v="119"/>
    <s v="Meera Shah"/>
    <s v="Chennai"/>
    <s v="Tamil Nadu"/>
    <x v="1"/>
    <x v="4"/>
    <s v="Wearables"/>
    <s v="Priya Nair"/>
    <n v="5"/>
    <n v="12000"/>
    <n v="8500"/>
    <n v="0.02"/>
    <n v="58800"/>
    <n v="42500"/>
    <n v="16300"/>
    <x v="0"/>
    <s v="Returned"/>
  </r>
  <r>
    <s v="ORD0173"/>
    <s v="CUST0173"/>
    <x v="149"/>
    <s v="Aisha Khan"/>
    <s v="Mysuru"/>
    <s v="Karnataka"/>
    <x v="1"/>
    <x v="7"/>
    <s v="Electronics"/>
    <s v="Pooja Das"/>
    <n v="8"/>
    <n v="65000"/>
    <n v="52000"/>
    <n v="0.08"/>
    <n v="478400"/>
    <n v="416000"/>
    <n v="62400"/>
    <x v="1"/>
    <s v="In Transit"/>
  </r>
  <r>
    <s v="ORD0174"/>
    <s v="CUST0174"/>
    <x v="150"/>
    <s v="Nikhil Jain"/>
    <s v="Warangal"/>
    <s v="Telangana"/>
    <x v="1"/>
    <x v="5"/>
    <s v="Electronics"/>
    <s v="Pooja Das"/>
    <n v="5"/>
    <n v="5000"/>
    <n v="3200"/>
    <n v="7.0000000000000007E-2"/>
    <n v="23250"/>
    <n v="16000"/>
    <n v="7250"/>
    <x v="4"/>
    <s v="Returned"/>
  </r>
  <r>
    <s v="ORD0175"/>
    <s v="CUST0175"/>
    <x v="151"/>
    <s v="Amit Kumar"/>
    <s v="Jaipur"/>
    <s v="Rajasthan"/>
    <x v="2"/>
    <x v="7"/>
    <s v="Electronics"/>
    <s v="Karan Singh"/>
    <n v="2"/>
    <n v="65000"/>
    <n v="52000"/>
    <n v="0.11"/>
    <n v="115700"/>
    <n v="104000"/>
    <n v="11700"/>
    <x v="2"/>
    <s v="Cancelled"/>
  </r>
  <r>
    <s v="ORD0176"/>
    <s v="CUST0176"/>
    <x v="152"/>
    <s v="Kavya Reddy"/>
    <s v="Mumbai"/>
    <s v="Maharashtra"/>
    <x v="0"/>
    <x v="1"/>
    <s v="Accessories"/>
    <s v="Vikram Joshi"/>
    <n v="8"/>
    <n v="1500"/>
    <n v="900"/>
    <n v="0.24"/>
    <n v="9120"/>
    <n v="7200"/>
    <n v="1920"/>
    <x v="4"/>
    <s v="In Transit"/>
  </r>
  <r>
    <s v="ORD0177"/>
    <s v="CUST0177"/>
    <x v="153"/>
    <s v="Arjun Mehta"/>
    <s v="Coimbatore"/>
    <s v="Tamil Nadu"/>
    <x v="1"/>
    <x v="1"/>
    <s v="Accessories"/>
    <s v="Rahul Verma"/>
    <n v="7"/>
    <n v="1500"/>
    <n v="900"/>
    <n v="0.01"/>
    <n v="10395"/>
    <n v="6300"/>
    <n v="4095"/>
    <x v="0"/>
    <s v="Cancelled"/>
  </r>
  <r>
    <s v="ORD0178"/>
    <s v="CUST0178"/>
    <x v="154"/>
    <s v="Suresh Iyer"/>
    <s v="Ahmedabad"/>
    <s v="Gujarat"/>
    <x v="0"/>
    <x v="5"/>
    <s v="Electronics"/>
    <s v="Karan Singh"/>
    <n v="3"/>
    <n v="5000"/>
    <n v="3200"/>
    <n v="7.0000000000000007E-2"/>
    <n v="13949.999999999998"/>
    <n v="9600"/>
    <n v="4349.9999999999982"/>
    <x v="1"/>
    <s v="Cancelled"/>
  </r>
  <r>
    <s v="ORD0179"/>
    <s v="CUST0179"/>
    <x v="155"/>
    <s v="Neha Gupta"/>
    <s v="Coimbatore"/>
    <s v="Tamil Nadu"/>
    <x v="1"/>
    <x v="3"/>
    <s v="Electronics"/>
    <s v="Rahul Verma"/>
    <n v="4"/>
    <n v="25000"/>
    <n v="20000"/>
    <n v="0"/>
    <n v="100000"/>
    <n v="80000"/>
    <n v="20000"/>
    <x v="4"/>
    <s v="Cancelled"/>
  </r>
  <r>
    <s v="ORD0180"/>
    <s v="CUST0180"/>
    <x v="156"/>
    <s v="Amit Kumar"/>
    <s v="Pune"/>
    <s v="Maharashtra"/>
    <x v="0"/>
    <x v="3"/>
    <s v="Electronics"/>
    <s v="Karan Singh"/>
    <n v="4"/>
    <n v="25000"/>
    <n v="20000"/>
    <n v="7.0000000000000007E-2"/>
    <n v="93000"/>
    <n v="80000"/>
    <n v="13000"/>
    <x v="2"/>
    <s v="Delivered"/>
  </r>
  <r>
    <s v="ORD0181"/>
    <s v="CUST0181"/>
    <x v="157"/>
    <s v="Amit Kumar"/>
    <s v="Surat"/>
    <s v="Gujarat"/>
    <x v="0"/>
    <x v="9"/>
    <s v="Accessories"/>
    <s v="Pooja Das"/>
    <n v="2"/>
    <n v="800"/>
    <n v="450"/>
    <n v="0.1"/>
    <n v="1440"/>
    <n v="900"/>
    <n v="540"/>
    <x v="1"/>
    <s v="Cancelled"/>
  </r>
  <r>
    <s v="ORD0182"/>
    <s v="CUST0182"/>
    <x v="158"/>
    <s v="Aisha Khan"/>
    <s v="Bengaluru"/>
    <s v="Karnataka"/>
    <x v="1"/>
    <x v="2"/>
    <s v="Electronics"/>
    <s v="Karan Singh"/>
    <n v="7"/>
    <n v="35000"/>
    <n v="28000"/>
    <n v="0.19"/>
    <n v="198450"/>
    <n v="196000"/>
    <n v="2450"/>
    <x v="2"/>
    <s v="Returned"/>
  </r>
  <r>
    <s v="ORD0183"/>
    <s v="CUST0183"/>
    <x v="152"/>
    <s v="Amit Kumar"/>
    <s v="Kolkata"/>
    <s v="West Bengal"/>
    <x v="3"/>
    <x v="9"/>
    <s v="Accessories"/>
    <s v="Pooja Das"/>
    <n v="4"/>
    <n v="800"/>
    <n v="450"/>
    <n v="0.21"/>
    <n v="2528"/>
    <n v="1800"/>
    <n v="728"/>
    <x v="3"/>
    <s v="Delivered"/>
  </r>
  <r>
    <s v="ORD0184"/>
    <s v="CUST0184"/>
    <x v="159"/>
    <s v="Divya Menon"/>
    <s v="Pune"/>
    <s v="Maharashtra"/>
    <x v="0"/>
    <x v="7"/>
    <s v="Electronics"/>
    <s v="Priya Nair"/>
    <n v="3"/>
    <n v="65000"/>
    <n v="52000"/>
    <n v="0.02"/>
    <n v="191100"/>
    <n v="156000"/>
    <n v="35100"/>
    <x v="2"/>
    <s v="In Transit"/>
  </r>
  <r>
    <s v="ORD0185"/>
    <s v="CUST0185"/>
    <x v="160"/>
    <s v="Kavya Reddy"/>
    <s v="Coimbatore"/>
    <s v="Tamil Nadu"/>
    <x v="1"/>
    <x v="1"/>
    <s v="Accessories"/>
    <s v="Pooja Das"/>
    <n v="6"/>
    <n v="1500"/>
    <n v="900"/>
    <n v="0.1"/>
    <n v="8100"/>
    <n v="5400"/>
    <n v="2700"/>
    <x v="3"/>
    <s v="Delivered"/>
  </r>
  <r>
    <s v="ORD0186"/>
    <s v="CUST0186"/>
    <x v="104"/>
    <s v="Rahul Sharma"/>
    <s v="Jaipur"/>
    <s v="Rajasthan"/>
    <x v="2"/>
    <x v="6"/>
    <s v="Accessories"/>
    <s v="Vikram Joshi"/>
    <n v="9"/>
    <n v="3000"/>
    <n v="1800"/>
    <n v="0.02"/>
    <n v="26460"/>
    <n v="16200"/>
    <n v="10260"/>
    <x v="4"/>
    <s v="Returned"/>
  </r>
  <r>
    <s v="ORD0187"/>
    <s v="CUST0187"/>
    <x v="155"/>
    <s v="Rohit Verma"/>
    <s v="Bengaluru"/>
    <s v="Karnataka"/>
    <x v="1"/>
    <x v="3"/>
    <s v="Electronics"/>
    <s v="Vikram Joshi"/>
    <n v="7"/>
    <n v="25000"/>
    <n v="20000"/>
    <n v="0.21"/>
    <n v="138250"/>
    <n v="140000"/>
    <n v="-1750"/>
    <x v="2"/>
    <s v="In Transit"/>
  </r>
  <r>
    <s v="ORD0188"/>
    <s v="CUST0188"/>
    <x v="100"/>
    <s v="Anjali Rao"/>
    <s v="New Delhi"/>
    <s v="Delhi"/>
    <x v="2"/>
    <x v="1"/>
    <s v="Accessories"/>
    <s v="Vikram Joshi"/>
    <n v="4"/>
    <n v="1500"/>
    <n v="900"/>
    <n v="0.05"/>
    <n v="5700"/>
    <n v="3600"/>
    <n v="2100"/>
    <x v="2"/>
    <s v="Cancelled"/>
  </r>
  <r>
    <s v="ORD0189"/>
    <s v="CUST0189"/>
    <x v="161"/>
    <s v="Pooja Das"/>
    <s v="Ahmedabad"/>
    <s v="Gujarat"/>
    <x v="0"/>
    <x v="2"/>
    <s v="Electronics"/>
    <s v="Pooja Das"/>
    <n v="7"/>
    <n v="35000"/>
    <n v="28000"/>
    <n v="0.16"/>
    <n v="205800"/>
    <n v="196000"/>
    <n v="9800"/>
    <x v="4"/>
    <s v="Returned"/>
  </r>
  <r>
    <s v="ORD0190"/>
    <s v="CUST0190"/>
    <x v="83"/>
    <s v="Arjun Mehta"/>
    <s v="Bengaluru"/>
    <s v="Karnataka"/>
    <x v="1"/>
    <x v="4"/>
    <s v="Wearables"/>
    <s v="Neha Gupta"/>
    <n v="10"/>
    <n v="12000"/>
    <n v="8500"/>
    <n v="0.22"/>
    <n v="93600"/>
    <n v="85000"/>
    <n v="8600"/>
    <x v="3"/>
    <s v="Returned"/>
  </r>
  <r>
    <s v="ORD0191"/>
    <s v="CUST0191"/>
    <x v="162"/>
    <s v="Kavya Reddy"/>
    <s v="Chennai"/>
    <s v="Tamil Nadu"/>
    <x v="1"/>
    <x v="2"/>
    <s v="Electronics"/>
    <s v="Vikram Joshi"/>
    <n v="3"/>
    <n v="35000"/>
    <n v="28000"/>
    <n v="0.1"/>
    <n v="94500"/>
    <n v="84000"/>
    <n v="10500"/>
    <x v="0"/>
    <s v="In Transit"/>
  </r>
  <r>
    <s v="ORD0192"/>
    <s v="CUST0192"/>
    <x v="79"/>
    <s v="Pooja Das"/>
    <s v="Ahmedabad"/>
    <s v="Gujarat"/>
    <x v="0"/>
    <x v="1"/>
    <s v="Accessories"/>
    <s v="Anjali Mehta"/>
    <n v="8"/>
    <n v="1500"/>
    <n v="900"/>
    <n v="0.26"/>
    <n v="8880"/>
    <n v="7200"/>
    <n v="1680"/>
    <x v="3"/>
    <s v="In Transit"/>
  </r>
  <r>
    <s v="ORD0193"/>
    <s v="CUST0193"/>
    <x v="163"/>
    <s v="Pooja Das"/>
    <s v="Warangal"/>
    <s v="Telangana"/>
    <x v="1"/>
    <x v="5"/>
    <s v="Electronics"/>
    <s v="Pooja Das"/>
    <n v="4"/>
    <n v="5000"/>
    <n v="3200"/>
    <n v="0.17"/>
    <n v="16600"/>
    <n v="12800"/>
    <n v="3800"/>
    <x v="3"/>
    <s v="Cancelled"/>
  </r>
  <r>
    <s v="ORD0194"/>
    <s v="CUST0194"/>
    <x v="164"/>
    <s v="Rohan Kulkarni"/>
    <s v="Warangal"/>
    <s v="Telangana"/>
    <x v="1"/>
    <x v="6"/>
    <s v="Accessories"/>
    <s v="Karan Singh"/>
    <n v="4"/>
    <n v="3000"/>
    <n v="1800"/>
    <n v="0.17"/>
    <n v="9960"/>
    <n v="7200"/>
    <n v="2760"/>
    <x v="3"/>
    <s v="In Transit"/>
  </r>
  <r>
    <s v="ORD0195"/>
    <s v="CUST0195"/>
    <x v="165"/>
    <s v="Aditya Mishra"/>
    <s v="Coimbatore"/>
    <s v="Tamil Nadu"/>
    <x v="1"/>
    <x v="9"/>
    <s v="Accessories"/>
    <s v="Anjali Mehta"/>
    <n v="1"/>
    <n v="800"/>
    <n v="450"/>
    <n v="0.06"/>
    <n v="752"/>
    <n v="450"/>
    <n v="302"/>
    <x v="0"/>
    <s v="Cancelled"/>
  </r>
  <r>
    <s v="ORD0196"/>
    <s v="CUST0196"/>
    <x v="166"/>
    <s v="Kavya Reddy"/>
    <s v="Coimbatore"/>
    <s v="Tamil Nadu"/>
    <x v="1"/>
    <x v="8"/>
    <s v="Office"/>
    <s v="Priya Nair"/>
    <n v="4"/>
    <n v="15000"/>
    <n v="11500"/>
    <n v="0.25"/>
    <n v="45000"/>
    <n v="46000"/>
    <n v="-1000"/>
    <x v="3"/>
    <s v="Returned"/>
  </r>
  <r>
    <s v="ORD0197"/>
    <s v="CUST0197"/>
    <x v="167"/>
    <s v="Nikhil Jain"/>
    <s v="Kolkata"/>
    <s v="West Bengal"/>
    <x v="3"/>
    <x v="3"/>
    <s v="Electronics"/>
    <s v="Amit Sharma"/>
    <n v="5"/>
    <n v="25000"/>
    <n v="20000"/>
    <n v="0.17"/>
    <n v="103750"/>
    <n v="100000"/>
    <n v="3750"/>
    <x v="0"/>
    <s v="Cancelled"/>
  </r>
  <r>
    <s v="ORD0198"/>
    <s v="CUST0198"/>
    <x v="168"/>
    <s v="Vikram Singh"/>
    <s v="Jaipur"/>
    <s v="Rajasthan"/>
    <x v="2"/>
    <x v="1"/>
    <s v="Accessories"/>
    <s v="Neha Gupta"/>
    <n v="6"/>
    <n v="1500"/>
    <n v="900"/>
    <n v="0.05"/>
    <n v="8550"/>
    <n v="5400"/>
    <n v="3150"/>
    <x v="1"/>
    <s v="Delivered"/>
  </r>
  <r>
    <s v="ORD0199"/>
    <s v="CUST0199"/>
    <x v="169"/>
    <s v="Rohit Verma"/>
    <s v="Jaipur"/>
    <s v="Rajasthan"/>
    <x v="2"/>
    <x v="0"/>
    <s v="Office"/>
    <s v="Pooja Das"/>
    <n v="6"/>
    <n v="18000"/>
    <n v="14000"/>
    <n v="0.3"/>
    <n v="75600"/>
    <n v="84000"/>
    <n v="-8400"/>
    <x v="1"/>
    <s v="Cancelled"/>
  </r>
  <r>
    <s v="ORD0200"/>
    <s v="CUST0200"/>
    <x v="2"/>
    <s v="Priya Patel"/>
    <s v="Kolkata"/>
    <s v="West Bengal"/>
    <x v="3"/>
    <x v="9"/>
    <s v="Accessories"/>
    <s v="Rahul Verma"/>
    <n v="2"/>
    <n v="800"/>
    <n v="450"/>
    <n v="0.19"/>
    <n v="1296"/>
    <n v="900"/>
    <n v="396"/>
    <x v="0"/>
    <s v="In Transit"/>
  </r>
  <r>
    <s v="ORD0201"/>
    <s v="CUST0201"/>
    <x v="161"/>
    <s v="Vikram Singh"/>
    <s v="Mysuru"/>
    <s v="Karnataka"/>
    <x v="1"/>
    <x v="0"/>
    <s v="Office"/>
    <s v="Rahul Verma"/>
    <n v="10"/>
    <n v="18000"/>
    <n v="14000"/>
    <n v="0.17"/>
    <n v="149400"/>
    <n v="140000"/>
    <n v="9400"/>
    <x v="3"/>
    <s v="In Transit"/>
  </r>
  <r>
    <s v="ORD0202"/>
    <s v="CUST0202"/>
    <x v="170"/>
    <s v="Suresh Iyer"/>
    <s v="Mumbai"/>
    <s v="Maharashtra"/>
    <x v="0"/>
    <x v="8"/>
    <s v="Office"/>
    <s v="Sneha Patil"/>
    <n v="3"/>
    <n v="15000"/>
    <n v="11500"/>
    <n v="0.26"/>
    <n v="33300"/>
    <n v="34500"/>
    <n v="-1200"/>
    <x v="0"/>
    <s v="Delivered"/>
  </r>
  <r>
    <s v="ORD0203"/>
    <s v="CUST0203"/>
    <x v="171"/>
    <s v="Rahul Sharma"/>
    <s v="Hyderabad"/>
    <s v="Telangana"/>
    <x v="1"/>
    <x v="3"/>
    <s v="Electronics"/>
    <s v="Neha Gupta"/>
    <n v="2"/>
    <n v="25000"/>
    <n v="20000"/>
    <n v="0.23"/>
    <n v="38500"/>
    <n v="40000"/>
    <n v="-1500"/>
    <x v="2"/>
    <s v="Returned"/>
  </r>
  <r>
    <s v="ORD0204"/>
    <s v="CUST0204"/>
    <x v="128"/>
    <s v="Sneha Nair"/>
    <s v="Mysuru"/>
    <s v="Karnataka"/>
    <x v="1"/>
    <x v="5"/>
    <s v="Electronics"/>
    <s v="Priya Nair"/>
    <n v="3"/>
    <n v="5000"/>
    <n v="3200"/>
    <n v="0.08"/>
    <n v="13800"/>
    <n v="9600"/>
    <n v="4200"/>
    <x v="1"/>
    <s v="Delivered"/>
  </r>
  <r>
    <s v="ORD0205"/>
    <s v="CUST0205"/>
    <x v="172"/>
    <s v="Suresh Iyer"/>
    <s v="Pune"/>
    <s v="Maharashtra"/>
    <x v="0"/>
    <x v="7"/>
    <s v="Electronics"/>
    <s v="Neha Gupta"/>
    <n v="2"/>
    <n v="65000"/>
    <n v="52000"/>
    <n v="0.01"/>
    <n v="128700"/>
    <n v="104000"/>
    <n v="24700"/>
    <x v="1"/>
    <s v="Delivered"/>
  </r>
  <r>
    <s v="ORD0206"/>
    <s v="CUST0206"/>
    <x v="104"/>
    <s v="Sneha Nair"/>
    <s v="Jaipur"/>
    <s v="Rajasthan"/>
    <x v="2"/>
    <x v="2"/>
    <s v="Electronics"/>
    <s v="Karan Singh"/>
    <n v="7"/>
    <n v="35000"/>
    <n v="28000"/>
    <n v="0.17"/>
    <n v="203350"/>
    <n v="196000"/>
    <n v="7350"/>
    <x v="4"/>
    <s v="Delivered"/>
  </r>
  <r>
    <s v="ORD0207"/>
    <s v="CUST0207"/>
    <x v="173"/>
    <s v="Aisha Khan"/>
    <s v="Coimbatore"/>
    <s v="Tamil Nadu"/>
    <x v="1"/>
    <x v="8"/>
    <s v="Office"/>
    <s v="Vikram Joshi"/>
    <n v="2"/>
    <n v="15000"/>
    <n v="11500"/>
    <n v="0.09"/>
    <n v="27300"/>
    <n v="23000"/>
    <n v="4300"/>
    <x v="0"/>
    <s v="Returned"/>
  </r>
  <r>
    <s v="ORD0208"/>
    <s v="CUST0208"/>
    <x v="115"/>
    <s v="Aisha Khan"/>
    <s v="Warangal"/>
    <s v="Telangana"/>
    <x v="1"/>
    <x v="5"/>
    <s v="Electronics"/>
    <s v="Pooja Das"/>
    <n v="3"/>
    <n v="5000"/>
    <n v="3200"/>
    <n v="0.05"/>
    <n v="14250"/>
    <n v="9600"/>
    <n v="4650"/>
    <x v="4"/>
    <s v="Returned"/>
  </r>
  <r>
    <s v="ORD0209"/>
    <s v="CUST0209"/>
    <x v="174"/>
    <s v="Kavya Reddy"/>
    <s v="Hyderabad"/>
    <s v="Telangana"/>
    <x v="1"/>
    <x v="4"/>
    <s v="Wearables"/>
    <s v="Neha Gupta"/>
    <n v="1"/>
    <n v="12000"/>
    <n v="8500"/>
    <n v="0.01"/>
    <n v="11880"/>
    <n v="8500"/>
    <n v="3380"/>
    <x v="4"/>
    <s v="Returned"/>
  </r>
  <r>
    <s v="ORD0210"/>
    <s v="CUST0210"/>
    <x v="175"/>
    <s v="Nikhil Jain"/>
    <s v="Jaipur"/>
    <s v="Rajasthan"/>
    <x v="2"/>
    <x v="3"/>
    <s v="Electronics"/>
    <s v="Anjali Mehta"/>
    <n v="4"/>
    <n v="25000"/>
    <n v="20000"/>
    <n v="0.21"/>
    <n v="79000"/>
    <n v="80000"/>
    <n v="-1000"/>
    <x v="0"/>
    <s v="Cancelled"/>
  </r>
  <r>
    <s v="ORD0211"/>
    <s v="CUST0211"/>
    <x v="176"/>
    <s v="Priya Patel"/>
    <s v="Chennai"/>
    <s v="Tamil Nadu"/>
    <x v="1"/>
    <x v="0"/>
    <s v="Office"/>
    <s v="Priya Nair"/>
    <n v="9"/>
    <n v="18000"/>
    <n v="14000"/>
    <n v="0.19"/>
    <n v="131220"/>
    <n v="126000"/>
    <n v="5220"/>
    <x v="3"/>
    <s v="Delivered"/>
  </r>
  <r>
    <s v="ORD0212"/>
    <s v="CUST0212"/>
    <x v="150"/>
    <s v="Kavya Reddy"/>
    <s v="Pune"/>
    <s v="Maharashtra"/>
    <x v="0"/>
    <x v="4"/>
    <s v="Wearables"/>
    <s v="Rahul Verma"/>
    <n v="3"/>
    <n v="12000"/>
    <n v="8500"/>
    <n v="0.06"/>
    <n v="33840"/>
    <n v="25500"/>
    <n v="8340"/>
    <x v="4"/>
    <s v="Returned"/>
  </r>
  <r>
    <s v="ORD0213"/>
    <s v="CUST0213"/>
    <x v="177"/>
    <s v="Aditya Mishra"/>
    <s v="Mumbai"/>
    <s v="Maharashtra"/>
    <x v="0"/>
    <x v="1"/>
    <s v="Accessories"/>
    <s v="Anjali Mehta"/>
    <n v="2"/>
    <n v="1500"/>
    <n v="900"/>
    <n v="0.18"/>
    <n v="2460"/>
    <n v="1800"/>
    <n v="660"/>
    <x v="4"/>
    <s v="Delivered"/>
  </r>
  <r>
    <s v="ORD0214"/>
    <s v="CUST0214"/>
    <x v="178"/>
    <s v="Meera Shah"/>
    <s v="Warangal"/>
    <s v="Telangana"/>
    <x v="1"/>
    <x v="5"/>
    <s v="Electronics"/>
    <s v="Neha Gupta"/>
    <n v="5"/>
    <n v="5000"/>
    <n v="3200"/>
    <n v="0.18"/>
    <n v="20500"/>
    <n v="16000"/>
    <n v="4500"/>
    <x v="1"/>
    <s v="Cancelled"/>
  </r>
  <r>
    <s v="ORD0215"/>
    <s v="CUST0215"/>
    <x v="179"/>
    <s v="Arjun Mehta"/>
    <s v="Surat"/>
    <s v="Gujarat"/>
    <x v="0"/>
    <x v="4"/>
    <s v="Wearables"/>
    <s v="Neha Gupta"/>
    <n v="10"/>
    <n v="12000"/>
    <n v="8500"/>
    <n v="0.18"/>
    <n v="98400.000000000015"/>
    <n v="85000"/>
    <n v="13400.000000000015"/>
    <x v="2"/>
    <s v="Delivered"/>
  </r>
  <r>
    <s v="ORD0216"/>
    <s v="CUST0216"/>
    <x v="180"/>
    <s v="Vikram Singh"/>
    <s v="Surat"/>
    <s v="Gujarat"/>
    <x v="0"/>
    <x v="9"/>
    <s v="Accessories"/>
    <s v="Karan Singh"/>
    <n v="8"/>
    <n v="800"/>
    <n v="450"/>
    <n v="0.16"/>
    <n v="5376"/>
    <n v="3600"/>
    <n v="1776"/>
    <x v="1"/>
    <s v="In Transit"/>
  </r>
  <r>
    <s v="ORD0217"/>
    <s v="CUST0217"/>
    <x v="181"/>
    <s v="Nikhil Jain"/>
    <s v="Surat"/>
    <s v="Gujarat"/>
    <x v="0"/>
    <x v="7"/>
    <s v="Electronics"/>
    <s v="Vikram Joshi"/>
    <n v="8"/>
    <n v="65000"/>
    <n v="52000"/>
    <n v="0.22"/>
    <n v="405600"/>
    <n v="416000"/>
    <n v="-10400"/>
    <x v="3"/>
    <s v="Cancelled"/>
  </r>
  <r>
    <s v="ORD0218"/>
    <s v="CUST0218"/>
    <x v="182"/>
    <s v="Rahul Sharma"/>
    <s v="New Delhi"/>
    <s v="Delhi"/>
    <x v="2"/>
    <x v="5"/>
    <s v="Electronics"/>
    <s v="Rahul Verma"/>
    <n v="1"/>
    <n v="5000"/>
    <n v="3200"/>
    <n v="0.04"/>
    <n v="4800"/>
    <n v="3200"/>
    <n v="1600"/>
    <x v="0"/>
    <s v="Returned"/>
  </r>
  <r>
    <s v="ORD0219"/>
    <s v="CUST0219"/>
    <x v="183"/>
    <s v="Amit Kumar"/>
    <s v="Ahmedabad"/>
    <s v="Gujarat"/>
    <x v="0"/>
    <x v="3"/>
    <s v="Electronics"/>
    <s v="Amit Sharma"/>
    <n v="7"/>
    <n v="25000"/>
    <n v="20000"/>
    <n v="0.3"/>
    <n v="122499.99999999999"/>
    <n v="140000"/>
    <n v="-17500.000000000015"/>
    <x v="2"/>
    <s v="Returned"/>
  </r>
  <r>
    <s v="ORD0220"/>
    <s v="CUST0220"/>
    <x v="184"/>
    <s v="Rohit Verma"/>
    <s v="Surat"/>
    <s v="Gujarat"/>
    <x v="0"/>
    <x v="9"/>
    <s v="Accessories"/>
    <s v="Sneha Patil"/>
    <n v="5"/>
    <n v="800"/>
    <n v="450"/>
    <n v="0.13"/>
    <n v="3480"/>
    <n v="2250"/>
    <n v="1230"/>
    <x v="4"/>
    <s v="In Transit"/>
  </r>
  <r>
    <s v="ORD0221"/>
    <s v="CUST0221"/>
    <x v="185"/>
    <s v="Rahul Sharma"/>
    <s v="Mysuru"/>
    <s v="Karnataka"/>
    <x v="1"/>
    <x v="2"/>
    <s v="Electronics"/>
    <s v="Priya Nair"/>
    <n v="3"/>
    <n v="35000"/>
    <n v="28000"/>
    <n v="0.14000000000000001"/>
    <n v="90300"/>
    <n v="84000"/>
    <n v="6300"/>
    <x v="2"/>
    <s v="Cancelled"/>
  </r>
  <r>
    <s v="ORD0222"/>
    <s v="CUST0222"/>
    <x v="77"/>
    <s v="Kavya Reddy"/>
    <s v="Bengaluru"/>
    <s v="Karnataka"/>
    <x v="1"/>
    <x v="7"/>
    <s v="Electronics"/>
    <s v="Arjun Rao"/>
    <n v="3"/>
    <n v="65000"/>
    <n v="52000"/>
    <n v="0.21"/>
    <n v="154050"/>
    <n v="156000"/>
    <n v="-1950"/>
    <x v="1"/>
    <s v="Cancelled"/>
  </r>
  <r>
    <s v="ORD0223"/>
    <s v="CUST0223"/>
    <x v="186"/>
    <s v="Amit Kumar"/>
    <s v="Mysuru"/>
    <s v="Karnataka"/>
    <x v="1"/>
    <x v="7"/>
    <s v="Electronics"/>
    <s v="Amit Sharma"/>
    <n v="4"/>
    <n v="65000"/>
    <n v="52000"/>
    <n v="0.25"/>
    <n v="195000"/>
    <n v="208000"/>
    <n v="-13000"/>
    <x v="1"/>
    <s v="Cancelled"/>
  </r>
  <r>
    <s v="ORD0224"/>
    <s v="CUST0224"/>
    <x v="172"/>
    <s v="Aisha Khan"/>
    <s v="Bengaluru"/>
    <s v="Karnataka"/>
    <x v="1"/>
    <x v="0"/>
    <s v="Office"/>
    <s v="Pooja Das"/>
    <n v="2"/>
    <n v="18000"/>
    <n v="14000"/>
    <n v="0.06"/>
    <n v="33840"/>
    <n v="28000"/>
    <n v="5840"/>
    <x v="0"/>
    <s v="Delivered"/>
  </r>
  <r>
    <s v="ORD0225"/>
    <s v="CUST0225"/>
    <x v="187"/>
    <s v="Priya Patel"/>
    <s v="Warangal"/>
    <s v="Telangana"/>
    <x v="1"/>
    <x v="0"/>
    <s v="Office"/>
    <s v="Neha Gupta"/>
    <n v="10"/>
    <n v="18000"/>
    <n v="14000"/>
    <n v="0.15"/>
    <n v="153000"/>
    <n v="140000"/>
    <n v="13000"/>
    <x v="2"/>
    <s v="Cancelled"/>
  </r>
  <r>
    <s v="ORD0226"/>
    <s v="CUST0226"/>
    <x v="14"/>
    <s v="Meera Shah"/>
    <s v="Hyderabad"/>
    <s v="Telangana"/>
    <x v="1"/>
    <x v="9"/>
    <s v="Accessories"/>
    <s v="Neha Gupta"/>
    <n v="2"/>
    <n v="800"/>
    <n v="450"/>
    <n v="0.16"/>
    <n v="1344"/>
    <n v="900"/>
    <n v="444"/>
    <x v="0"/>
    <s v="In Transit"/>
  </r>
  <r>
    <s v="ORD0227"/>
    <s v="CUST0227"/>
    <x v="188"/>
    <s v="Nikhil Jain"/>
    <s v="New Delhi"/>
    <s v="Delhi"/>
    <x v="2"/>
    <x v="3"/>
    <s v="Electronics"/>
    <s v="Amit Sharma"/>
    <n v="6"/>
    <n v="25000"/>
    <n v="20000"/>
    <n v="0.06"/>
    <n v="141000"/>
    <n v="120000"/>
    <n v="21000"/>
    <x v="3"/>
    <s v="Delivered"/>
  </r>
  <r>
    <s v="ORD0228"/>
    <s v="CUST0228"/>
    <x v="189"/>
    <s v="Divya Menon"/>
    <s v="Coimbatore"/>
    <s v="Tamil Nadu"/>
    <x v="1"/>
    <x v="6"/>
    <s v="Accessories"/>
    <s v="Priya Nair"/>
    <n v="6"/>
    <n v="3000"/>
    <n v="1800"/>
    <n v="0.23"/>
    <n v="13860"/>
    <n v="10800"/>
    <n v="3060"/>
    <x v="4"/>
    <s v="In Transit"/>
  </r>
  <r>
    <s v="ORD0229"/>
    <s v="CUST0229"/>
    <x v="188"/>
    <s v="Amit Kumar"/>
    <s v="Coimbatore"/>
    <s v="Tamil Nadu"/>
    <x v="1"/>
    <x v="8"/>
    <s v="Office"/>
    <s v="Sneha Patil"/>
    <n v="6"/>
    <n v="15000"/>
    <n v="11500"/>
    <n v="0.11"/>
    <n v="80100"/>
    <n v="69000"/>
    <n v="11100"/>
    <x v="2"/>
    <s v="Returned"/>
  </r>
  <r>
    <s v="ORD0230"/>
    <s v="CUST0230"/>
    <x v="190"/>
    <s v="Sneha Nair"/>
    <s v="Mumbai"/>
    <s v="Maharashtra"/>
    <x v="0"/>
    <x v="5"/>
    <s v="Electronics"/>
    <s v="Priya Nair"/>
    <n v="2"/>
    <n v="5000"/>
    <n v="3200"/>
    <n v="0.14000000000000001"/>
    <n v="8600"/>
    <n v="6400"/>
    <n v="2200"/>
    <x v="3"/>
    <s v="Cancelled"/>
  </r>
  <r>
    <s v="ORD0231"/>
    <s v="CUST0231"/>
    <x v="152"/>
    <s v="Pooja Das"/>
    <s v="Kolkata"/>
    <s v="West Bengal"/>
    <x v="3"/>
    <x v="5"/>
    <s v="Electronics"/>
    <s v="Arjun Rao"/>
    <n v="6"/>
    <n v="5000"/>
    <n v="3200"/>
    <n v="0.08"/>
    <n v="27600"/>
    <n v="19200"/>
    <n v="8400"/>
    <x v="2"/>
    <s v="Delivered"/>
  </r>
  <r>
    <s v="ORD0232"/>
    <s v="CUST0232"/>
    <x v="191"/>
    <s v="Pooja Das"/>
    <s v="Surat"/>
    <s v="Gujarat"/>
    <x v="0"/>
    <x v="8"/>
    <s v="Office"/>
    <s v="Sneha Patil"/>
    <n v="10"/>
    <n v="15000"/>
    <n v="11500"/>
    <n v="0.14000000000000001"/>
    <n v="129000"/>
    <n v="115000"/>
    <n v="14000"/>
    <x v="3"/>
    <s v="In Transit"/>
  </r>
  <r>
    <s v="ORD0233"/>
    <s v="CUST0233"/>
    <x v="192"/>
    <s v="Divya Menon"/>
    <s v="Mumbai"/>
    <s v="Maharashtra"/>
    <x v="0"/>
    <x v="7"/>
    <s v="Electronics"/>
    <s v="Vikram Joshi"/>
    <n v="5"/>
    <n v="65000"/>
    <n v="52000"/>
    <n v="0.03"/>
    <n v="315250"/>
    <n v="260000"/>
    <n v="55250"/>
    <x v="0"/>
    <s v="Delivered"/>
  </r>
  <r>
    <s v="ORD0234"/>
    <s v="CUST0234"/>
    <x v="193"/>
    <s v="Karan Joshi"/>
    <s v="Ahmedabad"/>
    <s v="Gujarat"/>
    <x v="0"/>
    <x v="9"/>
    <s v="Accessories"/>
    <s v="Karan Singh"/>
    <n v="10"/>
    <n v="800"/>
    <n v="450"/>
    <n v="0.05"/>
    <n v="7600"/>
    <n v="4500"/>
    <n v="3100"/>
    <x v="4"/>
    <s v="In Transit"/>
  </r>
  <r>
    <s v="ORD0235"/>
    <s v="CUST0235"/>
    <x v="194"/>
    <s v="Rohit Verma"/>
    <s v="Jaipur"/>
    <s v="Rajasthan"/>
    <x v="2"/>
    <x v="4"/>
    <s v="Wearables"/>
    <s v="Neha Gupta"/>
    <n v="3"/>
    <n v="12000"/>
    <n v="8500"/>
    <n v="0.1"/>
    <n v="32400"/>
    <n v="25500"/>
    <n v="6900"/>
    <x v="2"/>
    <s v="Delivered"/>
  </r>
  <r>
    <s v="ORD0236"/>
    <s v="CUST0236"/>
    <x v="158"/>
    <s v="Aditya Mishra"/>
    <s v="Bengaluru"/>
    <s v="Karnataka"/>
    <x v="1"/>
    <x v="0"/>
    <s v="Office"/>
    <s v="Vikram Joshi"/>
    <n v="8"/>
    <n v="18000"/>
    <n v="14000"/>
    <n v="0.02"/>
    <n v="141120"/>
    <n v="112000"/>
    <n v="29120"/>
    <x v="2"/>
    <s v="Delivered"/>
  </r>
  <r>
    <s v="ORD0237"/>
    <s v="CUST0237"/>
    <x v="195"/>
    <s v="Amit Kumar"/>
    <s v="Mysuru"/>
    <s v="Karnataka"/>
    <x v="1"/>
    <x v="1"/>
    <s v="Accessories"/>
    <s v="Anjali Mehta"/>
    <n v="2"/>
    <n v="1500"/>
    <n v="900"/>
    <n v="0.25"/>
    <n v="2250"/>
    <n v="1800"/>
    <n v="450"/>
    <x v="4"/>
    <s v="Delivered"/>
  </r>
  <r>
    <s v="ORD0238"/>
    <s v="CUST0238"/>
    <x v="116"/>
    <s v="Aditya Mishra"/>
    <s v="Jaipur"/>
    <s v="Rajasthan"/>
    <x v="2"/>
    <x v="9"/>
    <s v="Accessories"/>
    <s v="Pooja Das"/>
    <n v="10"/>
    <n v="800"/>
    <n v="450"/>
    <n v="0.12"/>
    <n v="7040"/>
    <n v="4500"/>
    <n v="2540"/>
    <x v="3"/>
    <s v="In Transit"/>
  </r>
  <r>
    <s v="ORD0239"/>
    <s v="CUST0239"/>
    <x v="62"/>
    <s v="Amit Kumar"/>
    <s v="Bengaluru"/>
    <s v="Karnataka"/>
    <x v="1"/>
    <x v="1"/>
    <s v="Accessories"/>
    <s v="Sneha Patil"/>
    <n v="1"/>
    <n v="1500"/>
    <n v="900"/>
    <n v="0.13"/>
    <n v="1305"/>
    <n v="900"/>
    <n v="405"/>
    <x v="2"/>
    <s v="Returned"/>
  </r>
  <r>
    <s v="ORD0240"/>
    <s v="CUST0240"/>
    <x v="196"/>
    <s v="Nikhil Jain"/>
    <s v="Chennai"/>
    <s v="Tamil Nadu"/>
    <x v="1"/>
    <x v="8"/>
    <s v="Office"/>
    <s v="Pooja Das"/>
    <n v="5"/>
    <n v="15000"/>
    <n v="11500"/>
    <n v="0"/>
    <n v="75000"/>
    <n v="57500"/>
    <n v="17500"/>
    <x v="1"/>
    <s v="In Transit"/>
  </r>
  <r>
    <s v="ORD0241"/>
    <s v="CUST0241"/>
    <x v="197"/>
    <s v="Suresh Iyer"/>
    <s v="Ahmedabad"/>
    <s v="Gujarat"/>
    <x v="0"/>
    <x v="7"/>
    <s v="Electronics"/>
    <s v="Karan Singh"/>
    <n v="6"/>
    <n v="65000"/>
    <n v="52000"/>
    <n v="0.3"/>
    <n v="273000"/>
    <n v="312000"/>
    <n v="-39000"/>
    <x v="0"/>
    <s v="Cancelled"/>
  </r>
  <r>
    <s v="ORD0242"/>
    <s v="CUST0242"/>
    <x v="198"/>
    <s v="Amit Kumar"/>
    <s v="Mysuru"/>
    <s v="Karnataka"/>
    <x v="1"/>
    <x v="9"/>
    <s v="Accessories"/>
    <s v="Karan Singh"/>
    <n v="3"/>
    <n v="800"/>
    <n v="450"/>
    <n v="0.3"/>
    <n v="1680"/>
    <n v="1350"/>
    <n v="330"/>
    <x v="4"/>
    <s v="Returned"/>
  </r>
  <r>
    <s v="ORD0243"/>
    <s v="CUST0243"/>
    <x v="199"/>
    <s v="Anjali Rao"/>
    <s v="Hyderabad"/>
    <s v="Telangana"/>
    <x v="1"/>
    <x v="2"/>
    <s v="Electronics"/>
    <s v="Rahul Verma"/>
    <n v="1"/>
    <n v="35000"/>
    <n v="28000"/>
    <n v="0.24"/>
    <n v="26600"/>
    <n v="28000"/>
    <n v="-1400"/>
    <x v="3"/>
    <s v="Delivered"/>
  </r>
  <r>
    <s v="ORD0244"/>
    <s v="CUST0244"/>
    <x v="179"/>
    <s v="Meera Shah"/>
    <s v="Warangal"/>
    <s v="Telangana"/>
    <x v="1"/>
    <x v="6"/>
    <s v="Accessories"/>
    <s v="Arjun Rao"/>
    <n v="4"/>
    <n v="3000"/>
    <n v="1800"/>
    <n v="0.13"/>
    <n v="10440"/>
    <n v="7200"/>
    <n v="3240"/>
    <x v="2"/>
    <s v="Returned"/>
  </r>
  <r>
    <s v="ORD0245"/>
    <s v="CUST0245"/>
    <x v="200"/>
    <s v="Priya Patel"/>
    <s v="Hyderabad"/>
    <s v="Telangana"/>
    <x v="1"/>
    <x v="6"/>
    <s v="Accessories"/>
    <s v="Sneha Patil"/>
    <n v="6"/>
    <n v="3000"/>
    <n v="1800"/>
    <n v="0.15"/>
    <n v="15300"/>
    <n v="10800"/>
    <n v="4500"/>
    <x v="4"/>
    <s v="In Transit"/>
  </r>
  <r>
    <s v="ORD0246"/>
    <s v="CUST0246"/>
    <x v="201"/>
    <s v="Amit Kumar"/>
    <s v="Pune"/>
    <s v="Maharashtra"/>
    <x v="0"/>
    <x v="5"/>
    <s v="Electronics"/>
    <s v="Karan Singh"/>
    <n v="2"/>
    <n v="5000"/>
    <n v="3200"/>
    <n v="0.16"/>
    <n v="8400"/>
    <n v="6400"/>
    <n v="2000"/>
    <x v="2"/>
    <s v="Returned"/>
  </r>
  <r>
    <s v="ORD0247"/>
    <s v="CUST0247"/>
    <x v="202"/>
    <s v="Aditya Mishra"/>
    <s v="Warangal"/>
    <s v="Telangana"/>
    <x v="1"/>
    <x v="4"/>
    <s v="Wearables"/>
    <s v="Anjali Mehta"/>
    <n v="2"/>
    <n v="12000"/>
    <n v="8500"/>
    <n v="0.23"/>
    <n v="18480"/>
    <n v="17000"/>
    <n v="1480"/>
    <x v="1"/>
    <s v="In Transit"/>
  </r>
  <r>
    <s v="ORD0248"/>
    <s v="CUST0248"/>
    <x v="88"/>
    <s v="Nikhil Jain"/>
    <s v="Kolkata"/>
    <s v="West Bengal"/>
    <x v="3"/>
    <x v="4"/>
    <s v="Wearables"/>
    <s v="Arjun Rao"/>
    <n v="1"/>
    <n v="12000"/>
    <n v="8500"/>
    <n v="0.13"/>
    <n v="10440"/>
    <n v="8500"/>
    <n v="1940"/>
    <x v="2"/>
    <s v="Delivered"/>
  </r>
  <r>
    <s v="ORD0249"/>
    <s v="CUST0249"/>
    <x v="203"/>
    <s v="Arjun Mehta"/>
    <s v="Surat"/>
    <s v="Gujarat"/>
    <x v="0"/>
    <x v="2"/>
    <s v="Electronics"/>
    <s v="Vikram Joshi"/>
    <n v="4"/>
    <n v="35000"/>
    <n v="28000"/>
    <n v="0.05"/>
    <n v="133000"/>
    <n v="112000"/>
    <n v="21000"/>
    <x v="4"/>
    <s v="Delivered"/>
  </r>
  <r>
    <s v="ORD0250"/>
    <s v="CUST0250"/>
    <x v="204"/>
    <s v="Sneha Nair"/>
    <s v="Ahmedabad"/>
    <s v="Gujarat"/>
    <x v="0"/>
    <x v="0"/>
    <s v="Office"/>
    <s v="Rahul Verma"/>
    <n v="1"/>
    <n v="18000"/>
    <n v="14000"/>
    <n v="0.01"/>
    <n v="17820"/>
    <n v="14000"/>
    <n v="3820"/>
    <x v="2"/>
    <s v="In Transit"/>
  </r>
  <r>
    <s v="ORD0251"/>
    <s v="CUST0251"/>
    <x v="205"/>
    <s v="Kavya Reddy"/>
    <s v="Kolkata"/>
    <s v="West Bengal"/>
    <x v="3"/>
    <x v="9"/>
    <s v="Accessories"/>
    <s v="Sneha Patil"/>
    <n v="6"/>
    <n v="800"/>
    <n v="450"/>
    <n v="0.25"/>
    <n v="3600"/>
    <n v="2700"/>
    <n v="900"/>
    <x v="3"/>
    <s v="Returned"/>
  </r>
  <r>
    <s v="ORD0252"/>
    <s v="CUST0252"/>
    <x v="31"/>
    <s v="Divya Menon"/>
    <s v="Bengaluru"/>
    <s v="Karnataka"/>
    <x v="1"/>
    <x v="4"/>
    <s v="Wearables"/>
    <s v="Amit Sharma"/>
    <n v="1"/>
    <n v="12000"/>
    <n v="8500"/>
    <n v="0.28999999999999998"/>
    <n v="8520"/>
    <n v="8500"/>
    <n v="20"/>
    <x v="4"/>
    <s v="In Transit"/>
  </r>
  <r>
    <s v="ORD0253"/>
    <s v="CUST0253"/>
    <x v="206"/>
    <s v="Karan Joshi"/>
    <s v="New Delhi"/>
    <s v="Delhi"/>
    <x v="2"/>
    <x v="8"/>
    <s v="Office"/>
    <s v="Sneha Patil"/>
    <n v="9"/>
    <n v="15000"/>
    <n v="11500"/>
    <n v="0.04"/>
    <n v="129600"/>
    <n v="103500"/>
    <n v="26100"/>
    <x v="0"/>
    <s v="Delivered"/>
  </r>
  <r>
    <s v="ORD0254"/>
    <s v="CUST0254"/>
    <x v="207"/>
    <s v="Karan Joshi"/>
    <s v="Pune"/>
    <s v="Maharashtra"/>
    <x v="0"/>
    <x v="3"/>
    <s v="Electronics"/>
    <s v="Arjun Rao"/>
    <n v="8"/>
    <n v="25000"/>
    <n v="20000"/>
    <n v="0.18"/>
    <n v="164000"/>
    <n v="160000"/>
    <n v="4000"/>
    <x v="0"/>
    <s v="Returned"/>
  </r>
  <r>
    <s v="ORD0255"/>
    <s v="CUST0255"/>
    <x v="208"/>
    <s v="Anjali Rao"/>
    <s v="Surat"/>
    <s v="Gujarat"/>
    <x v="0"/>
    <x v="9"/>
    <s v="Accessories"/>
    <s v="Priya Nair"/>
    <n v="5"/>
    <n v="800"/>
    <n v="450"/>
    <n v="0.26"/>
    <n v="2960"/>
    <n v="2250"/>
    <n v="710"/>
    <x v="2"/>
    <s v="Delivered"/>
  </r>
  <r>
    <s v="ORD0256"/>
    <s v="CUST0256"/>
    <x v="209"/>
    <s v="Priya Patel"/>
    <s v="Mysuru"/>
    <s v="Karnataka"/>
    <x v="1"/>
    <x v="7"/>
    <s v="Electronics"/>
    <s v="Priya Nair"/>
    <n v="9"/>
    <n v="65000"/>
    <n v="52000"/>
    <n v="0.12"/>
    <n v="514800"/>
    <n v="468000"/>
    <n v="46800"/>
    <x v="2"/>
    <s v="Returned"/>
  </r>
  <r>
    <s v="ORD0257"/>
    <s v="CUST0257"/>
    <x v="11"/>
    <s v="Kavya Reddy"/>
    <s v="Chennai"/>
    <s v="Tamil Nadu"/>
    <x v="1"/>
    <x v="2"/>
    <s v="Electronics"/>
    <s v="Karan Singh"/>
    <n v="4"/>
    <n v="35000"/>
    <n v="28000"/>
    <n v="7.0000000000000007E-2"/>
    <n v="130199.99999999999"/>
    <n v="112000"/>
    <n v="18199.999999999985"/>
    <x v="1"/>
    <s v="Returned"/>
  </r>
  <r>
    <s v="ORD0258"/>
    <s v="CUST0258"/>
    <x v="210"/>
    <s v="Amit Kumar"/>
    <s v="Pune"/>
    <s v="Maharashtra"/>
    <x v="0"/>
    <x v="0"/>
    <s v="Office"/>
    <s v="Sneha Patil"/>
    <n v="1"/>
    <n v="18000"/>
    <n v="14000"/>
    <n v="0.02"/>
    <n v="17640"/>
    <n v="14000"/>
    <n v="3640"/>
    <x v="1"/>
    <s v="Returned"/>
  </r>
  <r>
    <s v="ORD0259"/>
    <s v="CUST0259"/>
    <x v="18"/>
    <s v="Nikhil Jain"/>
    <s v="Hyderabad"/>
    <s v="Telangana"/>
    <x v="1"/>
    <x v="4"/>
    <s v="Wearables"/>
    <s v="Vikram Joshi"/>
    <n v="3"/>
    <n v="12000"/>
    <n v="8500"/>
    <n v="0.06"/>
    <n v="33840"/>
    <n v="25500"/>
    <n v="8340"/>
    <x v="3"/>
    <s v="In Transit"/>
  </r>
  <r>
    <s v="ORD0260"/>
    <s v="CUST0260"/>
    <x v="211"/>
    <s v="Deepika Roy"/>
    <s v="New Delhi"/>
    <s v="Delhi"/>
    <x v="2"/>
    <x v="4"/>
    <s v="Wearables"/>
    <s v="Rahul Verma"/>
    <n v="7"/>
    <n v="12000"/>
    <n v="8500"/>
    <n v="0.13"/>
    <n v="73080"/>
    <n v="59500"/>
    <n v="13580"/>
    <x v="4"/>
    <s v="Cancelled"/>
  </r>
  <r>
    <s v="ORD0261"/>
    <s v="CUST0261"/>
    <x v="34"/>
    <s v="Deepika Roy"/>
    <s v="Pune"/>
    <s v="Maharashtra"/>
    <x v="0"/>
    <x v="1"/>
    <s v="Accessories"/>
    <s v="Arjun Rao"/>
    <n v="3"/>
    <n v="1500"/>
    <n v="900"/>
    <n v="0.05"/>
    <n v="4275"/>
    <n v="2700"/>
    <n v="1575"/>
    <x v="0"/>
    <s v="Delivered"/>
  </r>
  <r>
    <s v="ORD0262"/>
    <s v="CUST0262"/>
    <x v="212"/>
    <s v="Sneha Nair"/>
    <s v="Mumbai"/>
    <s v="Maharashtra"/>
    <x v="0"/>
    <x v="9"/>
    <s v="Accessories"/>
    <s v="Vikram Joshi"/>
    <n v="4"/>
    <n v="800"/>
    <n v="450"/>
    <n v="0.23"/>
    <n v="2464"/>
    <n v="1800"/>
    <n v="664"/>
    <x v="3"/>
    <s v="In Transit"/>
  </r>
  <r>
    <s v="ORD0263"/>
    <s v="CUST0263"/>
    <x v="194"/>
    <s v="Rohan Kulkarni"/>
    <s v="Jaipur"/>
    <s v="Rajasthan"/>
    <x v="2"/>
    <x v="1"/>
    <s v="Accessories"/>
    <s v="Karan Singh"/>
    <n v="6"/>
    <n v="1500"/>
    <n v="900"/>
    <n v="0.05"/>
    <n v="8550"/>
    <n v="5400"/>
    <n v="3150"/>
    <x v="2"/>
    <s v="Cancelled"/>
  </r>
  <r>
    <s v="ORD0264"/>
    <s v="CUST0264"/>
    <x v="213"/>
    <s v="Amit Kumar"/>
    <s v="Surat"/>
    <s v="Gujarat"/>
    <x v="0"/>
    <x v="6"/>
    <s v="Accessories"/>
    <s v="Rahul Verma"/>
    <n v="7"/>
    <n v="3000"/>
    <n v="1800"/>
    <n v="0.24"/>
    <n v="15960"/>
    <n v="12600"/>
    <n v="3360"/>
    <x v="1"/>
    <s v="Returned"/>
  </r>
  <r>
    <s v="ORD0265"/>
    <s v="CUST0265"/>
    <x v="214"/>
    <s v="Anjali Rao"/>
    <s v="Ahmedabad"/>
    <s v="Gujarat"/>
    <x v="0"/>
    <x v="6"/>
    <s v="Accessories"/>
    <s v="Karan Singh"/>
    <n v="10"/>
    <n v="3000"/>
    <n v="1800"/>
    <n v="0.22"/>
    <n v="23400"/>
    <n v="18000"/>
    <n v="5400"/>
    <x v="0"/>
    <s v="Returned"/>
  </r>
  <r>
    <s v="ORD0266"/>
    <s v="CUST0266"/>
    <x v="81"/>
    <s v="Neha Gupta"/>
    <s v="Warangal"/>
    <s v="Telangana"/>
    <x v="1"/>
    <x v="6"/>
    <s v="Accessories"/>
    <s v="Neha Gupta"/>
    <n v="6"/>
    <n v="3000"/>
    <n v="1800"/>
    <n v="0.2"/>
    <n v="14400"/>
    <n v="10800"/>
    <n v="3600"/>
    <x v="0"/>
    <s v="Returned"/>
  </r>
  <r>
    <s v="ORD0267"/>
    <s v="CUST0267"/>
    <x v="79"/>
    <s v="Vikram Singh"/>
    <s v="Kolkata"/>
    <s v="West Bengal"/>
    <x v="3"/>
    <x v="1"/>
    <s v="Accessories"/>
    <s v="Priya Nair"/>
    <n v="1"/>
    <n v="1500"/>
    <n v="900"/>
    <n v="0.03"/>
    <n v="1455"/>
    <n v="900"/>
    <n v="555"/>
    <x v="0"/>
    <s v="Delivered"/>
  </r>
  <r>
    <s v="ORD0268"/>
    <s v="CUST0268"/>
    <x v="215"/>
    <s v="Meera Shah"/>
    <s v="Pune"/>
    <s v="Maharashtra"/>
    <x v="0"/>
    <x v="8"/>
    <s v="Office"/>
    <s v="Pooja Das"/>
    <n v="4"/>
    <n v="15000"/>
    <n v="11500"/>
    <n v="0.21"/>
    <n v="47400"/>
    <n v="46000"/>
    <n v="1400"/>
    <x v="0"/>
    <s v="Cancelled"/>
  </r>
  <r>
    <s v="ORD0269"/>
    <s v="CUST0269"/>
    <x v="216"/>
    <s v="Anjali Rao"/>
    <s v="Coimbatore"/>
    <s v="Tamil Nadu"/>
    <x v="1"/>
    <x v="6"/>
    <s v="Accessories"/>
    <s v="Vikram Joshi"/>
    <n v="9"/>
    <n v="3000"/>
    <n v="1800"/>
    <n v="0.09"/>
    <n v="24570"/>
    <n v="16200"/>
    <n v="8370"/>
    <x v="1"/>
    <s v="In Transit"/>
  </r>
  <r>
    <s v="ORD0270"/>
    <s v="CUST0270"/>
    <x v="217"/>
    <s v="Pooja Das"/>
    <s v="Kolkata"/>
    <s v="West Bengal"/>
    <x v="3"/>
    <x v="2"/>
    <s v="Electronics"/>
    <s v="Karan Singh"/>
    <n v="4"/>
    <n v="35000"/>
    <n v="28000"/>
    <n v="7.0000000000000007E-2"/>
    <n v="130199.99999999999"/>
    <n v="112000"/>
    <n v="18199.999999999985"/>
    <x v="1"/>
    <s v="Returned"/>
  </r>
  <r>
    <s v="ORD0271"/>
    <s v="CUST0271"/>
    <x v="218"/>
    <s v="Kavya Reddy"/>
    <s v="Ahmedabad"/>
    <s v="Gujarat"/>
    <x v="0"/>
    <x v="6"/>
    <s v="Accessories"/>
    <s v="Karan Singh"/>
    <n v="8"/>
    <n v="3000"/>
    <n v="1800"/>
    <n v="0.2"/>
    <n v="19200"/>
    <n v="14400"/>
    <n v="4800"/>
    <x v="1"/>
    <s v="Delivered"/>
  </r>
  <r>
    <s v="ORD0272"/>
    <s v="CUST0272"/>
    <x v="219"/>
    <s v="Nikhil Jain"/>
    <s v="Surat"/>
    <s v="Gujarat"/>
    <x v="0"/>
    <x v="2"/>
    <s v="Electronics"/>
    <s v="Amit Sharma"/>
    <n v="2"/>
    <n v="35000"/>
    <n v="28000"/>
    <n v="0.04"/>
    <n v="67200"/>
    <n v="56000"/>
    <n v="11200"/>
    <x v="4"/>
    <s v="Returned"/>
  </r>
  <r>
    <s v="ORD0273"/>
    <s v="CUST0273"/>
    <x v="220"/>
    <s v="Sneha Nair"/>
    <s v="New Delhi"/>
    <s v="Delhi"/>
    <x v="2"/>
    <x v="8"/>
    <s v="Office"/>
    <s v="Pooja Das"/>
    <n v="3"/>
    <n v="15000"/>
    <n v="11500"/>
    <n v="0.02"/>
    <n v="44100"/>
    <n v="34500"/>
    <n v="9600"/>
    <x v="3"/>
    <s v="Cancelled"/>
  </r>
  <r>
    <s v="ORD0274"/>
    <s v="CUST0274"/>
    <x v="136"/>
    <s v="Divya Menon"/>
    <s v="Warangal"/>
    <s v="Telangana"/>
    <x v="1"/>
    <x v="9"/>
    <s v="Accessories"/>
    <s v="Anjali Mehta"/>
    <n v="3"/>
    <n v="800"/>
    <n v="450"/>
    <n v="0.2"/>
    <n v="1920"/>
    <n v="1350"/>
    <n v="570"/>
    <x v="3"/>
    <s v="In Transit"/>
  </r>
  <r>
    <s v="ORD0275"/>
    <s v="CUST0275"/>
    <x v="221"/>
    <s v="Amit Kumar"/>
    <s v="Bengaluru"/>
    <s v="Karnataka"/>
    <x v="1"/>
    <x v="9"/>
    <s v="Accessories"/>
    <s v="Rahul Verma"/>
    <n v="2"/>
    <n v="800"/>
    <n v="450"/>
    <n v="0.15"/>
    <n v="1360"/>
    <n v="900"/>
    <n v="460"/>
    <x v="3"/>
    <s v="Cancelled"/>
  </r>
  <r>
    <s v="ORD0276"/>
    <s v="CUST0276"/>
    <x v="74"/>
    <s v="Divya Menon"/>
    <s v="Mumbai"/>
    <s v="Maharashtra"/>
    <x v="0"/>
    <x v="2"/>
    <s v="Electronics"/>
    <s v="Sneha Patil"/>
    <n v="6"/>
    <n v="35000"/>
    <n v="28000"/>
    <n v="0.02"/>
    <n v="205800"/>
    <n v="168000"/>
    <n v="37800"/>
    <x v="1"/>
    <s v="In Transit"/>
  </r>
  <r>
    <s v="ORD0277"/>
    <s v="CUST0277"/>
    <x v="222"/>
    <s v="Karan Joshi"/>
    <s v="Warangal"/>
    <s v="Telangana"/>
    <x v="1"/>
    <x v="6"/>
    <s v="Accessories"/>
    <s v="Arjun Rao"/>
    <n v="2"/>
    <n v="3000"/>
    <n v="1800"/>
    <n v="0.1"/>
    <n v="5400"/>
    <n v="3600"/>
    <n v="1800"/>
    <x v="4"/>
    <s v="Cancelled"/>
  </r>
  <r>
    <s v="ORD0278"/>
    <s v="CUST0278"/>
    <x v="223"/>
    <s v="Pooja Das"/>
    <s v="New Delhi"/>
    <s v="Delhi"/>
    <x v="2"/>
    <x v="5"/>
    <s v="Electronics"/>
    <s v="Amit Sharma"/>
    <n v="6"/>
    <n v="5000"/>
    <n v="3200"/>
    <n v="0.19"/>
    <n v="24300"/>
    <n v="19200"/>
    <n v="5100"/>
    <x v="0"/>
    <s v="Cancelled"/>
  </r>
  <r>
    <s v="ORD0279"/>
    <s v="CUST0279"/>
    <x v="125"/>
    <s v="Pooja Das"/>
    <s v="Pune"/>
    <s v="Maharashtra"/>
    <x v="0"/>
    <x v="5"/>
    <s v="Electronics"/>
    <s v="Rahul Verma"/>
    <n v="7"/>
    <n v="5000"/>
    <n v="3200"/>
    <n v="0.01"/>
    <n v="34650"/>
    <n v="22400"/>
    <n v="12250"/>
    <x v="3"/>
    <s v="In Transit"/>
  </r>
  <r>
    <s v="ORD0280"/>
    <s v="CUST0280"/>
    <x v="224"/>
    <s v="Meera Shah"/>
    <s v="Kolkata"/>
    <s v="West Bengal"/>
    <x v="3"/>
    <x v="2"/>
    <s v="Electronics"/>
    <s v="Karan Singh"/>
    <n v="10"/>
    <n v="35000"/>
    <n v="28000"/>
    <n v="0.02"/>
    <n v="343000"/>
    <n v="280000"/>
    <n v="63000"/>
    <x v="4"/>
    <s v="Delivered"/>
  </r>
  <r>
    <s v="ORD0281"/>
    <s v="CUST0281"/>
    <x v="225"/>
    <s v="Suresh Iyer"/>
    <s v="Coimbatore"/>
    <s v="Tamil Nadu"/>
    <x v="1"/>
    <x v="8"/>
    <s v="Office"/>
    <s v="Arjun Rao"/>
    <n v="5"/>
    <n v="15000"/>
    <n v="11500"/>
    <n v="0.09"/>
    <n v="68250"/>
    <n v="57500"/>
    <n v="10750"/>
    <x v="3"/>
    <s v="In Transit"/>
  </r>
  <r>
    <s v="ORD0282"/>
    <s v="CUST0282"/>
    <x v="226"/>
    <s v="Suresh Iyer"/>
    <s v="New Delhi"/>
    <s v="Delhi"/>
    <x v="2"/>
    <x v="0"/>
    <s v="Office"/>
    <s v="Vikram Joshi"/>
    <n v="9"/>
    <n v="18000"/>
    <n v="14000"/>
    <n v="7.0000000000000007E-2"/>
    <n v="150660"/>
    <n v="126000"/>
    <n v="24660"/>
    <x v="3"/>
    <s v="In Transit"/>
  </r>
  <r>
    <s v="ORD0283"/>
    <s v="CUST0283"/>
    <x v="227"/>
    <s v="Priya Patel"/>
    <s v="Mysuru"/>
    <s v="Karnataka"/>
    <x v="1"/>
    <x v="4"/>
    <s v="Wearables"/>
    <s v="Pooja Das"/>
    <n v="7"/>
    <n v="12000"/>
    <n v="8500"/>
    <n v="0.1"/>
    <n v="75600"/>
    <n v="59500"/>
    <n v="16100"/>
    <x v="0"/>
    <s v="Cancelled"/>
  </r>
  <r>
    <s v="ORD0284"/>
    <s v="CUST0284"/>
    <x v="17"/>
    <s v="Divya Menon"/>
    <s v="Chennai"/>
    <s v="Tamil Nadu"/>
    <x v="1"/>
    <x v="5"/>
    <s v="Electronics"/>
    <s v="Sneha Patil"/>
    <n v="10"/>
    <n v="5000"/>
    <n v="3200"/>
    <n v="0.24"/>
    <n v="38000"/>
    <n v="32000"/>
    <n v="6000"/>
    <x v="3"/>
    <s v="Returned"/>
  </r>
  <r>
    <s v="ORD0285"/>
    <s v="CUST0285"/>
    <x v="228"/>
    <s v="Neha Gupta"/>
    <s v="Surat"/>
    <s v="Gujarat"/>
    <x v="0"/>
    <x v="4"/>
    <s v="Wearables"/>
    <s v="Neha Gupta"/>
    <n v="10"/>
    <n v="12000"/>
    <n v="8500"/>
    <n v="0.15"/>
    <n v="102000"/>
    <n v="85000"/>
    <n v="17000"/>
    <x v="3"/>
    <s v="In Transit"/>
  </r>
  <r>
    <s v="ORD0286"/>
    <s v="CUST0286"/>
    <x v="139"/>
    <s v="Pooja Das"/>
    <s v="Chennai"/>
    <s v="Tamil Nadu"/>
    <x v="1"/>
    <x v="7"/>
    <s v="Electronics"/>
    <s v="Rahul Verma"/>
    <n v="2"/>
    <n v="65000"/>
    <n v="52000"/>
    <n v="0.21"/>
    <n v="102700"/>
    <n v="104000"/>
    <n v="-1300"/>
    <x v="4"/>
    <s v="Cancelled"/>
  </r>
  <r>
    <s v="ORD0287"/>
    <s v="CUST0287"/>
    <x v="229"/>
    <s v="Suresh Iyer"/>
    <s v="Hyderabad"/>
    <s v="Telangana"/>
    <x v="1"/>
    <x v="7"/>
    <s v="Electronics"/>
    <s v="Vikram Joshi"/>
    <n v="4"/>
    <n v="65000"/>
    <n v="52000"/>
    <n v="0.3"/>
    <n v="182000"/>
    <n v="208000"/>
    <n v="-26000"/>
    <x v="3"/>
    <s v="Delivered"/>
  </r>
  <r>
    <s v="ORD0288"/>
    <s v="CUST0288"/>
    <x v="230"/>
    <s v="Rohit Verma"/>
    <s v="Mumbai"/>
    <s v="Maharashtra"/>
    <x v="0"/>
    <x v="4"/>
    <s v="Wearables"/>
    <s v="Amit Sharma"/>
    <n v="5"/>
    <n v="12000"/>
    <n v="8500"/>
    <n v="0.24"/>
    <n v="45600"/>
    <n v="42500"/>
    <n v="3100"/>
    <x v="0"/>
    <s v="Cancelled"/>
  </r>
  <r>
    <s v="ORD0289"/>
    <s v="CUST0289"/>
    <x v="7"/>
    <s v="Rahul Sharma"/>
    <s v="Surat"/>
    <s v="Gujarat"/>
    <x v="0"/>
    <x v="9"/>
    <s v="Accessories"/>
    <s v="Rahul Verma"/>
    <n v="1"/>
    <n v="800"/>
    <n v="450"/>
    <n v="0.28999999999999998"/>
    <n v="568"/>
    <n v="450"/>
    <n v="118"/>
    <x v="1"/>
    <s v="Cancelled"/>
  </r>
  <r>
    <s v="ORD0290"/>
    <s v="CUST0290"/>
    <x v="231"/>
    <s v="Divya Menon"/>
    <s v="Coimbatore"/>
    <s v="Tamil Nadu"/>
    <x v="1"/>
    <x v="5"/>
    <s v="Electronics"/>
    <s v="Arjun Rao"/>
    <n v="10"/>
    <n v="5000"/>
    <n v="3200"/>
    <n v="0.26"/>
    <n v="37000"/>
    <n v="32000"/>
    <n v="5000"/>
    <x v="1"/>
    <s v="In Transit"/>
  </r>
  <r>
    <s v="ORD0291"/>
    <s v="CUST0291"/>
    <x v="232"/>
    <s v="Aisha Khan"/>
    <s v="Surat"/>
    <s v="Gujarat"/>
    <x v="0"/>
    <x v="9"/>
    <s v="Accessories"/>
    <s v="Rahul Verma"/>
    <n v="4"/>
    <n v="800"/>
    <n v="450"/>
    <n v="0.17"/>
    <n v="2656"/>
    <n v="1800"/>
    <n v="856"/>
    <x v="4"/>
    <s v="Delivered"/>
  </r>
  <r>
    <s v="ORD0292"/>
    <s v="CUST0292"/>
    <x v="7"/>
    <s v="Suresh Iyer"/>
    <s v="Pune"/>
    <s v="Maharashtra"/>
    <x v="0"/>
    <x v="1"/>
    <s v="Accessories"/>
    <s v="Arjun Rao"/>
    <n v="9"/>
    <n v="1500"/>
    <n v="900"/>
    <n v="0.22"/>
    <n v="10530"/>
    <n v="8100"/>
    <n v="2430"/>
    <x v="1"/>
    <s v="Delivered"/>
  </r>
  <r>
    <s v="ORD0293"/>
    <s v="CUST0293"/>
    <x v="233"/>
    <s v="Aisha Khan"/>
    <s v="Kolkata"/>
    <s v="West Bengal"/>
    <x v="3"/>
    <x v="3"/>
    <s v="Electronics"/>
    <s v="Anjali Mehta"/>
    <n v="2"/>
    <n v="25000"/>
    <n v="20000"/>
    <n v="0.23"/>
    <n v="38500"/>
    <n v="40000"/>
    <n v="-1500"/>
    <x v="0"/>
    <s v="Delivered"/>
  </r>
  <r>
    <s v="ORD0294"/>
    <s v="CUST0294"/>
    <x v="234"/>
    <s v="Neha Gupta"/>
    <s v="New Delhi"/>
    <s v="Delhi"/>
    <x v="2"/>
    <x v="0"/>
    <s v="Office"/>
    <s v="Pooja Das"/>
    <n v="4"/>
    <n v="18000"/>
    <n v="14000"/>
    <n v="0.1"/>
    <n v="64800"/>
    <n v="56000"/>
    <n v="8800"/>
    <x v="2"/>
    <s v="Delivered"/>
  </r>
  <r>
    <s v="ORD0295"/>
    <s v="CUST0295"/>
    <x v="235"/>
    <s v="Rohit Verma"/>
    <s v="Jaipur"/>
    <s v="Rajasthan"/>
    <x v="2"/>
    <x v="7"/>
    <s v="Electronics"/>
    <s v="Karan Singh"/>
    <n v="8"/>
    <n v="65000"/>
    <n v="52000"/>
    <n v="0.11"/>
    <n v="462800"/>
    <n v="416000"/>
    <n v="46800"/>
    <x v="3"/>
    <s v="In Transit"/>
  </r>
  <r>
    <s v="ORD0296"/>
    <s v="CUST0296"/>
    <x v="236"/>
    <s v="Rahul Sharma"/>
    <s v="New Delhi"/>
    <s v="Delhi"/>
    <x v="2"/>
    <x v="7"/>
    <s v="Electronics"/>
    <s v="Vikram Joshi"/>
    <n v="6"/>
    <n v="65000"/>
    <n v="52000"/>
    <n v="0.15"/>
    <n v="331500"/>
    <n v="312000"/>
    <n v="19500"/>
    <x v="2"/>
    <s v="Cancelled"/>
  </r>
  <r>
    <s v="ORD0297"/>
    <s v="CUST0297"/>
    <x v="237"/>
    <s v="Suresh Iyer"/>
    <s v="Bengaluru"/>
    <s v="Karnataka"/>
    <x v="1"/>
    <x v="1"/>
    <s v="Accessories"/>
    <s v="Rahul Verma"/>
    <n v="6"/>
    <n v="1500"/>
    <n v="900"/>
    <n v="0.15"/>
    <n v="7650"/>
    <n v="5400"/>
    <n v="2250"/>
    <x v="0"/>
    <s v="Returned"/>
  </r>
  <r>
    <s v="ORD0298"/>
    <s v="CUST0298"/>
    <x v="238"/>
    <s v="Karan Joshi"/>
    <s v="Kolkata"/>
    <s v="West Bengal"/>
    <x v="3"/>
    <x v="1"/>
    <s v="Accessories"/>
    <s v="Priya Nair"/>
    <n v="3"/>
    <n v="1500"/>
    <n v="900"/>
    <n v="0.15"/>
    <n v="3825"/>
    <n v="2700"/>
    <n v="1125"/>
    <x v="4"/>
    <s v="Delivered"/>
  </r>
  <r>
    <s v="ORD0299"/>
    <s v="CUST0299"/>
    <x v="239"/>
    <s v="Arjun Mehta"/>
    <s v="Hyderabad"/>
    <s v="Telangana"/>
    <x v="1"/>
    <x v="6"/>
    <s v="Accessories"/>
    <s v="Karan Singh"/>
    <n v="9"/>
    <n v="3000"/>
    <n v="1800"/>
    <n v="0.3"/>
    <n v="18900"/>
    <n v="16200"/>
    <n v="2700"/>
    <x v="3"/>
    <s v="Cancelled"/>
  </r>
  <r>
    <s v="ORD0300"/>
    <s v="CUST0300"/>
    <x v="2"/>
    <s v="Rohit Verma"/>
    <s v="Jaipur"/>
    <s v="Rajasthan"/>
    <x v="2"/>
    <x v="6"/>
    <s v="Accessories"/>
    <s v="Arjun Rao"/>
    <n v="7"/>
    <n v="3000"/>
    <n v="1800"/>
    <n v="0.22"/>
    <n v="16380"/>
    <n v="12600"/>
    <n v="3780"/>
    <x v="3"/>
    <s v="Delivered"/>
  </r>
  <r>
    <s v="ORD0301"/>
    <s v="CUST0301"/>
    <x v="240"/>
    <s v="Rahul Sharma"/>
    <s v="Pune"/>
    <s v="Maharashtra"/>
    <x v="0"/>
    <x v="9"/>
    <s v="Accessories"/>
    <s v="Neha Gupta"/>
    <n v="3"/>
    <n v="800"/>
    <n v="450"/>
    <n v="0.18"/>
    <n v="1968.0000000000002"/>
    <n v="1350"/>
    <n v="618.00000000000023"/>
    <x v="1"/>
    <s v="Cancelled"/>
  </r>
  <r>
    <s v="ORD0302"/>
    <s v="CUST0302"/>
    <x v="85"/>
    <s v="Aditya Mishra"/>
    <s v="Jaipur"/>
    <s v="Rajasthan"/>
    <x v="2"/>
    <x v="5"/>
    <s v="Electronics"/>
    <s v="Amit Sharma"/>
    <n v="6"/>
    <n v="5000"/>
    <n v="3200"/>
    <n v="0.19"/>
    <n v="24300"/>
    <n v="19200"/>
    <n v="5100"/>
    <x v="0"/>
    <s v="In Transit"/>
  </r>
  <r>
    <s v="ORD0303"/>
    <s v="CUST0303"/>
    <x v="241"/>
    <s v="Aditya Mishra"/>
    <s v="Surat"/>
    <s v="Gujarat"/>
    <x v="0"/>
    <x v="0"/>
    <s v="Office"/>
    <s v="Sneha Patil"/>
    <n v="10"/>
    <n v="18000"/>
    <n v="14000"/>
    <n v="0.12"/>
    <n v="158400"/>
    <n v="140000"/>
    <n v="18400"/>
    <x v="0"/>
    <s v="Delivered"/>
  </r>
  <r>
    <s v="ORD0304"/>
    <s v="CUST0304"/>
    <x v="1"/>
    <s v="Divya Menon"/>
    <s v="Jaipur"/>
    <s v="Rajasthan"/>
    <x v="2"/>
    <x v="9"/>
    <s v="Accessories"/>
    <s v="Anjali Mehta"/>
    <n v="2"/>
    <n v="800"/>
    <n v="450"/>
    <n v="0.28999999999999998"/>
    <n v="1136"/>
    <n v="900"/>
    <n v="236"/>
    <x v="1"/>
    <s v="Delivered"/>
  </r>
  <r>
    <s v="ORD0305"/>
    <s v="CUST0305"/>
    <x v="242"/>
    <s v="Amit Kumar"/>
    <s v="Jaipur"/>
    <s v="Rajasthan"/>
    <x v="2"/>
    <x v="5"/>
    <s v="Electronics"/>
    <s v="Anjali Mehta"/>
    <n v="1"/>
    <n v="5000"/>
    <n v="3200"/>
    <n v="0.06"/>
    <n v="4700"/>
    <n v="3200"/>
    <n v="1500"/>
    <x v="4"/>
    <s v="Returned"/>
  </r>
  <r>
    <s v="ORD0306"/>
    <s v="CUST0306"/>
    <x v="87"/>
    <s v="Divya Menon"/>
    <s v="Coimbatore"/>
    <s v="Tamil Nadu"/>
    <x v="1"/>
    <x v="9"/>
    <s v="Accessories"/>
    <s v="Neha Gupta"/>
    <n v="9"/>
    <n v="800"/>
    <n v="450"/>
    <n v="0.21"/>
    <n v="5688"/>
    <n v="4050"/>
    <n v="1638"/>
    <x v="2"/>
    <s v="Returned"/>
  </r>
  <r>
    <s v="ORD0307"/>
    <s v="CUST0307"/>
    <x v="116"/>
    <s v="Neha Gupta"/>
    <s v="Mumbai"/>
    <s v="Maharashtra"/>
    <x v="0"/>
    <x v="1"/>
    <s v="Accessories"/>
    <s v="Vikram Joshi"/>
    <n v="2"/>
    <n v="1500"/>
    <n v="900"/>
    <n v="0.02"/>
    <n v="2940"/>
    <n v="1800"/>
    <n v="1140"/>
    <x v="3"/>
    <s v="Returned"/>
  </r>
  <r>
    <s v="ORD0308"/>
    <s v="CUST0308"/>
    <x v="243"/>
    <s v="Kavya Reddy"/>
    <s v="Surat"/>
    <s v="Gujarat"/>
    <x v="0"/>
    <x v="9"/>
    <s v="Accessories"/>
    <s v="Pooja Das"/>
    <n v="7"/>
    <n v="800"/>
    <n v="450"/>
    <n v="0.09"/>
    <n v="5096"/>
    <n v="3150"/>
    <n v="1946"/>
    <x v="1"/>
    <s v="In Transit"/>
  </r>
  <r>
    <s v="ORD0309"/>
    <s v="CUST0309"/>
    <x v="244"/>
    <s v="Sneha Nair"/>
    <s v="Mumbai"/>
    <s v="Maharashtra"/>
    <x v="0"/>
    <x v="5"/>
    <s v="Electronics"/>
    <s v="Vikram Joshi"/>
    <n v="1"/>
    <n v="5000"/>
    <n v="3200"/>
    <n v="0.25"/>
    <n v="3750"/>
    <n v="3200"/>
    <n v="550"/>
    <x v="1"/>
    <s v="Delivered"/>
  </r>
  <r>
    <s v="ORD0310"/>
    <s v="CUST0310"/>
    <x v="81"/>
    <s v="Pooja Das"/>
    <s v="Coimbatore"/>
    <s v="Tamil Nadu"/>
    <x v="1"/>
    <x v="6"/>
    <s v="Accessories"/>
    <s v="Neha Gupta"/>
    <n v="7"/>
    <n v="3000"/>
    <n v="1800"/>
    <n v="0.15"/>
    <n v="17850"/>
    <n v="12600"/>
    <n v="5250"/>
    <x v="0"/>
    <s v="Delivered"/>
  </r>
  <r>
    <s v="ORD0311"/>
    <s v="CUST0311"/>
    <x v="126"/>
    <s v="Rohit Verma"/>
    <s v="Warangal"/>
    <s v="Telangana"/>
    <x v="1"/>
    <x v="2"/>
    <s v="Electronics"/>
    <s v="Priya Nair"/>
    <n v="3"/>
    <n v="35000"/>
    <n v="28000"/>
    <n v="0.02"/>
    <n v="102900"/>
    <n v="84000"/>
    <n v="18900"/>
    <x v="1"/>
    <s v="Returned"/>
  </r>
  <r>
    <s v="ORD0312"/>
    <s v="CUST0312"/>
    <x v="245"/>
    <s v="Kavya Reddy"/>
    <s v="Surat"/>
    <s v="Gujarat"/>
    <x v="0"/>
    <x v="2"/>
    <s v="Electronics"/>
    <s v="Pooja Das"/>
    <n v="6"/>
    <n v="35000"/>
    <n v="28000"/>
    <n v="0.15"/>
    <n v="178500"/>
    <n v="168000"/>
    <n v="10500"/>
    <x v="4"/>
    <s v="In Transit"/>
  </r>
  <r>
    <s v="ORD0313"/>
    <s v="CUST0313"/>
    <x v="246"/>
    <s v="Suresh Iyer"/>
    <s v="Bengaluru"/>
    <s v="Karnataka"/>
    <x v="1"/>
    <x v="6"/>
    <s v="Accessories"/>
    <s v="Karan Singh"/>
    <n v="9"/>
    <n v="3000"/>
    <n v="1800"/>
    <n v="0.3"/>
    <n v="18900"/>
    <n v="16200"/>
    <n v="2700"/>
    <x v="1"/>
    <s v="Returned"/>
  </r>
  <r>
    <s v="ORD0314"/>
    <s v="CUST0314"/>
    <x v="68"/>
    <s v="Arjun Mehta"/>
    <s v="Hyderabad"/>
    <s v="Telangana"/>
    <x v="1"/>
    <x v="8"/>
    <s v="Office"/>
    <s v="Rahul Verma"/>
    <n v="6"/>
    <n v="15000"/>
    <n v="11500"/>
    <n v="0.23"/>
    <n v="69300"/>
    <n v="69000"/>
    <n v="300"/>
    <x v="4"/>
    <s v="Delivered"/>
  </r>
  <r>
    <s v="ORD0315"/>
    <s v="CUST0315"/>
    <x v="171"/>
    <s v="Aditya Mishra"/>
    <s v="Mumbai"/>
    <s v="Maharashtra"/>
    <x v="0"/>
    <x v="3"/>
    <s v="Electronics"/>
    <s v="Rahul Verma"/>
    <n v="3"/>
    <n v="25000"/>
    <n v="20000"/>
    <n v="0.05"/>
    <n v="71250"/>
    <n v="60000"/>
    <n v="11250"/>
    <x v="1"/>
    <s v="Cancelled"/>
  </r>
  <r>
    <s v="ORD0316"/>
    <s v="CUST0316"/>
    <x v="247"/>
    <s v="Vikram Singh"/>
    <s v="Bengaluru"/>
    <s v="Karnataka"/>
    <x v="1"/>
    <x v="1"/>
    <s v="Accessories"/>
    <s v="Arjun Rao"/>
    <n v="4"/>
    <n v="1500"/>
    <n v="900"/>
    <n v="0.13"/>
    <n v="5220"/>
    <n v="3600"/>
    <n v="1620"/>
    <x v="2"/>
    <s v="In Transit"/>
  </r>
  <r>
    <s v="ORD0317"/>
    <s v="CUST0317"/>
    <x v="248"/>
    <s v="Kavya Reddy"/>
    <s v="Ahmedabad"/>
    <s v="Gujarat"/>
    <x v="0"/>
    <x v="0"/>
    <s v="Office"/>
    <s v="Rahul Verma"/>
    <n v="8"/>
    <n v="18000"/>
    <n v="14000"/>
    <n v="0.09"/>
    <n v="131040"/>
    <n v="112000"/>
    <n v="19040"/>
    <x v="1"/>
    <s v="In Transit"/>
  </r>
  <r>
    <s v="ORD0318"/>
    <s v="CUST0318"/>
    <x v="249"/>
    <s v="Rohan Kulkarni"/>
    <s v="Ahmedabad"/>
    <s v="Gujarat"/>
    <x v="0"/>
    <x v="8"/>
    <s v="Office"/>
    <s v="Rahul Verma"/>
    <n v="9"/>
    <n v="15000"/>
    <n v="11500"/>
    <n v="0.1"/>
    <n v="121500"/>
    <n v="103500"/>
    <n v="18000"/>
    <x v="3"/>
    <s v="Delivered"/>
  </r>
  <r>
    <s v="ORD0319"/>
    <s v="CUST0319"/>
    <x v="250"/>
    <s v="Vikram Singh"/>
    <s v="Kolkata"/>
    <s v="West Bengal"/>
    <x v="3"/>
    <x v="6"/>
    <s v="Accessories"/>
    <s v="Arjun Rao"/>
    <n v="2"/>
    <n v="3000"/>
    <n v="1800"/>
    <n v="0.04"/>
    <n v="5760"/>
    <n v="3600"/>
    <n v="2160"/>
    <x v="0"/>
    <s v="Cancelled"/>
  </r>
  <r>
    <s v="ORD0320"/>
    <s v="CUST0320"/>
    <x v="251"/>
    <s v="Pooja Das"/>
    <s v="Pune"/>
    <s v="Maharashtra"/>
    <x v="0"/>
    <x v="1"/>
    <s v="Accessories"/>
    <s v="Neha Gupta"/>
    <n v="4"/>
    <n v="1500"/>
    <n v="900"/>
    <n v="0.12"/>
    <n v="5280"/>
    <n v="3600"/>
    <n v="1680"/>
    <x v="3"/>
    <s v="In Transit"/>
  </r>
  <r>
    <s v="ORD0321"/>
    <s v="CUST0321"/>
    <x v="252"/>
    <s v="Divya Menon"/>
    <s v="Coimbatore"/>
    <s v="Tamil Nadu"/>
    <x v="1"/>
    <x v="4"/>
    <s v="Wearables"/>
    <s v="Priya Nair"/>
    <n v="9"/>
    <n v="12000"/>
    <n v="8500"/>
    <n v="0.19"/>
    <n v="87480"/>
    <n v="76500"/>
    <n v="10980"/>
    <x v="4"/>
    <s v="In Transit"/>
  </r>
  <r>
    <s v="ORD0322"/>
    <s v="CUST0322"/>
    <x v="253"/>
    <s v="Aisha Khan"/>
    <s v="Surat"/>
    <s v="Gujarat"/>
    <x v="0"/>
    <x v="6"/>
    <s v="Accessories"/>
    <s v="Sneha Patil"/>
    <n v="9"/>
    <n v="3000"/>
    <n v="1800"/>
    <n v="0.25"/>
    <n v="20250"/>
    <n v="16200"/>
    <n v="4050"/>
    <x v="0"/>
    <s v="Cancelled"/>
  </r>
  <r>
    <s v="ORD0323"/>
    <s v="CUST0323"/>
    <x v="198"/>
    <s v="Rahul Sharma"/>
    <s v="Jaipur"/>
    <s v="Rajasthan"/>
    <x v="2"/>
    <x v="4"/>
    <s v="Wearables"/>
    <s v="Arjun Rao"/>
    <n v="8"/>
    <n v="12000"/>
    <n v="8500"/>
    <n v="0.28999999999999998"/>
    <n v="68160"/>
    <n v="68000"/>
    <n v="160"/>
    <x v="2"/>
    <s v="Delivered"/>
  </r>
  <r>
    <s v="ORD0324"/>
    <s v="CUST0324"/>
    <x v="254"/>
    <s v="Sneha Nair"/>
    <s v="Coimbatore"/>
    <s v="Tamil Nadu"/>
    <x v="1"/>
    <x v="1"/>
    <s v="Accessories"/>
    <s v="Vikram Joshi"/>
    <n v="5"/>
    <n v="1500"/>
    <n v="900"/>
    <n v="0.28999999999999998"/>
    <n v="5325"/>
    <n v="4500"/>
    <n v="825"/>
    <x v="2"/>
    <s v="Returned"/>
  </r>
  <r>
    <s v="ORD0325"/>
    <s v="CUST0325"/>
    <x v="255"/>
    <s v="Aisha Khan"/>
    <s v="Coimbatore"/>
    <s v="Tamil Nadu"/>
    <x v="1"/>
    <x v="5"/>
    <s v="Electronics"/>
    <s v="Anjali Mehta"/>
    <n v="1"/>
    <n v="5000"/>
    <n v="3200"/>
    <n v="0.05"/>
    <n v="4750"/>
    <n v="3200"/>
    <n v="1550"/>
    <x v="0"/>
    <s v="Delivered"/>
  </r>
  <r>
    <s v="ORD0326"/>
    <s v="CUST0326"/>
    <x v="137"/>
    <s v="Aisha Khan"/>
    <s v="New Delhi"/>
    <s v="Delhi"/>
    <x v="2"/>
    <x v="7"/>
    <s v="Electronics"/>
    <s v="Vikram Joshi"/>
    <n v="7"/>
    <n v="65000"/>
    <n v="52000"/>
    <n v="0.21"/>
    <n v="359450"/>
    <n v="364000"/>
    <n v="-4550"/>
    <x v="0"/>
    <s v="In Transit"/>
  </r>
  <r>
    <s v="ORD0327"/>
    <s v="CUST0327"/>
    <x v="256"/>
    <s v="Aditya Mishra"/>
    <s v="Kolkata"/>
    <s v="West Bengal"/>
    <x v="3"/>
    <x v="3"/>
    <s v="Electronics"/>
    <s v="Anjali Mehta"/>
    <n v="9"/>
    <n v="25000"/>
    <n v="20000"/>
    <n v="0.09"/>
    <n v="204750"/>
    <n v="180000"/>
    <n v="24750"/>
    <x v="1"/>
    <s v="Delivered"/>
  </r>
  <r>
    <s v="ORD0328"/>
    <s v="CUST0328"/>
    <x v="222"/>
    <s v="Kavya Reddy"/>
    <s v="Warangal"/>
    <s v="Telangana"/>
    <x v="1"/>
    <x v="5"/>
    <s v="Electronics"/>
    <s v="Arjun Rao"/>
    <n v="7"/>
    <n v="5000"/>
    <n v="3200"/>
    <n v="0.12"/>
    <n v="30800"/>
    <n v="22400"/>
    <n v="8400"/>
    <x v="4"/>
    <s v="Cancelled"/>
  </r>
  <r>
    <s v="ORD0329"/>
    <s v="CUST0329"/>
    <x v="257"/>
    <s v="Rohan Kulkarni"/>
    <s v="Jaipur"/>
    <s v="Rajasthan"/>
    <x v="2"/>
    <x v="9"/>
    <s v="Accessories"/>
    <s v="Neha Gupta"/>
    <n v="3"/>
    <n v="800"/>
    <n v="450"/>
    <n v="0.24"/>
    <n v="1824"/>
    <n v="1350"/>
    <n v="474"/>
    <x v="2"/>
    <s v="Delivered"/>
  </r>
  <r>
    <s v="ORD0330"/>
    <s v="CUST0330"/>
    <x v="258"/>
    <s v="Rohan Kulkarni"/>
    <s v="Pune"/>
    <s v="Maharashtra"/>
    <x v="0"/>
    <x v="0"/>
    <s v="Office"/>
    <s v="Pooja Das"/>
    <n v="5"/>
    <n v="18000"/>
    <n v="14000"/>
    <n v="0.27"/>
    <n v="65700"/>
    <n v="70000"/>
    <n v="-4300"/>
    <x v="4"/>
    <s v="Delivered"/>
  </r>
  <r>
    <s v="ORD0331"/>
    <s v="CUST0331"/>
    <x v="259"/>
    <s v="Kavya Reddy"/>
    <s v="Ahmedabad"/>
    <s v="Gujarat"/>
    <x v="0"/>
    <x v="2"/>
    <s v="Electronics"/>
    <s v="Vikram Joshi"/>
    <n v="6"/>
    <n v="35000"/>
    <n v="28000"/>
    <n v="0.23"/>
    <n v="161700"/>
    <n v="168000"/>
    <n v="-6300"/>
    <x v="0"/>
    <s v="Cancelled"/>
  </r>
  <r>
    <s v="ORD0332"/>
    <s v="CUST0332"/>
    <x v="260"/>
    <s v="Anjali Rao"/>
    <s v="Surat"/>
    <s v="Gujarat"/>
    <x v="0"/>
    <x v="3"/>
    <s v="Electronics"/>
    <s v="Sneha Patil"/>
    <n v="6"/>
    <n v="25000"/>
    <n v="20000"/>
    <n v="0.18"/>
    <n v="123000.00000000001"/>
    <n v="120000"/>
    <n v="3000.0000000000146"/>
    <x v="0"/>
    <s v="Returned"/>
  </r>
  <r>
    <s v="ORD0333"/>
    <s v="CUST0333"/>
    <x v="261"/>
    <s v="Suresh Iyer"/>
    <s v="Mumbai"/>
    <s v="Maharashtra"/>
    <x v="0"/>
    <x v="3"/>
    <s v="Electronics"/>
    <s v="Neha Gupta"/>
    <n v="2"/>
    <n v="25000"/>
    <n v="20000"/>
    <n v="0.05"/>
    <n v="47500"/>
    <n v="40000"/>
    <n v="7500"/>
    <x v="0"/>
    <s v="Returned"/>
  </r>
  <r>
    <s v="ORD0334"/>
    <s v="CUST0334"/>
    <x v="262"/>
    <s v="Aisha Khan"/>
    <s v="New Delhi"/>
    <s v="Delhi"/>
    <x v="2"/>
    <x v="6"/>
    <s v="Accessories"/>
    <s v="Rahul Verma"/>
    <n v="8"/>
    <n v="3000"/>
    <n v="1800"/>
    <n v="0.18"/>
    <n v="19680"/>
    <n v="14400"/>
    <n v="5280"/>
    <x v="3"/>
    <s v="Cancelled"/>
  </r>
  <r>
    <s v="ORD0335"/>
    <s v="CUST0335"/>
    <x v="50"/>
    <s v="Sneha Nair"/>
    <s v="Surat"/>
    <s v="Gujarat"/>
    <x v="0"/>
    <x v="8"/>
    <s v="Office"/>
    <s v="Vikram Joshi"/>
    <n v="1"/>
    <n v="15000"/>
    <n v="11500"/>
    <n v="0.03"/>
    <n v="14550"/>
    <n v="11500"/>
    <n v="3050"/>
    <x v="2"/>
    <s v="Delivered"/>
  </r>
  <r>
    <s v="ORD0336"/>
    <s v="CUST0336"/>
    <x v="263"/>
    <s v="Amit Kumar"/>
    <s v="Bengaluru"/>
    <s v="Karnataka"/>
    <x v="1"/>
    <x v="1"/>
    <s v="Accessories"/>
    <s v="Vikram Joshi"/>
    <n v="4"/>
    <n v="1500"/>
    <n v="900"/>
    <n v="0.14000000000000001"/>
    <n v="5160"/>
    <n v="3600"/>
    <n v="1560"/>
    <x v="2"/>
    <s v="Delivered"/>
  </r>
  <r>
    <s v="ORD0337"/>
    <s v="CUST0337"/>
    <x v="264"/>
    <s v="Divya Menon"/>
    <s v="Pune"/>
    <s v="Maharashtra"/>
    <x v="0"/>
    <x v="4"/>
    <s v="Wearables"/>
    <s v="Neha Gupta"/>
    <n v="1"/>
    <n v="12000"/>
    <n v="8500"/>
    <n v="0.18"/>
    <n v="9840"/>
    <n v="8500"/>
    <n v="1340"/>
    <x v="2"/>
    <s v="Returned"/>
  </r>
  <r>
    <s v="ORD0338"/>
    <s v="CUST0338"/>
    <x v="265"/>
    <s v="Deepika Roy"/>
    <s v="Kolkata"/>
    <s v="West Bengal"/>
    <x v="3"/>
    <x v="4"/>
    <s v="Wearables"/>
    <s v="Arjun Rao"/>
    <n v="9"/>
    <n v="12000"/>
    <n v="8500"/>
    <n v="0.03"/>
    <n v="104760"/>
    <n v="76500"/>
    <n v="28260"/>
    <x v="2"/>
    <s v="Delivered"/>
  </r>
  <r>
    <s v="ORD0339"/>
    <s v="CUST0339"/>
    <x v="266"/>
    <s v="Suresh Iyer"/>
    <s v="Surat"/>
    <s v="Gujarat"/>
    <x v="0"/>
    <x v="1"/>
    <s v="Accessories"/>
    <s v="Karan Singh"/>
    <n v="2"/>
    <n v="1500"/>
    <n v="900"/>
    <n v="0.08"/>
    <n v="2760"/>
    <n v="1800"/>
    <n v="960"/>
    <x v="3"/>
    <s v="Delivered"/>
  </r>
  <r>
    <s v="ORD0340"/>
    <s v="CUST0340"/>
    <x v="267"/>
    <s v="Arjun Mehta"/>
    <s v="Jaipur"/>
    <s v="Rajasthan"/>
    <x v="2"/>
    <x v="7"/>
    <s v="Electronics"/>
    <s v="Neha Gupta"/>
    <n v="2"/>
    <n v="65000"/>
    <n v="52000"/>
    <n v="0.25"/>
    <n v="97500"/>
    <n v="104000"/>
    <n v="-6500"/>
    <x v="3"/>
    <s v="Delivered"/>
  </r>
  <r>
    <s v="ORD0341"/>
    <s v="CUST0341"/>
    <x v="22"/>
    <s v="Divya Menon"/>
    <s v="New Delhi"/>
    <s v="Delhi"/>
    <x v="2"/>
    <x v="8"/>
    <s v="Office"/>
    <s v="Karan Singh"/>
    <n v="3"/>
    <n v="15000"/>
    <n v="11500"/>
    <n v="0.25"/>
    <n v="33750"/>
    <n v="34500"/>
    <n v="-750"/>
    <x v="1"/>
    <s v="Returned"/>
  </r>
  <r>
    <s v="ORD0342"/>
    <s v="CUST0342"/>
    <x v="268"/>
    <s v="Pooja Das"/>
    <s v="Coimbatore"/>
    <s v="Tamil Nadu"/>
    <x v="1"/>
    <x v="8"/>
    <s v="Office"/>
    <s v="Neha Gupta"/>
    <n v="3"/>
    <n v="15000"/>
    <n v="11500"/>
    <n v="0.11"/>
    <n v="40050"/>
    <n v="34500"/>
    <n v="5550"/>
    <x v="3"/>
    <s v="In Transit"/>
  </r>
  <r>
    <s v="ORD0343"/>
    <s v="CUST0343"/>
    <x v="6"/>
    <s v="Arjun Mehta"/>
    <s v="Surat"/>
    <s v="Gujarat"/>
    <x v="0"/>
    <x v="2"/>
    <s v="Electronics"/>
    <s v="Arjun Rao"/>
    <n v="7"/>
    <n v="35000"/>
    <n v="28000"/>
    <n v="0.28999999999999998"/>
    <n v="173950"/>
    <n v="196000"/>
    <n v="-22050"/>
    <x v="1"/>
    <s v="Delivered"/>
  </r>
  <r>
    <s v="ORD0344"/>
    <s v="CUST0344"/>
    <x v="269"/>
    <s v="Neha Gupta"/>
    <s v="Surat"/>
    <s v="Gujarat"/>
    <x v="0"/>
    <x v="8"/>
    <s v="Office"/>
    <s v="Amit Sharma"/>
    <n v="6"/>
    <n v="15000"/>
    <n v="11500"/>
    <n v="0.14000000000000001"/>
    <n v="77400"/>
    <n v="69000"/>
    <n v="8400"/>
    <x v="3"/>
    <s v="Delivered"/>
  </r>
  <r>
    <s v="ORD0345"/>
    <s v="CUST0345"/>
    <x v="270"/>
    <s v="Aditya Mishra"/>
    <s v="Ahmedabad"/>
    <s v="Gujarat"/>
    <x v="0"/>
    <x v="1"/>
    <s v="Accessories"/>
    <s v="Arjun Rao"/>
    <n v="4"/>
    <n v="1500"/>
    <n v="900"/>
    <n v="0.12"/>
    <n v="5280"/>
    <n v="3600"/>
    <n v="1680"/>
    <x v="1"/>
    <s v="Returned"/>
  </r>
  <r>
    <s v="ORD0346"/>
    <s v="CUST0346"/>
    <x v="271"/>
    <s v="Aisha Khan"/>
    <s v="Jaipur"/>
    <s v="Rajasthan"/>
    <x v="2"/>
    <x v="7"/>
    <s v="Electronics"/>
    <s v="Karan Singh"/>
    <n v="7"/>
    <n v="65000"/>
    <n v="52000"/>
    <n v="0.24"/>
    <n v="345800"/>
    <n v="364000"/>
    <n v="-18200"/>
    <x v="1"/>
    <s v="Cancelled"/>
  </r>
  <r>
    <s v="ORD0347"/>
    <s v="CUST0347"/>
    <x v="272"/>
    <s v="Sneha Nair"/>
    <s v="Chennai"/>
    <s v="Tamil Nadu"/>
    <x v="1"/>
    <x v="8"/>
    <s v="Office"/>
    <s v="Vikram Joshi"/>
    <n v="9"/>
    <n v="15000"/>
    <n v="11500"/>
    <n v="0.28999999999999998"/>
    <n v="95850"/>
    <n v="103500"/>
    <n v="-7650"/>
    <x v="3"/>
    <s v="Cancelled"/>
  </r>
  <r>
    <s v="ORD0348"/>
    <s v="CUST0348"/>
    <x v="273"/>
    <s v="Nikhil Jain"/>
    <s v="Jaipur"/>
    <s v="Rajasthan"/>
    <x v="2"/>
    <x v="5"/>
    <s v="Electronics"/>
    <s v="Anjali Mehta"/>
    <n v="6"/>
    <n v="5000"/>
    <n v="3200"/>
    <n v="0.19"/>
    <n v="24300"/>
    <n v="19200"/>
    <n v="5100"/>
    <x v="4"/>
    <s v="Delivered"/>
  </r>
  <r>
    <s v="ORD0349"/>
    <s v="CUST0349"/>
    <x v="274"/>
    <s v="Amit Kumar"/>
    <s v="Pune"/>
    <s v="Maharashtra"/>
    <x v="0"/>
    <x v="3"/>
    <s v="Electronics"/>
    <s v="Pooja Das"/>
    <n v="8"/>
    <n v="25000"/>
    <n v="20000"/>
    <n v="7.0000000000000007E-2"/>
    <n v="186000"/>
    <n v="160000"/>
    <n v="26000"/>
    <x v="4"/>
    <s v="Delivered"/>
  </r>
  <r>
    <s v="ORD0350"/>
    <s v="CUST0350"/>
    <x v="275"/>
    <s v="Amit Kumar"/>
    <s v="Warangal"/>
    <s v="Telangana"/>
    <x v="1"/>
    <x v="3"/>
    <s v="Electronics"/>
    <s v="Anjali Mehta"/>
    <n v="1"/>
    <n v="25000"/>
    <n v="20000"/>
    <n v="0.09"/>
    <n v="22750"/>
    <n v="20000"/>
    <n v="2750"/>
    <x v="0"/>
    <s v="Cancelled"/>
  </r>
  <r>
    <s v="ORD0351"/>
    <s v="CUST0351"/>
    <x v="25"/>
    <s v="Aisha Khan"/>
    <s v="Coimbatore"/>
    <s v="Tamil Nadu"/>
    <x v="1"/>
    <x v="9"/>
    <s v="Accessories"/>
    <s v="Karan Singh"/>
    <n v="3"/>
    <n v="800"/>
    <n v="450"/>
    <n v="0.22"/>
    <n v="1872"/>
    <n v="1350"/>
    <n v="522"/>
    <x v="0"/>
    <s v="Cancelled"/>
  </r>
  <r>
    <s v="ORD0352"/>
    <s v="CUST0352"/>
    <x v="276"/>
    <s v="Anjali Rao"/>
    <s v="Warangal"/>
    <s v="Telangana"/>
    <x v="1"/>
    <x v="2"/>
    <s v="Electronics"/>
    <s v="Karan Singh"/>
    <n v="3"/>
    <n v="35000"/>
    <n v="28000"/>
    <n v="0.26"/>
    <n v="77700"/>
    <n v="84000"/>
    <n v="-6300"/>
    <x v="0"/>
    <s v="Cancelled"/>
  </r>
  <r>
    <s v="ORD0353"/>
    <s v="CUST0353"/>
    <x v="277"/>
    <s v="Rahul Sharma"/>
    <s v="Kolkata"/>
    <s v="West Bengal"/>
    <x v="3"/>
    <x v="6"/>
    <s v="Accessories"/>
    <s v="Vikram Joshi"/>
    <n v="7"/>
    <n v="3000"/>
    <n v="1800"/>
    <n v="0.28999999999999998"/>
    <n v="14910"/>
    <n v="12600"/>
    <n v="2310"/>
    <x v="4"/>
    <s v="Cancelled"/>
  </r>
  <r>
    <s v="ORD0354"/>
    <s v="CUST0354"/>
    <x v="278"/>
    <s v="Nikhil Jain"/>
    <s v="Pune"/>
    <s v="Maharashtra"/>
    <x v="0"/>
    <x v="1"/>
    <s v="Accessories"/>
    <s v="Karan Singh"/>
    <n v="4"/>
    <n v="1500"/>
    <n v="900"/>
    <n v="0.1"/>
    <n v="5400"/>
    <n v="3600"/>
    <n v="1800"/>
    <x v="2"/>
    <s v="In Transit"/>
  </r>
  <r>
    <s v="ORD0355"/>
    <s v="CUST0355"/>
    <x v="279"/>
    <s v="Deepika Roy"/>
    <s v="Coimbatore"/>
    <s v="Tamil Nadu"/>
    <x v="1"/>
    <x v="6"/>
    <s v="Accessories"/>
    <s v="Priya Nair"/>
    <n v="9"/>
    <n v="3000"/>
    <n v="1800"/>
    <n v="0"/>
    <n v="27000"/>
    <n v="16200"/>
    <n v="10800"/>
    <x v="0"/>
    <s v="Delivered"/>
  </r>
  <r>
    <s v="ORD0356"/>
    <s v="CUST0356"/>
    <x v="191"/>
    <s v="Vikram Singh"/>
    <s v="Pune"/>
    <s v="Maharashtra"/>
    <x v="0"/>
    <x v="6"/>
    <s v="Accessories"/>
    <s v="Rahul Verma"/>
    <n v="9"/>
    <n v="3000"/>
    <n v="1800"/>
    <n v="0.04"/>
    <n v="25920"/>
    <n v="16200"/>
    <n v="9720"/>
    <x v="3"/>
    <s v="Returned"/>
  </r>
  <r>
    <s v="ORD0357"/>
    <s v="CUST0357"/>
    <x v="280"/>
    <s v="Meera Shah"/>
    <s v="Coimbatore"/>
    <s v="Tamil Nadu"/>
    <x v="1"/>
    <x v="9"/>
    <s v="Accessories"/>
    <s v="Rahul Verma"/>
    <n v="9"/>
    <n v="800"/>
    <n v="450"/>
    <n v="0.01"/>
    <n v="7128"/>
    <n v="4050"/>
    <n v="3078"/>
    <x v="2"/>
    <s v="Cancelled"/>
  </r>
  <r>
    <s v="ORD0358"/>
    <s v="CUST0358"/>
    <x v="70"/>
    <s v="Sneha Nair"/>
    <s v="Kolkata"/>
    <s v="West Bengal"/>
    <x v="3"/>
    <x v="5"/>
    <s v="Electronics"/>
    <s v="Anjali Mehta"/>
    <n v="5"/>
    <n v="5000"/>
    <n v="3200"/>
    <n v="0.27"/>
    <n v="18250"/>
    <n v="16000"/>
    <n v="2250"/>
    <x v="1"/>
    <s v="In Transit"/>
  </r>
  <r>
    <s v="ORD0359"/>
    <s v="CUST0359"/>
    <x v="140"/>
    <s v="Aditya Mishra"/>
    <s v="Mumbai"/>
    <s v="Maharashtra"/>
    <x v="0"/>
    <x v="7"/>
    <s v="Electronics"/>
    <s v="Priya Nair"/>
    <n v="7"/>
    <n v="65000"/>
    <n v="52000"/>
    <n v="0"/>
    <n v="455000"/>
    <n v="364000"/>
    <n v="91000"/>
    <x v="1"/>
    <s v="In Transit"/>
  </r>
  <r>
    <s v="ORD0360"/>
    <s v="CUST0360"/>
    <x v="281"/>
    <s v="Nikhil Jain"/>
    <s v="Ahmedabad"/>
    <s v="Gujarat"/>
    <x v="0"/>
    <x v="5"/>
    <s v="Electronics"/>
    <s v="Priya Nair"/>
    <n v="7"/>
    <n v="5000"/>
    <n v="3200"/>
    <n v="0.15"/>
    <n v="29750"/>
    <n v="22400"/>
    <n v="7350"/>
    <x v="2"/>
    <s v="Cancelled"/>
  </r>
  <r>
    <s v="ORD0361"/>
    <s v="CUST0361"/>
    <x v="282"/>
    <s v="Suresh Iyer"/>
    <s v="Coimbatore"/>
    <s v="Tamil Nadu"/>
    <x v="1"/>
    <x v="0"/>
    <s v="Office"/>
    <s v="Sneha Patil"/>
    <n v="1"/>
    <n v="18000"/>
    <n v="14000"/>
    <n v="7.0000000000000007E-2"/>
    <n v="16740"/>
    <n v="14000"/>
    <n v="2740"/>
    <x v="1"/>
    <s v="In Transit"/>
  </r>
  <r>
    <s v="ORD0362"/>
    <s v="CUST0362"/>
    <x v="283"/>
    <s v="Rohit Verma"/>
    <s v="Kolkata"/>
    <s v="West Bengal"/>
    <x v="3"/>
    <x v="2"/>
    <s v="Electronics"/>
    <s v="Karan Singh"/>
    <n v="2"/>
    <n v="35000"/>
    <n v="28000"/>
    <n v="0"/>
    <n v="70000"/>
    <n v="56000"/>
    <n v="14000"/>
    <x v="1"/>
    <s v="Returned"/>
  </r>
  <r>
    <s v="ORD0363"/>
    <s v="CUST0363"/>
    <x v="159"/>
    <s v="Aisha Khan"/>
    <s v="Warangal"/>
    <s v="Telangana"/>
    <x v="1"/>
    <x v="4"/>
    <s v="Wearables"/>
    <s v="Priya Nair"/>
    <n v="10"/>
    <n v="12000"/>
    <n v="8500"/>
    <n v="0.26"/>
    <n v="88800"/>
    <n v="85000"/>
    <n v="3800"/>
    <x v="0"/>
    <s v="In Transit"/>
  </r>
  <r>
    <s v="ORD0364"/>
    <s v="CUST0364"/>
    <x v="160"/>
    <s v="Meera Shah"/>
    <s v="Warangal"/>
    <s v="Telangana"/>
    <x v="1"/>
    <x v="5"/>
    <s v="Electronics"/>
    <s v="Pooja Das"/>
    <n v="1"/>
    <n v="5000"/>
    <n v="3200"/>
    <n v="0.26"/>
    <n v="3700"/>
    <n v="3200"/>
    <n v="500"/>
    <x v="3"/>
    <s v="In Transit"/>
  </r>
  <r>
    <s v="ORD0365"/>
    <s v="CUST0365"/>
    <x v="284"/>
    <s v="Anjali Rao"/>
    <s v="Mumbai"/>
    <s v="Maharashtra"/>
    <x v="0"/>
    <x v="0"/>
    <s v="Office"/>
    <s v="Vikram Joshi"/>
    <n v="6"/>
    <n v="18000"/>
    <n v="14000"/>
    <n v="0.12"/>
    <n v="95040"/>
    <n v="84000"/>
    <n v="11040"/>
    <x v="4"/>
    <s v="Returned"/>
  </r>
  <r>
    <s v="ORD0366"/>
    <s v="CUST0366"/>
    <x v="109"/>
    <s v="Anjali Rao"/>
    <s v="Warangal"/>
    <s v="Telangana"/>
    <x v="1"/>
    <x v="3"/>
    <s v="Electronics"/>
    <s v="Rahul Verma"/>
    <n v="8"/>
    <n v="25000"/>
    <n v="20000"/>
    <n v="0.05"/>
    <n v="190000"/>
    <n v="160000"/>
    <n v="30000"/>
    <x v="0"/>
    <s v="Delivered"/>
  </r>
  <r>
    <s v="ORD0367"/>
    <s v="CUST0367"/>
    <x v="285"/>
    <s v="Rahul Sharma"/>
    <s v="Hyderabad"/>
    <s v="Telangana"/>
    <x v="1"/>
    <x v="2"/>
    <s v="Electronics"/>
    <s v="Anjali Mehta"/>
    <n v="2"/>
    <n v="35000"/>
    <n v="28000"/>
    <n v="0.2"/>
    <n v="56000"/>
    <n v="56000"/>
    <n v="0"/>
    <x v="1"/>
    <s v="Delivered"/>
  </r>
  <r>
    <s v="ORD0368"/>
    <s v="CUST0368"/>
    <x v="127"/>
    <s v="Arjun Mehta"/>
    <s v="Surat"/>
    <s v="Gujarat"/>
    <x v="0"/>
    <x v="5"/>
    <s v="Electronics"/>
    <s v="Amit Sharma"/>
    <n v="10"/>
    <n v="5000"/>
    <n v="3200"/>
    <n v="0.28999999999999998"/>
    <n v="35500"/>
    <n v="32000"/>
    <n v="3500"/>
    <x v="1"/>
    <s v="Cancelled"/>
  </r>
  <r>
    <s v="ORD0369"/>
    <s v="CUST0369"/>
    <x v="286"/>
    <s v="Suresh Iyer"/>
    <s v="Ahmedabad"/>
    <s v="Gujarat"/>
    <x v="0"/>
    <x v="4"/>
    <s v="Wearables"/>
    <s v="Vikram Joshi"/>
    <n v="3"/>
    <n v="12000"/>
    <n v="8500"/>
    <n v="0.02"/>
    <n v="35280"/>
    <n v="25500"/>
    <n v="9780"/>
    <x v="1"/>
    <s v="In Transit"/>
  </r>
  <r>
    <s v="ORD0370"/>
    <s v="CUST0370"/>
    <x v="287"/>
    <s v="Arjun Mehta"/>
    <s v="Mysuru"/>
    <s v="Karnataka"/>
    <x v="1"/>
    <x v="1"/>
    <s v="Accessories"/>
    <s v="Amit Sharma"/>
    <n v="10"/>
    <n v="1500"/>
    <n v="900"/>
    <n v="0.12"/>
    <n v="13200"/>
    <n v="9000"/>
    <n v="4200"/>
    <x v="4"/>
    <s v="In Transit"/>
  </r>
  <r>
    <s v="ORD0371"/>
    <s v="CUST0371"/>
    <x v="288"/>
    <s v="Divya Menon"/>
    <s v="Coimbatore"/>
    <s v="Tamil Nadu"/>
    <x v="1"/>
    <x v="7"/>
    <s v="Electronics"/>
    <s v="Karan Singh"/>
    <n v="5"/>
    <n v="65000"/>
    <n v="52000"/>
    <n v="0.23"/>
    <n v="250250"/>
    <n v="260000"/>
    <n v="-9750"/>
    <x v="4"/>
    <s v="Cancelled"/>
  </r>
  <r>
    <s v="ORD0372"/>
    <s v="CUST0372"/>
    <x v="289"/>
    <s v="Deepika Roy"/>
    <s v="Ahmedabad"/>
    <s v="Gujarat"/>
    <x v="0"/>
    <x v="4"/>
    <s v="Wearables"/>
    <s v="Pooja Das"/>
    <n v="8"/>
    <n v="12000"/>
    <n v="8500"/>
    <n v="0.13"/>
    <n v="83520"/>
    <n v="68000"/>
    <n v="15520"/>
    <x v="4"/>
    <s v="In Transit"/>
  </r>
  <r>
    <s v="ORD0373"/>
    <s v="CUST0373"/>
    <x v="63"/>
    <s v="Rohan Kulkarni"/>
    <s v="Mumbai"/>
    <s v="Maharashtra"/>
    <x v="0"/>
    <x v="5"/>
    <s v="Electronics"/>
    <s v="Vikram Joshi"/>
    <n v="6"/>
    <n v="5000"/>
    <n v="3200"/>
    <n v="0.15"/>
    <n v="25500"/>
    <n v="19200"/>
    <n v="6300"/>
    <x v="0"/>
    <s v="Returned"/>
  </r>
  <r>
    <s v="ORD0374"/>
    <s v="CUST0374"/>
    <x v="148"/>
    <s v="Neha Gupta"/>
    <s v="New Delhi"/>
    <s v="Delhi"/>
    <x v="2"/>
    <x v="6"/>
    <s v="Accessories"/>
    <s v="Anjali Mehta"/>
    <n v="9"/>
    <n v="3000"/>
    <n v="1800"/>
    <n v="0.17"/>
    <n v="22410"/>
    <n v="16200"/>
    <n v="6210"/>
    <x v="1"/>
    <s v="Returned"/>
  </r>
  <r>
    <s v="ORD0375"/>
    <s v="CUST0375"/>
    <x v="121"/>
    <s v="Aisha Khan"/>
    <s v="Ahmedabad"/>
    <s v="Gujarat"/>
    <x v="0"/>
    <x v="1"/>
    <s v="Accessories"/>
    <s v="Karan Singh"/>
    <n v="4"/>
    <n v="1500"/>
    <n v="900"/>
    <n v="0.17"/>
    <n v="4980"/>
    <n v="3600"/>
    <n v="1380"/>
    <x v="1"/>
    <s v="Delivered"/>
  </r>
  <r>
    <s v="ORD0376"/>
    <s v="CUST0376"/>
    <x v="290"/>
    <s v="Amit Kumar"/>
    <s v="Coimbatore"/>
    <s v="Tamil Nadu"/>
    <x v="1"/>
    <x v="7"/>
    <s v="Electronics"/>
    <s v="Priya Nair"/>
    <n v="10"/>
    <n v="65000"/>
    <n v="52000"/>
    <n v="0.18"/>
    <n v="533000"/>
    <n v="520000"/>
    <n v="13000"/>
    <x v="1"/>
    <s v="Cancelled"/>
  </r>
  <r>
    <s v="ORD0377"/>
    <s v="CUST0377"/>
    <x v="223"/>
    <s v="Divya Menon"/>
    <s v="Warangal"/>
    <s v="Telangana"/>
    <x v="1"/>
    <x v="5"/>
    <s v="Electronics"/>
    <s v="Vikram Joshi"/>
    <n v="6"/>
    <n v="5000"/>
    <n v="3200"/>
    <n v="0.09"/>
    <n v="27300"/>
    <n v="19200"/>
    <n v="8100"/>
    <x v="2"/>
    <s v="Delivered"/>
  </r>
  <r>
    <s v="ORD0378"/>
    <s v="CUST0378"/>
    <x v="291"/>
    <s v="Priya Patel"/>
    <s v="Mysuru"/>
    <s v="Karnataka"/>
    <x v="1"/>
    <x v="3"/>
    <s v="Electronics"/>
    <s v="Karan Singh"/>
    <n v="10"/>
    <n v="25000"/>
    <n v="20000"/>
    <n v="0.16"/>
    <n v="210000"/>
    <n v="200000"/>
    <n v="10000"/>
    <x v="4"/>
    <s v="Delivered"/>
  </r>
  <r>
    <s v="ORD0379"/>
    <s v="CUST0379"/>
    <x v="292"/>
    <s v="Nikhil Jain"/>
    <s v="Mysuru"/>
    <s v="Karnataka"/>
    <x v="1"/>
    <x v="8"/>
    <s v="Office"/>
    <s v="Anjali Mehta"/>
    <n v="4"/>
    <n v="15000"/>
    <n v="11500"/>
    <n v="0.22"/>
    <n v="46800"/>
    <n v="46000"/>
    <n v="800"/>
    <x v="3"/>
    <s v="Delivered"/>
  </r>
  <r>
    <s v="ORD0380"/>
    <s v="CUST0380"/>
    <x v="293"/>
    <s v="Aisha Khan"/>
    <s v="Jaipur"/>
    <s v="Rajasthan"/>
    <x v="2"/>
    <x v="4"/>
    <s v="Wearables"/>
    <s v="Arjun Rao"/>
    <n v="5"/>
    <n v="12000"/>
    <n v="8500"/>
    <n v="0.3"/>
    <n v="42000"/>
    <n v="42500"/>
    <n v="-500"/>
    <x v="0"/>
    <s v="Delivered"/>
  </r>
  <r>
    <s v="ORD0381"/>
    <s v="CUST0381"/>
    <x v="294"/>
    <s v="Nikhil Jain"/>
    <s v="Pune"/>
    <s v="Maharashtra"/>
    <x v="0"/>
    <x v="5"/>
    <s v="Electronics"/>
    <s v="Neha Gupta"/>
    <n v="7"/>
    <n v="5000"/>
    <n v="3200"/>
    <n v="0.19"/>
    <n v="28350.000000000004"/>
    <n v="22400"/>
    <n v="5950.0000000000036"/>
    <x v="0"/>
    <s v="Cancelled"/>
  </r>
  <r>
    <s v="ORD0382"/>
    <s v="CUST0382"/>
    <x v="295"/>
    <s v="Amit Kumar"/>
    <s v="Mumbai"/>
    <s v="Maharashtra"/>
    <x v="0"/>
    <x v="0"/>
    <s v="Office"/>
    <s v="Sneha Patil"/>
    <n v="4"/>
    <n v="18000"/>
    <n v="14000"/>
    <n v="7.0000000000000007E-2"/>
    <n v="66960"/>
    <n v="56000"/>
    <n v="10960"/>
    <x v="1"/>
    <s v="Cancelled"/>
  </r>
  <r>
    <s v="ORD0383"/>
    <s v="CUST0383"/>
    <x v="29"/>
    <s v="Vikram Singh"/>
    <s v="Hyderabad"/>
    <s v="Telangana"/>
    <x v="1"/>
    <x v="6"/>
    <s v="Accessories"/>
    <s v="Neha Gupta"/>
    <n v="6"/>
    <n v="3000"/>
    <n v="1800"/>
    <n v="0.14000000000000001"/>
    <n v="15480"/>
    <n v="10800"/>
    <n v="4680"/>
    <x v="2"/>
    <s v="In Transit"/>
  </r>
  <r>
    <s v="ORD0384"/>
    <s v="CUST0384"/>
    <x v="296"/>
    <s v="Priya Patel"/>
    <s v="Chennai"/>
    <s v="Tamil Nadu"/>
    <x v="1"/>
    <x v="3"/>
    <s v="Electronics"/>
    <s v="Amit Sharma"/>
    <n v="8"/>
    <n v="25000"/>
    <n v="20000"/>
    <n v="0.12"/>
    <n v="176000"/>
    <n v="160000"/>
    <n v="16000"/>
    <x v="1"/>
    <s v="Cancelled"/>
  </r>
  <r>
    <s v="ORD0385"/>
    <s v="CUST0385"/>
    <x v="183"/>
    <s v="Rohan Kulkarni"/>
    <s v="Bengaluru"/>
    <s v="Karnataka"/>
    <x v="1"/>
    <x v="8"/>
    <s v="Office"/>
    <s v="Amit Sharma"/>
    <n v="1"/>
    <n v="15000"/>
    <n v="11500"/>
    <n v="0.17"/>
    <n v="12450"/>
    <n v="11500"/>
    <n v="950"/>
    <x v="2"/>
    <s v="Returned"/>
  </r>
  <r>
    <s v="ORD0386"/>
    <s v="CUST0386"/>
    <x v="20"/>
    <s v="Nikhil Jain"/>
    <s v="Ahmedabad"/>
    <s v="Gujarat"/>
    <x v="0"/>
    <x v="6"/>
    <s v="Accessories"/>
    <s v="Neha Gupta"/>
    <n v="5"/>
    <n v="3000"/>
    <n v="1800"/>
    <n v="0.2"/>
    <n v="12000"/>
    <n v="9000"/>
    <n v="3000"/>
    <x v="3"/>
    <s v="Delivered"/>
  </r>
  <r>
    <s v="ORD0387"/>
    <s v="CUST0387"/>
    <x v="297"/>
    <s v="Vikram Singh"/>
    <s v="Kolkata"/>
    <s v="West Bengal"/>
    <x v="3"/>
    <x v="2"/>
    <s v="Electronics"/>
    <s v="Arjun Rao"/>
    <n v="3"/>
    <n v="35000"/>
    <n v="28000"/>
    <n v="0.16"/>
    <n v="88200"/>
    <n v="84000"/>
    <n v="4200"/>
    <x v="4"/>
    <s v="Delivered"/>
  </r>
  <r>
    <s v="ORD0388"/>
    <s v="CUST0388"/>
    <x v="298"/>
    <s v="Kavya Reddy"/>
    <s v="Mumbai"/>
    <s v="Maharashtra"/>
    <x v="0"/>
    <x v="0"/>
    <s v="Office"/>
    <s v="Neha Gupta"/>
    <n v="4"/>
    <n v="18000"/>
    <n v="14000"/>
    <n v="0.06"/>
    <n v="67680"/>
    <n v="56000"/>
    <n v="11680"/>
    <x v="4"/>
    <s v="In Transit"/>
  </r>
  <r>
    <s v="ORD0389"/>
    <s v="CUST0389"/>
    <x v="299"/>
    <s v="Sneha Nair"/>
    <s v="Coimbatore"/>
    <s v="Tamil Nadu"/>
    <x v="1"/>
    <x v="5"/>
    <s v="Electronics"/>
    <s v="Karan Singh"/>
    <n v="8"/>
    <n v="5000"/>
    <n v="3200"/>
    <n v="0.23"/>
    <n v="30800"/>
    <n v="25600"/>
    <n v="5200"/>
    <x v="2"/>
    <s v="In Transit"/>
  </r>
  <r>
    <s v="ORD0390"/>
    <s v="CUST0390"/>
    <x v="300"/>
    <s v="Kavya Reddy"/>
    <s v="Ahmedabad"/>
    <s v="Gujarat"/>
    <x v="0"/>
    <x v="4"/>
    <s v="Wearables"/>
    <s v="Priya Nair"/>
    <n v="3"/>
    <n v="12000"/>
    <n v="8500"/>
    <n v="0.28999999999999998"/>
    <n v="25560"/>
    <n v="25500"/>
    <n v="60"/>
    <x v="2"/>
    <s v="Returned"/>
  </r>
  <r>
    <s v="ORD0391"/>
    <s v="CUST0391"/>
    <x v="139"/>
    <s v="Rohit Verma"/>
    <s v="Bengaluru"/>
    <s v="Karnataka"/>
    <x v="1"/>
    <x v="7"/>
    <s v="Electronics"/>
    <s v="Sneha Patil"/>
    <n v="1"/>
    <n v="65000"/>
    <n v="52000"/>
    <n v="0.06"/>
    <n v="61100"/>
    <n v="52000"/>
    <n v="9100"/>
    <x v="2"/>
    <s v="Delivered"/>
  </r>
  <r>
    <s v="ORD0392"/>
    <s v="CUST0392"/>
    <x v="301"/>
    <s v="Neha Gupta"/>
    <s v="Mysuru"/>
    <s v="Karnataka"/>
    <x v="1"/>
    <x v="6"/>
    <s v="Accessories"/>
    <s v="Amit Sharma"/>
    <n v="9"/>
    <n v="3000"/>
    <n v="1800"/>
    <n v="0.24"/>
    <n v="20520"/>
    <n v="16200"/>
    <n v="4320"/>
    <x v="0"/>
    <s v="Delivered"/>
  </r>
  <r>
    <s v="ORD0393"/>
    <s v="CUST0393"/>
    <x v="302"/>
    <s v="Neha Gupta"/>
    <s v="Mysuru"/>
    <s v="Karnataka"/>
    <x v="1"/>
    <x v="3"/>
    <s v="Electronics"/>
    <s v="Pooja Das"/>
    <n v="1"/>
    <n v="25000"/>
    <n v="20000"/>
    <n v="0.2"/>
    <n v="20000"/>
    <n v="20000"/>
    <n v="0"/>
    <x v="0"/>
    <s v="Delivered"/>
  </r>
  <r>
    <s v="ORD0394"/>
    <s v="CUST0394"/>
    <x v="79"/>
    <s v="Karan Joshi"/>
    <s v="New Delhi"/>
    <s v="Delhi"/>
    <x v="2"/>
    <x v="3"/>
    <s v="Electronics"/>
    <s v="Sneha Patil"/>
    <n v="8"/>
    <n v="25000"/>
    <n v="20000"/>
    <n v="0.3"/>
    <n v="140000"/>
    <n v="160000"/>
    <n v="-20000"/>
    <x v="4"/>
    <s v="Cancelled"/>
  </r>
  <r>
    <s v="ORD0395"/>
    <s v="CUST0395"/>
    <x v="211"/>
    <s v="Suresh Iyer"/>
    <s v="Surat"/>
    <s v="Gujarat"/>
    <x v="0"/>
    <x v="5"/>
    <s v="Electronics"/>
    <s v="Amit Sharma"/>
    <n v="10"/>
    <n v="5000"/>
    <n v="3200"/>
    <n v="0.24"/>
    <n v="38000"/>
    <n v="32000"/>
    <n v="6000"/>
    <x v="0"/>
    <s v="In Transit"/>
  </r>
  <r>
    <s v="ORD0396"/>
    <s v="CUST0396"/>
    <x v="303"/>
    <s v="Anjali Rao"/>
    <s v="Bengaluru"/>
    <s v="Karnataka"/>
    <x v="1"/>
    <x v="2"/>
    <s v="Electronics"/>
    <s v="Vikram Joshi"/>
    <n v="9"/>
    <n v="35000"/>
    <n v="28000"/>
    <n v="0.04"/>
    <n v="302400"/>
    <n v="252000"/>
    <n v="50400"/>
    <x v="1"/>
    <s v="Delivered"/>
  </r>
  <r>
    <s v="ORD0397"/>
    <s v="CUST0397"/>
    <x v="304"/>
    <s v="Kavya Reddy"/>
    <s v="Hyderabad"/>
    <s v="Telangana"/>
    <x v="1"/>
    <x v="9"/>
    <s v="Accessories"/>
    <s v="Sneha Patil"/>
    <n v="7"/>
    <n v="800"/>
    <n v="450"/>
    <n v="0.24"/>
    <n v="4256"/>
    <n v="3150"/>
    <n v="1106"/>
    <x v="3"/>
    <s v="In Transit"/>
  </r>
  <r>
    <s v="ORD0398"/>
    <s v="CUST0398"/>
    <x v="305"/>
    <s v="Sneha Nair"/>
    <s v="Bengaluru"/>
    <s v="Karnataka"/>
    <x v="1"/>
    <x v="2"/>
    <s v="Electronics"/>
    <s v="Neha Gupta"/>
    <n v="2"/>
    <n v="35000"/>
    <n v="28000"/>
    <n v="0.14000000000000001"/>
    <n v="60200"/>
    <n v="56000"/>
    <n v="4200"/>
    <x v="4"/>
    <s v="Delivered"/>
  </r>
  <r>
    <s v="ORD0399"/>
    <s v="CUST0399"/>
    <x v="306"/>
    <s v="Priya Patel"/>
    <s v="Kolkata"/>
    <s v="West Bengal"/>
    <x v="3"/>
    <x v="3"/>
    <s v="Electronics"/>
    <s v="Rahul Verma"/>
    <n v="1"/>
    <n v="25000"/>
    <n v="20000"/>
    <n v="7.0000000000000007E-2"/>
    <n v="23250"/>
    <n v="20000"/>
    <n v="3250"/>
    <x v="0"/>
    <s v="Returned"/>
  </r>
  <r>
    <s v="ORD0400"/>
    <s v="CUST0400"/>
    <x v="307"/>
    <s v="Pooja Das"/>
    <s v="Hyderabad"/>
    <s v="Telangana"/>
    <x v="1"/>
    <x v="9"/>
    <s v="Accessories"/>
    <s v="Vikram Joshi"/>
    <n v="3"/>
    <n v="800"/>
    <n v="450"/>
    <n v="0.15"/>
    <n v="2040"/>
    <n v="1350"/>
    <n v="690"/>
    <x v="3"/>
    <s v="Delivered"/>
  </r>
  <r>
    <s v="ORD0401"/>
    <s v="CUST0401"/>
    <x v="308"/>
    <s v="Arjun Mehta"/>
    <s v="New Delhi"/>
    <s v="Delhi"/>
    <x v="2"/>
    <x v="5"/>
    <s v="Electronics"/>
    <s v="Arjun Rao"/>
    <n v="3"/>
    <n v="5000"/>
    <n v="3200"/>
    <n v="0.22"/>
    <n v="11700"/>
    <n v="9600"/>
    <n v="2100"/>
    <x v="3"/>
    <s v="Returned"/>
  </r>
  <r>
    <s v="ORD0402"/>
    <s v="CUST0402"/>
    <x v="305"/>
    <s v="Rohan Kulkarni"/>
    <s v="Bengaluru"/>
    <s v="Karnataka"/>
    <x v="1"/>
    <x v="1"/>
    <s v="Accessories"/>
    <s v="Vikram Joshi"/>
    <n v="9"/>
    <n v="1500"/>
    <n v="900"/>
    <n v="0.1"/>
    <n v="12150"/>
    <n v="8100"/>
    <n v="4050"/>
    <x v="0"/>
    <s v="Returned"/>
  </r>
  <r>
    <s v="ORD0403"/>
    <s v="CUST0403"/>
    <x v="309"/>
    <s v="Arjun Mehta"/>
    <s v="Coimbatore"/>
    <s v="Tamil Nadu"/>
    <x v="1"/>
    <x v="0"/>
    <s v="Office"/>
    <s v="Neha Gupta"/>
    <n v="7"/>
    <n v="18000"/>
    <n v="14000"/>
    <n v="0.02"/>
    <n v="123480"/>
    <n v="98000"/>
    <n v="25480"/>
    <x v="3"/>
    <s v="In Transit"/>
  </r>
  <r>
    <s v="ORD0404"/>
    <s v="CUST0404"/>
    <x v="288"/>
    <s v="Anjali Rao"/>
    <s v="Surat"/>
    <s v="Gujarat"/>
    <x v="0"/>
    <x v="1"/>
    <s v="Accessories"/>
    <s v="Anjali Mehta"/>
    <n v="7"/>
    <n v="1500"/>
    <n v="900"/>
    <n v="0.06"/>
    <n v="9870"/>
    <n v="6300"/>
    <n v="3570"/>
    <x v="4"/>
    <s v="Cancelled"/>
  </r>
  <r>
    <s v="ORD0405"/>
    <s v="CUST0405"/>
    <x v="310"/>
    <s v="Aditya Mishra"/>
    <s v="Hyderabad"/>
    <s v="Telangana"/>
    <x v="1"/>
    <x v="9"/>
    <s v="Accessories"/>
    <s v="Neha Gupta"/>
    <n v="2"/>
    <n v="800"/>
    <n v="450"/>
    <n v="0.08"/>
    <n v="1472"/>
    <n v="900"/>
    <n v="572"/>
    <x v="3"/>
    <s v="Returned"/>
  </r>
  <r>
    <s v="ORD0406"/>
    <s v="CUST0406"/>
    <x v="257"/>
    <s v="Arjun Mehta"/>
    <s v="Mumbai"/>
    <s v="Maharashtra"/>
    <x v="0"/>
    <x v="6"/>
    <s v="Accessories"/>
    <s v="Sneha Patil"/>
    <n v="8"/>
    <n v="3000"/>
    <n v="1800"/>
    <n v="0.26"/>
    <n v="17760"/>
    <n v="14400"/>
    <n v="3360"/>
    <x v="0"/>
    <s v="Cancelled"/>
  </r>
  <r>
    <s v="ORD0407"/>
    <s v="CUST0407"/>
    <x v="311"/>
    <s v="Rohan Kulkarni"/>
    <s v="Ahmedabad"/>
    <s v="Gujarat"/>
    <x v="0"/>
    <x v="7"/>
    <s v="Electronics"/>
    <s v="Rahul Verma"/>
    <n v="1"/>
    <n v="65000"/>
    <n v="52000"/>
    <n v="0.28000000000000003"/>
    <n v="46800"/>
    <n v="52000"/>
    <n v="-5200"/>
    <x v="0"/>
    <s v="Delivered"/>
  </r>
  <r>
    <s v="ORD0408"/>
    <s v="CUST0408"/>
    <x v="312"/>
    <s v="Arjun Mehta"/>
    <s v="Jaipur"/>
    <s v="Rajasthan"/>
    <x v="2"/>
    <x v="7"/>
    <s v="Electronics"/>
    <s v="Priya Nair"/>
    <n v="5"/>
    <n v="65000"/>
    <n v="52000"/>
    <n v="0.18"/>
    <n v="266500"/>
    <n v="260000"/>
    <n v="6500"/>
    <x v="2"/>
    <s v="Returned"/>
  </r>
  <r>
    <s v="ORD0409"/>
    <s v="CUST0409"/>
    <x v="313"/>
    <s v="Kavya Reddy"/>
    <s v="Surat"/>
    <s v="Gujarat"/>
    <x v="0"/>
    <x v="6"/>
    <s v="Accessories"/>
    <s v="Sneha Patil"/>
    <n v="6"/>
    <n v="3000"/>
    <n v="1800"/>
    <n v="0.1"/>
    <n v="16200"/>
    <n v="10800"/>
    <n v="5400"/>
    <x v="3"/>
    <s v="Cancelled"/>
  </r>
  <r>
    <s v="ORD0410"/>
    <s v="CUST0410"/>
    <x v="314"/>
    <s v="Nikhil Jain"/>
    <s v="Pune"/>
    <s v="Maharashtra"/>
    <x v="0"/>
    <x v="7"/>
    <s v="Electronics"/>
    <s v="Neha Gupta"/>
    <n v="5"/>
    <n v="65000"/>
    <n v="52000"/>
    <n v="0.01"/>
    <n v="321750"/>
    <n v="260000"/>
    <n v="61750"/>
    <x v="2"/>
    <s v="Returned"/>
  </r>
  <r>
    <s v="ORD0411"/>
    <s v="CUST0411"/>
    <x v="315"/>
    <s v="Deepika Roy"/>
    <s v="Hyderabad"/>
    <s v="Telangana"/>
    <x v="1"/>
    <x v="9"/>
    <s v="Accessories"/>
    <s v="Karan Singh"/>
    <n v="5"/>
    <n v="800"/>
    <n v="450"/>
    <n v="0.23"/>
    <n v="3080"/>
    <n v="2250"/>
    <n v="830"/>
    <x v="0"/>
    <s v="Delivered"/>
  </r>
  <r>
    <s v="ORD0412"/>
    <s v="CUST0412"/>
    <x v="187"/>
    <s v="Aisha Khan"/>
    <s v="Mumbai"/>
    <s v="Maharashtra"/>
    <x v="0"/>
    <x v="0"/>
    <s v="Office"/>
    <s v="Neha Gupta"/>
    <n v="10"/>
    <n v="18000"/>
    <n v="14000"/>
    <n v="0.03"/>
    <n v="174600"/>
    <n v="140000"/>
    <n v="34600"/>
    <x v="2"/>
    <s v="In Transit"/>
  </r>
  <r>
    <s v="ORD0413"/>
    <s v="CUST0413"/>
    <x v="316"/>
    <s v="Aisha Khan"/>
    <s v="Bengaluru"/>
    <s v="Karnataka"/>
    <x v="1"/>
    <x v="1"/>
    <s v="Accessories"/>
    <s v="Rahul Verma"/>
    <n v="9"/>
    <n v="1500"/>
    <n v="900"/>
    <n v="0.03"/>
    <n v="13095"/>
    <n v="8100"/>
    <n v="4995"/>
    <x v="1"/>
    <s v="In Transit"/>
  </r>
  <r>
    <s v="ORD0414"/>
    <s v="CUST0414"/>
    <x v="317"/>
    <s v="Rahul Sharma"/>
    <s v="Surat"/>
    <s v="Gujarat"/>
    <x v="0"/>
    <x v="8"/>
    <s v="Office"/>
    <s v="Pooja Das"/>
    <n v="1"/>
    <n v="15000"/>
    <n v="11500"/>
    <n v="0.1"/>
    <n v="13500"/>
    <n v="11500"/>
    <n v="2000"/>
    <x v="4"/>
    <s v="Cancelled"/>
  </r>
  <r>
    <s v="ORD0415"/>
    <s v="CUST0415"/>
    <x v="318"/>
    <s v="Suresh Iyer"/>
    <s v="Warangal"/>
    <s v="Telangana"/>
    <x v="1"/>
    <x v="2"/>
    <s v="Electronics"/>
    <s v="Sneha Patil"/>
    <n v="3"/>
    <n v="35000"/>
    <n v="28000"/>
    <n v="0.3"/>
    <n v="73500"/>
    <n v="84000"/>
    <n v="-10500"/>
    <x v="1"/>
    <s v="In Transit"/>
  </r>
  <r>
    <s v="ORD0416"/>
    <s v="CUST0416"/>
    <x v="319"/>
    <s v="Amit Kumar"/>
    <s v="Bengaluru"/>
    <s v="Karnataka"/>
    <x v="1"/>
    <x v="7"/>
    <s v="Electronics"/>
    <s v="Arjun Rao"/>
    <n v="3"/>
    <n v="65000"/>
    <n v="52000"/>
    <n v="0.24"/>
    <n v="148200"/>
    <n v="156000"/>
    <n v="-7800"/>
    <x v="2"/>
    <s v="In Transit"/>
  </r>
  <r>
    <s v="ORD0417"/>
    <s v="CUST0417"/>
    <x v="145"/>
    <s v="Rohan Kulkarni"/>
    <s v="Jaipur"/>
    <s v="Rajasthan"/>
    <x v="2"/>
    <x v="0"/>
    <s v="Office"/>
    <s v="Pooja Das"/>
    <n v="5"/>
    <n v="18000"/>
    <n v="14000"/>
    <n v="0.05"/>
    <n v="85500"/>
    <n v="70000"/>
    <n v="15500"/>
    <x v="4"/>
    <s v="Cancelled"/>
  </r>
  <r>
    <s v="ORD0418"/>
    <s v="CUST0418"/>
    <x v="285"/>
    <s v="Suresh Iyer"/>
    <s v="Mumbai"/>
    <s v="Maharashtra"/>
    <x v="0"/>
    <x v="6"/>
    <s v="Accessories"/>
    <s v="Anjali Mehta"/>
    <n v="2"/>
    <n v="3000"/>
    <n v="1800"/>
    <n v="0.19"/>
    <n v="4860"/>
    <n v="3600"/>
    <n v="1260"/>
    <x v="2"/>
    <s v="In Transit"/>
  </r>
  <r>
    <s v="ORD0419"/>
    <s v="CUST0419"/>
    <x v="272"/>
    <s v="Aditya Mishra"/>
    <s v="Jaipur"/>
    <s v="Rajasthan"/>
    <x v="2"/>
    <x v="4"/>
    <s v="Wearables"/>
    <s v="Rahul Verma"/>
    <n v="3"/>
    <n v="12000"/>
    <n v="8500"/>
    <n v="0.28999999999999998"/>
    <n v="25560"/>
    <n v="25500"/>
    <n v="60"/>
    <x v="0"/>
    <s v="Returned"/>
  </r>
  <r>
    <s v="ORD0420"/>
    <s v="CUST0420"/>
    <x v="232"/>
    <s v="Priya Patel"/>
    <s v="Kolkata"/>
    <s v="West Bengal"/>
    <x v="3"/>
    <x v="9"/>
    <s v="Accessories"/>
    <s v="Amit Sharma"/>
    <n v="5"/>
    <n v="800"/>
    <n v="450"/>
    <n v="0.24"/>
    <n v="3040"/>
    <n v="2250"/>
    <n v="790"/>
    <x v="3"/>
    <s v="In Transit"/>
  </r>
  <r>
    <s v="ORD0421"/>
    <s v="CUST0421"/>
    <x v="320"/>
    <s v="Pooja Das"/>
    <s v="Bengaluru"/>
    <s v="Karnataka"/>
    <x v="1"/>
    <x v="6"/>
    <s v="Accessories"/>
    <s v="Neha Gupta"/>
    <n v="7"/>
    <n v="3000"/>
    <n v="1800"/>
    <n v="0.22"/>
    <n v="16380"/>
    <n v="12600"/>
    <n v="3780"/>
    <x v="3"/>
    <s v="In Transit"/>
  </r>
  <r>
    <s v="ORD0422"/>
    <s v="CUST0422"/>
    <x v="168"/>
    <s v="Rohit Verma"/>
    <s v="Mumbai"/>
    <s v="Maharashtra"/>
    <x v="0"/>
    <x v="7"/>
    <s v="Electronics"/>
    <s v="Rahul Verma"/>
    <n v="2"/>
    <n v="65000"/>
    <n v="52000"/>
    <n v="0.05"/>
    <n v="123500"/>
    <n v="104000"/>
    <n v="19500"/>
    <x v="3"/>
    <s v="In Transit"/>
  </r>
  <r>
    <s v="ORD0423"/>
    <s v="CUST0423"/>
    <x v="267"/>
    <s v="Meera Shah"/>
    <s v="New Delhi"/>
    <s v="Delhi"/>
    <x v="2"/>
    <x v="1"/>
    <s v="Accessories"/>
    <s v="Karan Singh"/>
    <n v="3"/>
    <n v="1500"/>
    <n v="900"/>
    <n v="0.25"/>
    <n v="3375"/>
    <n v="2700"/>
    <n v="675"/>
    <x v="2"/>
    <s v="In Transit"/>
  </r>
  <r>
    <s v="ORD0424"/>
    <s v="CUST0424"/>
    <x v="277"/>
    <s v="Arjun Mehta"/>
    <s v="Coimbatore"/>
    <s v="Tamil Nadu"/>
    <x v="1"/>
    <x v="6"/>
    <s v="Accessories"/>
    <s v="Pooja Das"/>
    <n v="4"/>
    <n v="3000"/>
    <n v="1800"/>
    <n v="0.01"/>
    <n v="11880"/>
    <n v="7200"/>
    <n v="4680"/>
    <x v="2"/>
    <s v="Returned"/>
  </r>
  <r>
    <s v="ORD0425"/>
    <s v="CUST0425"/>
    <x v="321"/>
    <s v="Aditya Mishra"/>
    <s v="Kolkata"/>
    <s v="West Bengal"/>
    <x v="3"/>
    <x v="2"/>
    <s v="Electronics"/>
    <s v="Pooja Das"/>
    <n v="5"/>
    <n v="35000"/>
    <n v="28000"/>
    <n v="0"/>
    <n v="175000"/>
    <n v="140000"/>
    <n v="35000"/>
    <x v="3"/>
    <s v="Delivered"/>
  </r>
  <r>
    <s v="ORD0426"/>
    <s v="CUST0426"/>
    <x v="322"/>
    <s v="Priya Patel"/>
    <s v="Mysuru"/>
    <s v="Karnataka"/>
    <x v="1"/>
    <x v="7"/>
    <s v="Electronics"/>
    <s v="Priya Nair"/>
    <n v="6"/>
    <n v="65000"/>
    <n v="52000"/>
    <n v="0.22"/>
    <n v="304200"/>
    <n v="312000"/>
    <n v="-7800"/>
    <x v="2"/>
    <s v="Cancelled"/>
  </r>
  <r>
    <s v="ORD0427"/>
    <s v="CUST0427"/>
    <x v="323"/>
    <s v="Rahul Sharma"/>
    <s v="Pune"/>
    <s v="Maharashtra"/>
    <x v="0"/>
    <x v="4"/>
    <s v="Wearables"/>
    <s v="Neha Gupta"/>
    <n v="10"/>
    <n v="12000"/>
    <n v="8500"/>
    <n v="0.23"/>
    <n v="92400"/>
    <n v="85000"/>
    <n v="7400"/>
    <x v="3"/>
    <s v="Returned"/>
  </r>
  <r>
    <s v="ORD0428"/>
    <s v="CUST0428"/>
    <x v="324"/>
    <s v="Divya Menon"/>
    <s v="Coimbatore"/>
    <s v="Tamil Nadu"/>
    <x v="1"/>
    <x v="3"/>
    <s v="Electronics"/>
    <s v="Priya Nair"/>
    <n v="8"/>
    <n v="25000"/>
    <n v="20000"/>
    <n v="0.1"/>
    <n v="180000"/>
    <n v="160000"/>
    <n v="20000"/>
    <x v="3"/>
    <s v="Cancelled"/>
  </r>
  <r>
    <s v="ORD0429"/>
    <s v="CUST0429"/>
    <x v="325"/>
    <s v="Aisha Khan"/>
    <s v="Chennai"/>
    <s v="Tamil Nadu"/>
    <x v="1"/>
    <x v="8"/>
    <s v="Office"/>
    <s v="Anjali Mehta"/>
    <n v="7"/>
    <n v="15000"/>
    <n v="11500"/>
    <n v="0.02"/>
    <n v="102900"/>
    <n v="80500"/>
    <n v="22400"/>
    <x v="1"/>
    <s v="In Transit"/>
  </r>
  <r>
    <s v="ORD0430"/>
    <s v="CUST0430"/>
    <x v="326"/>
    <s v="Anjali Rao"/>
    <s v="Bengaluru"/>
    <s v="Karnataka"/>
    <x v="1"/>
    <x v="0"/>
    <s v="Office"/>
    <s v="Sneha Patil"/>
    <n v="8"/>
    <n v="18000"/>
    <n v="14000"/>
    <n v="0.25"/>
    <n v="108000"/>
    <n v="112000"/>
    <n v="-4000"/>
    <x v="0"/>
    <s v="In Transit"/>
  </r>
  <r>
    <s v="ORD0431"/>
    <s v="CUST0431"/>
    <x v="327"/>
    <s v="Sneha Nair"/>
    <s v="Pune"/>
    <s v="Maharashtra"/>
    <x v="0"/>
    <x v="5"/>
    <s v="Electronics"/>
    <s v="Arjun Rao"/>
    <n v="5"/>
    <n v="5000"/>
    <n v="3200"/>
    <n v="0.25"/>
    <n v="18750"/>
    <n v="16000"/>
    <n v="2750"/>
    <x v="2"/>
    <s v="Cancelled"/>
  </r>
  <r>
    <s v="ORD0432"/>
    <s v="CUST0432"/>
    <x v="6"/>
    <s v="Rohit Verma"/>
    <s v="Coimbatore"/>
    <s v="Tamil Nadu"/>
    <x v="1"/>
    <x v="8"/>
    <s v="Office"/>
    <s v="Priya Nair"/>
    <n v="10"/>
    <n v="15000"/>
    <n v="11500"/>
    <n v="0.3"/>
    <n v="105000"/>
    <n v="115000"/>
    <n v="-10000"/>
    <x v="2"/>
    <s v="In Transit"/>
  </r>
  <r>
    <s v="ORD0433"/>
    <s v="CUST0433"/>
    <x v="328"/>
    <s v="Meera Shah"/>
    <s v="New Delhi"/>
    <s v="Delhi"/>
    <x v="2"/>
    <x v="2"/>
    <s v="Electronics"/>
    <s v="Amit Sharma"/>
    <n v="7"/>
    <n v="35000"/>
    <n v="28000"/>
    <n v="0.03"/>
    <n v="237650"/>
    <n v="196000"/>
    <n v="41650"/>
    <x v="1"/>
    <s v="In Transit"/>
  </r>
  <r>
    <s v="ORD0434"/>
    <s v="CUST0434"/>
    <x v="4"/>
    <s v="Suresh Iyer"/>
    <s v="New Delhi"/>
    <s v="Delhi"/>
    <x v="2"/>
    <x v="6"/>
    <s v="Accessories"/>
    <s v="Sneha Patil"/>
    <n v="6"/>
    <n v="3000"/>
    <n v="1800"/>
    <n v="0.12"/>
    <n v="15840"/>
    <n v="10800"/>
    <n v="5040"/>
    <x v="0"/>
    <s v="Returned"/>
  </r>
  <r>
    <s v="ORD0435"/>
    <s v="CUST0435"/>
    <x v="213"/>
    <s v="Arjun Mehta"/>
    <s v="Hyderabad"/>
    <s v="Telangana"/>
    <x v="1"/>
    <x v="7"/>
    <s v="Electronics"/>
    <s v="Pooja Das"/>
    <n v="2"/>
    <n v="65000"/>
    <n v="52000"/>
    <n v="0.15"/>
    <n v="110500"/>
    <n v="104000"/>
    <n v="6500"/>
    <x v="0"/>
    <s v="In Transit"/>
  </r>
  <r>
    <s v="ORD0436"/>
    <s v="CUST0436"/>
    <x v="76"/>
    <s v="Sneha Nair"/>
    <s v="Kolkata"/>
    <s v="West Bengal"/>
    <x v="3"/>
    <x v="7"/>
    <s v="Electronics"/>
    <s v="Rahul Verma"/>
    <n v="4"/>
    <n v="65000"/>
    <n v="52000"/>
    <n v="0.02"/>
    <n v="254800"/>
    <n v="208000"/>
    <n v="46800"/>
    <x v="0"/>
    <s v="Delivered"/>
  </r>
  <r>
    <s v="ORD0437"/>
    <s v="CUST0437"/>
    <x v="207"/>
    <s v="Nikhil Jain"/>
    <s v="Coimbatore"/>
    <s v="Tamil Nadu"/>
    <x v="1"/>
    <x v="8"/>
    <s v="Office"/>
    <s v="Pooja Das"/>
    <n v="7"/>
    <n v="15000"/>
    <n v="11500"/>
    <n v="0.13"/>
    <n v="91350"/>
    <n v="80500"/>
    <n v="10850"/>
    <x v="3"/>
    <s v="Returned"/>
  </r>
  <r>
    <s v="ORD0438"/>
    <s v="CUST0438"/>
    <x v="329"/>
    <s v="Aisha Khan"/>
    <s v="Kolkata"/>
    <s v="West Bengal"/>
    <x v="3"/>
    <x v="4"/>
    <s v="Wearables"/>
    <s v="Sneha Patil"/>
    <n v="3"/>
    <n v="12000"/>
    <n v="8500"/>
    <n v="0.15"/>
    <n v="30600"/>
    <n v="25500"/>
    <n v="5100"/>
    <x v="1"/>
    <s v="Delivered"/>
  </r>
  <r>
    <s v="ORD0439"/>
    <s v="CUST0439"/>
    <x v="124"/>
    <s v="Deepika Roy"/>
    <s v="Kolkata"/>
    <s v="West Bengal"/>
    <x v="3"/>
    <x v="1"/>
    <s v="Accessories"/>
    <s v="Pooja Das"/>
    <n v="5"/>
    <n v="1500"/>
    <n v="900"/>
    <n v="0.09"/>
    <n v="6825"/>
    <n v="4500"/>
    <n v="2325"/>
    <x v="3"/>
    <s v="Returned"/>
  </r>
  <r>
    <s v="ORD0440"/>
    <s v="CUST0440"/>
    <x v="330"/>
    <s v="Vikram Singh"/>
    <s v="Pune"/>
    <s v="Maharashtra"/>
    <x v="0"/>
    <x v="2"/>
    <s v="Electronics"/>
    <s v="Arjun Rao"/>
    <n v="1"/>
    <n v="35000"/>
    <n v="28000"/>
    <n v="7.0000000000000007E-2"/>
    <n v="32549.999999999996"/>
    <n v="28000"/>
    <n v="4549.9999999999964"/>
    <x v="4"/>
    <s v="Returned"/>
  </r>
  <r>
    <s v="ORD0441"/>
    <s v="CUST0441"/>
    <x v="154"/>
    <s v="Rahul Sharma"/>
    <s v="Chennai"/>
    <s v="Tamil Nadu"/>
    <x v="1"/>
    <x v="5"/>
    <s v="Electronics"/>
    <s v="Vikram Joshi"/>
    <n v="10"/>
    <n v="5000"/>
    <n v="3200"/>
    <n v="0.09"/>
    <n v="45500"/>
    <n v="32000"/>
    <n v="13500"/>
    <x v="2"/>
    <s v="In Transit"/>
  </r>
  <r>
    <s v="ORD0442"/>
    <s v="CUST0442"/>
    <x v="331"/>
    <s v="Vikram Singh"/>
    <s v="Bengaluru"/>
    <s v="Karnataka"/>
    <x v="1"/>
    <x v="5"/>
    <s v="Electronics"/>
    <s v="Rahul Verma"/>
    <n v="2"/>
    <n v="5000"/>
    <n v="3200"/>
    <n v="0.19"/>
    <n v="8100.0000000000009"/>
    <n v="6400"/>
    <n v="1700.0000000000009"/>
    <x v="3"/>
    <s v="Delivered"/>
  </r>
  <r>
    <s v="ORD0443"/>
    <s v="CUST0443"/>
    <x v="126"/>
    <s v="Suresh Iyer"/>
    <s v="Bengaluru"/>
    <s v="Karnataka"/>
    <x v="1"/>
    <x v="0"/>
    <s v="Office"/>
    <s v="Karan Singh"/>
    <n v="5"/>
    <n v="18000"/>
    <n v="14000"/>
    <n v="0.3"/>
    <n v="62999.999999999993"/>
    <n v="70000"/>
    <n v="-7000.0000000000073"/>
    <x v="2"/>
    <s v="Delivered"/>
  </r>
  <r>
    <s v="ORD0444"/>
    <s v="CUST0444"/>
    <x v="332"/>
    <s v="Vikram Singh"/>
    <s v="Bengaluru"/>
    <s v="Karnataka"/>
    <x v="1"/>
    <x v="8"/>
    <s v="Office"/>
    <s v="Pooja Das"/>
    <n v="1"/>
    <n v="15000"/>
    <n v="11500"/>
    <n v="0.1"/>
    <n v="13500"/>
    <n v="11500"/>
    <n v="2000"/>
    <x v="1"/>
    <s v="In Transit"/>
  </r>
  <r>
    <s v="ORD0445"/>
    <s v="CUST0445"/>
    <x v="293"/>
    <s v="Meera Shah"/>
    <s v="Pune"/>
    <s v="Maharashtra"/>
    <x v="0"/>
    <x v="8"/>
    <s v="Office"/>
    <s v="Sneha Patil"/>
    <n v="8"/>
    <n v="15000"/>
    <n v="11500"/>
    <n v="0.23"/>
    <n v="92400"/>
    <n v="92000"/>
    <n v="400"/>
    <x v="4"/>
    <s v="Cancelled"/>
  </r>
  <r>
    <s v="ORD0446"/>
    <s v="CUST0446"/>
    <x v="240"/>
    <s v="Deepika Roy"/>
    <s v="Mumbai"/>
    <s v="Maharashtra"/>
    <x v="0"/>
    <x v="7"/>
    <s v="Electronics"/>
    <s v="Karan Singh"/>
    <n v="3"/>
    <n v="65000"/>
    <n v="52000"/>
    <n v="0.2"/>
    <n v="156000"/>
    <n v="156000"/>
    <n v="0"/>
    <x v="1"/>
    <s v="Cancelled"/>
  </r>
  <r>
    <s v="ORD0447"/>
    <s v="CUST0447"/>
    <x v="333"/>
    <s v="Sneha Nair"/>
    <s v="Kolkata"/>
    <s v="West Bengal"/>
    <x v="3"/>
    <x v="3"/>
    <s v="Electronics"/>
    <s v="Vikram Joshi"/>
    <n v="6"/>
    <n v="25000"/>
    <n v="20000"/>
    <n v="0.19"/>
    <n v="121500.00000000001"/>
    <n v="120000"/>
    <n v="1500.0000000000146"/>
    <x v="1"/>
    <s v="Delivered"/>
  </r>
  <r>
    <s v="ORD0448"/>
    <s v="CUST0448"/>
    <x v="334"/>
    <s v="Divya Menon"/>
    <s v="Hyderabad"/>
    <s v="Telangana"/>
    <x v="1"/>
    <x v="2"/>
    <s v="Electronics"/>
    <s v="Pooja Das"/>
    <n v="9"/>
    <n v="35000"/>
    <n v="28000"/>
    <n v="0.11"/>
    <n v="280350"/>
    <n v="252000"/>
    <n v="28350"/>
    <x v="4"/>
    <s v="Cancelled"/>
  </r>
  <r>
    <s v="ORD0449"/>
    <s v="CUST0449"/>
    <x v="169"/>
    <s v="Rahul Sharma"/>
    <s v="Surat"/>
    <s v="Gujarat"/>
    <x v="0"/>
    <x v="2"/>
    <s v="Electronics"/>
    <s v="Pooja Das"/>
    <n v="3"/>
    <n v="35000"/>
    <n v="28000"/>
    <n v="0.24"/>
    <n v="79800"/>
    <n v="84000"/>
    <n v="-4200"/>
    <x v="2"/>
    <s v="Cancelled"/>
  </r>
  <r>
    <s v="ORD0450"/>
    <s v="CUST0450"/>
    <x v="4"/>
    <s v="Deepika Roy"/>
    <s v="Chennai"/>
    <s v="Tamil Nadu"/>
    <x v="1"/>
    <x v="1"/>
    <s v="Accessories"/>
    <s v="Neha Gupta"/>
    <n v="5"/>
    <n v="1500"/>
    <n v="900"/>
    <n v="0.1"/>
    <n v="6750"/>
    <n v="4500"/>
    <n v="2250"/>
    <x v="3"/>
    <s v="Delivered"/>
  </r>
  <r>
    <s v="ORD0451"/>
    <s v="CUST0451"/>
    <x v="66"/>
    <s v="Meera Shah"/>
    <s v="Bengaluru"/>
    <s v="Karnataka"/>
    <x v="1"/>
    <x v="7"/>
    <s v="Electronics"/>
    <s v="Pooja Das"/>
    <n v="9"/>
    <n v="65000"/>
    <n v="52000"/>
    <n v="0.02"/>
    <n v="573300"/>
    <n v="468000"/>
    <n v="105300"/>
    <x v="0"/>
    <s v="Returned"/>
  </r>
  <r>
    <s v="ORD0452"/>
    <s v="CUST0452"/>
    <x v="335"/>
    <s v="Sneha Nair"/>
    <s v="Kolkata"/>
    <s v="West Bengal"/>
    <x v="3"/>
    <x v="2"/>
    <s v="Electronics"/>
    <s v="Amit Sharma"/>
    <n v="10"/>
    <n v="35000"/>
    <n v="28000"/>
    <n v="0.28000000000000003"/>
    <n v="252000"/>
    <n v="280000"/>
    <n v="-28000"/>
    <x v="1"/>
    <s v="Returned"/>
  </r>
  <r>
    <s v="ORD0453"/>
    <s v="CUST0453"/>
    <x v="277"/>
    <s v="Rohit Verma"/>
    <s v="Mysuru"/>
    <s v="Karnataka"/>
    <x v="1"/>
    <x v="6"/>
    <s v="Accessories"/>
    <s v="Anjali Mehta"/>
    <n v="9"/>
    <n v="3000"/>
    <n v="1800"/>
    <n v="0.27"/>
    <n v="19710"/>
    <n v="16200"/>
    <n v="3510"/>
    <x v="1"/>
    <s v="In Transit"/>
  </r>
  <r>
    <s v="ORD0454"/>
    <s v="CUST0454"/>
    <x v="336"/>
    <s v="Priya Patel"/>
    <s v="Surat"/>
    <s v="Gujarat"/>
    <x v="0"/>
    <x v="2"/>
    <s v="Electronics"/>
    <s v="Karan Singh"/>
    <n v="6"/>
    <n v="35000"/>
    <n v="28000"/>
    <n v="0.08"/>
    <n v="193200"/>
    <n v="168000"/>
    <n v="25200"/>
    <x v="3"/>
    <s v="In Transit"/>
  </r>
  <r>
    <s v="ORD0455"/>
    <s v="CUST0455"/>
    <x v="22"/>
    <s v="Amit Kumar"/>
    <s v="Mysuru"/>
    <s v="Karnataka"/>
    <x v="1"/>
    <x v="0"/>
    <s v="Office"/>
    <s v="Arjun Rao"/>
    <n v="1"/>
    <n v="18000"/>
    <n v="14000"/>
    <n v="0.06"/>
    <n v="16920"/>
    <n v="14000"/>
    <n v="2920"/>
    <x v="0"/>
    <s v="Delivered"/>
  </r>
  <r>
    <s v="ORD0456"/>
    <s v="CUST0456"/>
    <x v="337"/>
    <s v="Aditya Mishra"/>
    <s v="Kolkata"/>
    <s v="West Bengal"/>
    <x v="3"/>
    <x v="4"/>
    <s v="Wearables"/>
    <s v="Pooja Das"/>
    <n v="4"/>
    <n v="12000"/>
    <n v="8500"/>
    <n v="0.26"/>
    <n v="35520"/>
    <n v="34000"/>
    <n v="1520"/>
    <x v="4"/>
    <s v="Cancelled"/>
  </r>
  <r>
    <s v="ORD0457"/>
    <s v="CUST0457"/>
    <x v="251"/>
    <s v="Sneha Nair"/>
    <s v="Mumbai"/>
    <s v="Maharashtra"/>
    <x v="0"/>
    <x v="6"/>
    <s v="Accessories"/>
    <s v="Sneha Patil"/>
    <n v="6"/>
    <n v="3000"/>
    <n v="1800"/>
    <n v="0.16"/>
    <n v="15120"/>
    <n v="10800"/>
    <n v="4320"/>
    <x v="1"/>
    <s v="Cancelled"/>
  </r>
  <r>
    <s v="ORD0458"/>
    <s v="CUST0458"/>
    <x v="338"/>
    <s v="Neha Gupta"/>
    <s v="Hyderabad"/>
    <s v="Telangana"/>
    <x v="1"/>
    <x v="8"/>
    <s v="Office"/>
    <s v="Priya Nair"/>
    <n v="3"/>
    <n v="15000"/>
    <n v="11500"/>
    <n v="0.15"/>
    <n v="38250"/>
    <n v="34500"/>
    <n v="3750"/>
    <x v="1"/>
    <s v="Delivered"/>
  </r>
  <r>
    <s v="ORD0459"/>
    <s v="CUST0459"/>
    <x v="305"/>
    <s v="Priya Patel"/>
    <s v="Kolkata"/>
    <s v="West Bengal"/>
    <x v="3"/>
    <x v="7"/>
    <s v="Electronics"/>
    <s v="Sneha Patil"/>
    <n v="5"/>
    <n v="65000"/>
    <n v="52000"/>
    <n v="0.15"/>
    <n v="276250"/>
    <n v="260000"/>
    <n v="16250"/>
    <x v="4"/>
    <s v="In Transit"/>
  </r>
  <r>
    <s v="ORD0460"/>
    <s v="CUST0460"/>
    <x v="339"/>
    <s v="Sneha Nair"/>
    <s v="Jaipur"/>
    <s v="Rajasthan"/>
    <x v="2"/>
    <x v="7"/>
    <s v="Electronics"/>
    <s v="Pooja Das"/>
    <n v="10"/>
    <n v="65000"/>
    <n v="52000"/>
    <n v="0.03"/>
    <n v="630500"/>
    <n v="520000"/>
    <n v="110500"/>
    <x v="3"/>
    <s v="In Transit"/>
  </r>
  <r>
    <s v="ORD0461"/>
    <s v="CUST0461"/>
    <x v="19"/>
    <s v="Aditya Mishra"/>
    <s v="Ahmedabad"/>
    <s v="Gujarat"/>
    <x v="0"/>
    <x v="9"/>
    <s v="Accessories"/>
    <s v="Neha Gupta"/>
    <n v="2"/>
    <n v="800"/>
    <n v="450"/>
    <n v="0.18"/>
    <n v="1312"/>
    <n v="900"/>
    <n v="412"/>
    <x v="2"/>
    <s v="In Transit"/>
  </r>
  <r>
    <s v="ORD0462"/>
    <s v="CUST0462"/>
    <x v="284"/>
    <s v="Anjali Rao"/>
    <s v="Coimbatore"/>
    <s v="Tamil Nadu"/>
    <x v="1"/>
    <x v="9"/>
    <s v="Accessories"/>
    <s v="Sneha Patil"/>
    <n v="3"/>
    <n v="800"/>
    <n v="450"/>
    <n v="0.04"/>
    <n v="2304"/>
    <n v="1350"/>
    <n v="954"/>
    <x v="3"/>
    <s v="In Transit"/>
  </r>
  <r>
    <s v="ORD0463"/>
    <s v="CUST0463"/>
    <x v="340"/>
    <s v="Priya Patel"/>
    <s v="Surat"/>
    <s v="Gujarat"/>
    <x v="0"/>
    <x v="0"/>
    <s v="Office"/>
    <s v="Amit Sharma"/>
    <n v="6"/>
    <n v="18000"/>
    <n v="14000"/>
    <n v="0.25"/>
    <n v="81000"/>
    <n v="84000"/>
    <n v="-3000"/>
    <x v="4"/>
    <s v="Cancelled"/>
  </r>
  <r>
    <s v="ORD0464"/>
    <s v="CUST0464"/>
    <x v="322"/>
    <s v="Divya Menon"/>
    <s v="Warangal"/>
    <s v="Telangana"/>
    <x v="1"/>
    <x v="4"/>
    <s v="Wearables"/>
    <s v="Neha Gupta"/>
    <n v="10"/>
    <n v="12000"/>
    <n v="8500"/>
    <n v="0.06"/>
    <n v="112800"/>
    <n v="85000"/>
    <n v="27800"/>
    <x v="2"/>
    <s v="Delivered"/>
  </r>
  <r>
    <s v="ORD0465"/>
    <s v="CUST0465"/>
    <x v="341"/>
    <s v="Rahul Sharma"/>
    <s v="Bengaluru"/>
    <s v="Karnataka"/>
    <x v="1"/>
    <x v="6"/>
    <s v="Accessories"/>
    <s v="Anjali Mehta"/>
    <n v="2"/>
    <n v="3000"/>
    <n v="1800"/>
    <n v="0.22"/>
    <n v="4680"/>
    <n v="3600"/>
    <n v="1080"/>
    <x v="4"/>
    <s v="In Transit"/>
  </r>
  <r>
    <s v="ORD0466"/>
    <s v="CUST0466"/>
    <x v="342"/>
    <s v="Suresh Iyer"/>
    <s v="Jaipur"/>
    <s v="Rajasthan"/>
    <x v="2"/>
    <x v="9"/>
    <s v="Accessories"/>
    <s v="Neha Gupta"/>
    <n v="10"/>
    <n v="800"/>
    <n v="450"/>
    <n v="0.26"/>
    <n v="5920"/>
    <n v="4500"/>
    <n v="1420"/>
    <x v="0"/>
    <s v="Delivered"/>
  </r>
  <r>
    <s v="ORD0467"/>
    <s v="CUST0467"/>
    <x v="343"/>
    <s v="Deepika Roy"/>
    <s v="Mysuru"/>
    <s v="Karnataka"/>
    <x v="1"/>
    <x v="8"/>
    <s v="Office"/>
    <s v="Priya Nair"/>
    <n v="1"/>
    <n v="15000"/>
    <n v="11500"/>
    <n v="0.03"/>
    <n v="14550"/>
    <n v="11500"/>
    <n v="3050"/>
    <x v="1"/>
    <s v="Cancelled"/>
  </r>
  <r>
    <s v="ORD0468"/>
    <s v="CUST0468"/>
    <x v="301"/>
    <s v="Suresh Iyer"/>
    <s v="Mysuru"/>
    <s v="Karnataka"/>
    <x v="1"/>
    <x v="1"/>
    <s v="Accessories"/>
    <s v="Rahul Verma"/>
    <n v="3"/>
    <n v="1500"/>
    <n v="900"/>
    <n v="0.24"/>
    <n v="3420"/>
    <n v="2700"/>
    <n v="720"/>
    <x v="4"/>
    <s v="Returned"/>
  </r>
  <r>
    <s v="ORD0469"/>
    <s v="CUST0469"/>
    <x v="332"/>
    <s v="Deepika Roy"/>
    <s v="Surat"/>
    <s v="Gujarat"/>
    <x v="0"/>
    <x v="3"/>
    <s v="Electronics"/>
    <s v="Sneha Patil"/>
    <n v="6"/>
    <n v="25000"/>
    <n v="20000"/>
    <n v="0.18"/>
    <n v="123000.00000000001"/>
    <n v="120000"/>
    <n v="3000.0000000000146"/>
    <x v="3"/>
    <s v="In Transit"/>
  </r>
  <r>
    <s v="ORD0470"/>
    <s v="CUST0470"/>
    <x v="312"/>
    <s v="Rohit Verma"/>
    <s v="New Delhi"/>
    <s v="Delhi"/>
    <x v="2"/>
    <x v="9"/>
    <s v="Accessories"/>
    <s v="Karan Singh"/>
    <n v="7"/>
    <n v="800"/>
    <n v="450"/>
    <n v="0.05"/>
    <n v="5320"/>
    <n v="3150"/>
    <n v="2170"/>
    <x v="3"/>
    <s v="Returned"/>
  </r>
  <r>
    <s v="ORD0471"/>
    <s v="CUST0471"/>
    <x v="344"/>
    <s v="Rohan Kulkarni"/>
    <s v="Bengaluru"/>
    <s v="Karnataka"/>
    <x v="1"/>
    <x v="9"/>
    <s v="Accessories"/>
    <s v="Sneha Patil"/>
    <n v="1"/>
    <n v="800"/>
    <n v="450"/>
    <n v="0.19"/>
    <n v="648"/>
    <n v="450"/>
    <n v="198"/>
    <x v="4"/>
    <s v="Returned"/>
  </r>
  <r>
    <s v="ORD0472"/>
    <s v="CUST0472"/>
    <x v="319"/>
    <s v="Aisha Khan"/>
    <s v="Warangal"/>
    <s v="Telangana"/>
    <x v="1"/>
    <x v="8"/>
    <s v="Office"/>
    <s v="Pooja Das"/>
    <n v="7"/>
    <n v="15000"/>
    <n v="11500"/>
    <n v="0.05"/>
    <n v="99750"/>
    <n v="80500"/>
    <n v="19250"/>
    <x v="0"/>
    <s v="Delivered"/>
  </r>
  <r>
    <s v="ORD0473"/>
    <s v="CUST0473"/>
    <x v="345"/>
    <s v="Neha Gupta"/>
    <s v="New Delhi"/>
    <s v="Delhi"/>
    <x v="2"/>
    <x v="9"/>
    <s v="Accessories"/>
    <s v="Rahul Verma"/>
    <n v="2"/>
    <n v="800"/>
    <n v="450"/>
    <n v="7.0000000000000007E-2"/>
    <n v="1488"/>
    <n v="900"/>
    <n v="588"/>
    <x v="4"/>
    <s v="Cancelled"/>
  </r>
  <r>
    <s v="ORD0474"/>
    <s v="CUST0474"/>
    <x v="341"/>
    <s v="Suresh Iyer"/>
    <s v="Jaipur"/>
    <s v="Rajasthan"/>
    <x v="2"/>
    <x v="3"/>
    <s v="Electronics"/>
    <s v="Neha Gupta"/>
    <n v="7"/>
    <n v="25000"/>
    <n v="20000"/>
    <n v="0.18"/>
    <n v="143500"/>
    <n v="140000"/>
    <n v="3500"/>
    <x v="3"/>
    <s v="Cancelled"/>
  </r>
  <r>
    <s v="ORD0475"/>
    <s v="CUST0475"/>
    <x v="63"/>
    <s v="Aditya Mishra"/>
    <s v="Mysuru"/>
    <s v="Karnataka"/>
    <x v="1"/>
    <x v="9"/>
    <s v="Accessories"/>
    <s v="Sneha Patil"/>
    <n v="7"/>
    <n v="800"/>
    <n v="450"/>
    <n v="0.18"/>
    <n v="4592"/>
    <n v="3150"/>
    <n v="1442"/>
    <x v="3"/>
    <s v="Returned"/>
  </r>
  <r>
    <s v="ORD0476"/>
    <s v="CUST0476"/>
    <x v="291"/>
    <s v="Divya Menon"/>
    <s v="Hyderabad"/>
    <s v="Telangana"/>
    <x v="1"/>
    <x v="1"/>
    <s v="Accessories"/>
    <s v="Arjun Rao"/>
    <n v="7"/>
    <n v="1500"/>
    <n v="900"/>
    <n v="0.09"/>
    <n v="9555"/>
    <n v="6300"/>
    <n v="3255"/>
    <x v="4"/>
    <s v="In Transit"/>
  </r>
  <r>
    <s v="ORD0477"/>
    <s v="CUST0477"/>
    <x v="346"/>
    <s v="Nikhil Jain"/>
    <s v="Pune"/>
    <s v="Maharashtra"/>
    <x v="0"/>
    <x v="3"/>
    <s v="Electronics"/>
    <s v="Sneha Patil"/>
    <n v="1"/>
    <n v="25000"/>
    <n v="20000"/>
    <n v="0.21"/>
    <n v="19750"/>
    <n v="20000"/>
    <n v="-250"/>
    <x v="3"/>
    <s v="Returned"/>
  </r>
  <r>
    <s v="ORD0478"/>
    <s v="CUST0478"/>
    <x v="115"/>
    <s v="Aisha Khan"/>
    <s v="Mumbai"/>
    <s v="Maharashtra"/>
    <x v="0"/>
    <x v="3"/>
    <s v="Electronics"/>
    <s v="Pooja Das"/>
    <n v="5"/>
    <n v="25000"/>
    <n v="20000"/>
    <n v="0.05"/>
    <n v="118750"/>
    <n v="100000"/>
    <n v="18750"/>
    <x v="0"/>
    <s v="In Transit"/>
  </r>
  <r>
    <s v="ORD0479"/>
    <s v="CUST0479"/>
    <x v="347"/>
    <s v="Rahul Sharma"/>
    <s v="Pune"/>
    <s v="Maharashtra"/>
    <x v="0"/>
    <x v="9"/>
    <s v="Accessories"/>
    <s v="Neha Gupta"/>
    <n v="2"/>
    <n v="800"/>
    <n v="450"/>
    <n v="0.13"/>
    <n v="1392"/>
    <n v="900"/>
    <n v="492"/>
    <x v="3"/>
    <s v="Delivered"/>
  </r>
  <r>
    <s v="ORD0480"/>
    <s v="CUST0480"/>
    <x v="275"/>
    <s v="Rahul Sharma"/>
    <s v="Surat"/>
    <s v="Gujarat"/>
    <x v="0"/>
    <x v="6"/>
    <s v="Accessories"/>
    <s v="Pooja Das"/>
    <n v="4"/>
    <n v="3000"/>
    <n v="1800"/>
    <n v="0.02"/>
    <n v="11760"/>
    <n v="7200"/>
    <n v="4560"/>
    <x v="0"/>
    <s v="In Transit"/>
  </r>
  <r>
    <s v="ORD0481"/>
    <s v="CUST0481"/>
    <x v="216"/>
    <s v="Sneha Nair"/>
    <s v="Kolkata"/>
    <s v="West Bengal"/>
    <x v="3"/>
    <x v="7"/>
    <s v="Electronics"/>
    <s v="Rahul Verma"/>
    <n v="9"/>
    <n v="65000"/>
    <n v="52000"/>
    <n v="0.17"/>
    <n v="485550"/>
    <n v="468000"/>
    <n v="17550"/>
    <x v="1"/>
    <s v="Delivered"/>
  </r>
  <r>
    <s v="ORD0482"/>
    <s v="CUST0482"/>
    <x v="348"/>
    <s v="Karan Joshi"/>
    <s v="New Delhi"/>
    <s v="Delhi"/>
    <x v="2"/>
    <x v="5"/>
    <s v="Electronics"/>
    <s v="Neha Gupta"/>
    <n v="7"/>
    <n v="5000"/>
    <n v="3200"/>
    <n v="0.19"/>
    <n v="28350.000000000004"/>
    <n v="22400"/>
    <n v="5950.0000000000036"/>
    <x v="2"/>
    <s v="In Transit"/>
  </r>
  <r>
    <s v="ORD0483"/>
    <s v="CUST0483"/>
    <x v="349"/>
    <s v="Aisha Khan"/>
    <s v="Chennai"/>
    <s v="Tamil Nadu"/>
    <x v="1"/>
    <x v="3"/>
    <s v="Electronics"/>
    <s v="Sneha Patil"/>
    <n v="10"/>
    <n v="25000"/>
    <n v="20000"/>
    <n v="7.0000000000000007E-2"/>
    <n v="232499.99999999997"/>
    <n v="200000"/>
    <n v="32499.999999999971"/>
    <x v="4"/>
    <s v="Delivered"/>
  </r>
  <r>
    <s v="ORD0484"/>
    <s v="CUST0484"/>
    <x v="134"/>
    <s v="Aditya Mishra"/>
    <s v="Jaipur"/>
    <s v="Rajasthan"/>
    <x v="2"/>
    <x v="2"/>
    <s v="Electronics"/>
    <s v="Arjun Rao"/>
    <n v="7"/>
    <n v="35000"/>
    <n v="28000"/>
    <n v="0.12"/>
    <n v="215600"/>
    <n v="196000"/>
    <n v="19600"/>
    <x v="2"/>
    <s v="In Transit"/>
  </r>
  <r>
    <s v="ORD0485"/>
    <s v="CUST0485"/>
    <x v="350"/>
    <s v="Aditya Mishra"/>
    <s v="Coimbatore"/>
    <s v="Tamil Nadu"/>
    <x v="1"/>
    <x v="8"/>
    <s v="Office"/>
    <s v="Vikram Joshi"/>
    <n v="1"/>
    <n v="15000"/>
    <n v="11500"/>
    <n v="0.04"/>
    <n v="14400"/>
    <n v="11500"/>
    <n v="2900"/>
    <x v="4"/>
    <s v="Cancelled"/>
  </r>
  <r>
    <s v="ORD0486"/>
    <s v="CUST0486"/>
    <x v="351"/>
    <s v="Arjun Mehta"/>
    <s v="Coimbatore"/>
    <s v="Tamil Nadu"/>
    <x v="1"/>
    <x v="7"/>
    <s v="Electronics"/>
    <s v="Arjun Rao"/>
    <n v="4"/>
    <n v="65000"/>
    <n v="52000"/>
    <n v="0.11"/>
    <n v="231400"/>
    <n v="208000"/>
    <n v="23400"/>
    <x v="0"/>
    <s v="Cancelled"/>
  </r>
  <r>
    <s v="ORD0487"/>
    <s v="CUST0487"/>
    <x v="20"/>
    <s v="Rohit Verma"/>
    <s v="Mysuru"/>
    <s v="Karnataka"/>
    <x v="1"/>
    <x v="9"/>
    <s v="Accessories"/>
    <s v="Pooja Das"/>
    <n v="3"/>
    <n v="800"/>
    <n v="450"/>
    <n v="0.2"/>
    <n v="1920"/>
    <n v="1350"/>
    <n v="570"/>
    <x v="4"/>
    <s v="Cancelled"/>
  </r>
  <r>
    <s v="ORD0488"/>
    <s v="CUST0488"/>
    <x v="352"/>
    <s v="Arjun Mehta"/>
    <s v="Ahmedabad"/>
    <s v="Gujarat"/>
    <x v="0"/>
    <x v="6"/>
    <s v="Accessories"/>
    <s v="Rahul Verma"/>
    <n v="10"/>
    <n v="3000"/>
    <n v="1800"/>
    <n v="0.22"/>
    <n v="23400"/>
    <n v="18000"/>
    <n v="5400"/>
    <x v="0"/>
    <s v="Delivered"/>
  </r>
  <r>
    <s v="ORD0489"/>
    <s v="CUST0489"/>
    <x v="353"/>
    <s v="Divya Menon"/>
    <s v="Bengaluru"/>
    <s v="Karnataka"/>
    <x v="1"/>
    <x v="9"/>
    <s v="Accessories"/>
    <s v="Rahul Verma"/>
    <n v="9"/>
    <n v="800"/>
    <n v="450"/>
    <n v="0.03"/>
    <n v="6984"/>
    <n v="4050"/>
    <n v="2934"/>
    <x v="2"/>
    <s v="Cancelled"/>
  </r>
  <r>
    <s v="ORD0490"/>
    <s v="CUST0490"/>
    <x v="354"/>
    <s v="Arjun Mehta"/>
    <s v="Chennai"/>
    <s v="Tamil Nadu"/>
    <x v="1"/>
    <x v="9"/>
    <s v="Accessories"/>
    <s v="Vikram Joshi"/>
    <n v="8"/>
    <n v="800"/>
    <n v="450"/>
    <n v="0.25"/>
    <n v="4800"/>
    <n v="3600"/>
    <n v="1200"/>
    <x v="3"/>
    <s v="Delivered"/>
  </r>
  <r>
    <s v="ORD0491"/>
    <s v="CUST0491"/>
    <x v="65"/>
    <s v="Priya Patel"/>
    <s v="Ahmedabad"/>
    <s v="Gujarat"/>
    <x v="0"/>
    <x v="3"/>
    <s v="Electronics"/>
    <s v="Neha Gupta"/>
    <n v="3"/>
    <n v="25000"/>
    <n v="20000"/>
    <n v="0.15"/>
    <n v="63750"/>
    <n v="60000"/>
    <n v="3750"/>
    <x v="0"/>
    <s v="Cancelled"/>
  </r>
  <r>
    <s v="ORD0492"/>
    <s v="CUST0492"/>
    <x v="355"/>
    <s v="Neha Gupta"/>
    <s v="Kolkata"/>
    <s v="West Bengal"/>
    <x v="3"/>
    <x v="2"/>
    <s v="Electronics"/>
    <s v="Anjali Mehta"/>
    <n v="7"/>
    <n v="35000"/>
    <n v="28000"/>
    <n v="0.02"/>
    <n v="240100"/>
    <n v="196000"/>
    <n v="44100"/>
    <x v="1"/>
    <s v="Returned"/>
  </r>
  <r>
    <s v="ORD0493"/>
    <s v="CUST0493"/>
    <x v="356"/>
    <s v="Nikhil Jain"/>
    <s v="Mysuru"/>
    <s v="Karnataka"/>
    <x v="1"/>
    <x v="1"/>
    <s v="Accessories"/>
    <s v="Vikram Joshi"/>
    <n v="1"/>
    <n v="1500"/>
    <n v="900"/>
    <n v="7.0000000000000007E-2"/>
    <n v="1395"/>
    <n v="900"/>
    <n v="495"/>
    <x v="1"/>
    <s v="In Transit"/>
  </r>
  <r>
    <s v="ORD0494"/>
    <s v="CUST0494"/>
    <x v="357"/>
    <s v="Neha Gupta"/>
    <s v="Kolkata"/>
    <s v="West Bengal"/>
    <x v="3"/>
    <x v="2"/>
    <s v="Electronics"/>
    <s v="Pooja Das"/>
    <n v="5"/>
    <n v="35000"/>
    <n v="28000"/>
    <n v="0.21"/>
    <n v="138250"/>
    <n v="140000"/>
    <n v="-1750"/>
    <x v="1"/>
    <s v="In Transit"/>
  </r>
  <r>
    <s v="ORD0495"/>
    <s v="CUST0495"/>
    <x v="358"/>
    <s v="Vikram Singh"/>
    <s v="Ahmedabad"/>
    <s v="Gujarat"/>
    <x v="0"/>
    <x v="8"/>
    <s v="Office"/>
    <s v="Vikram Joshi"/>
    <n v="3"/>
    <n v="15000"/>
    <n v="11500"/>
    <n v="0.17"/>
    <n v="37350"/>
    <n v="34500"/>
    <n v="2850"/>
    <x v="1"/>
    <s v="In Transit"/>
  </r>
  <r>
    <s v="ORD0496"/>
    <s v="CUST0496"/>
    <x v="359"/>
    <s v="Amit Kumar"/>
    <s v="Coimbatore"/>
    <s v="Tamil Nadu"/>
    <x v="1"/>
    <x v="4"/>
    <s v="Wearables"/>
    <s v="Vikram Joshi"/>
    <n v="10"/>
    <n v="12000"/>
    <n v="8500"/>
    <n v="0.19"/>
    <n v="97200"/>
    <n v="85000"/>
    <n v="12200"/>
    <x v="0"/>
    <s v="Returned"/>
  </r>
  <r>
    <s v="ORD0497"/>
    <s v="CUST0497"/>
    <x v="360"/>
    <s v="Anjali Rao"/>
    <s v="Jaipur"/>
    <s v="Rajasthan"/>
    <x v="2"/>
    <x v="7"/>
    <s v="Electronics"/>
    <s v="Pooja Das"/>
    <n v="1"/>
    <n v="65000"/>
    <n v="52000"/>
    <n v="0.23"/>
    <n v="50050"/>
    <n v="52000"/>
    <n v="-1950"/>
    <x v="0"/>
    <s v="Delivered"/>
  </r>
  <r>
    <s v="ORD0498"/>
    <s v="CUST0498"/>
    <x v="229"/>
    <s v="Karan Joshi"/>
    <s v="Pune"/>
    <s v="Maharashtra"/>
    <x v="0"/>
    <x v="9"/>
    <s v="Accessories"/>
    <s v="Vikram Joshi"/>
    <n v="10"/>
    <n v="800"/>
    <n v="450"/>
    <n v="0.04"/>
    <n v="7680"/>
    <n v="4500"/>
    <n v="3180"/>
    <x v="3"/>
    <s v="Cancelled"/>
  </r>
  <r>
    <s v="ORD0499"/>
    <s v="CUST0499"/>
    <x v="21"/>
    <s v="Amit Kumar"/>
    <s v="Kolkata"/>
    <s v="West Bengal"/>
    <x v="3"/>
    <x v="5"/>
    <s v="Electronics"/>
    <s v="Pooja Das"/>
    <n v="1"/>
    <n v="5000"/>
    <n v="3200"/>
    <n v="7.0000000000000007E-2"/>
    <n v="4650"/>
    <n v="3200"/>
    <n v="1450"/>
    <x v="0"/>
    <s v="Returned"/>
  </r>
  <r>
    <s v="ORD0500"/>
    <s v="CUST0500"/>
    <x v="140"/>
    <s v="Deepika Roy"/>
    <s v="Bengaluru"/>
    <s v="Karnataka"/>
    <x v="1"/>
    <x v="4"/>
    <s v="Wearables"/>
    <s v="Vikram Joshi"/>
    <n v="3"/>
    <n v="12000"/>
    <n v="8500"/>
    <n v="0.06"/>
    <n v="33840"/>
    <n v="25500"/>
    <n v="8340"/>
    <x v="0"/>
    <s v="Cancelled"/>
  </r>
  <r>
    <s v="ORD0501"/>
    <s v="CUST0501"/>
    <x v="201"/>
    <s v="Rohan Kulkarni"/>
    <s v="Jaipur"/>
    <s v="Rajasthan"/>
    <x v="2"/>
    <x v="1"/>
    <s v="Accessories"/>
    <s v="Karan Singh"/>
    <n v="2"/>
    <n v="1500"/>
    <n v="900"/>
    <n v="0.01"/>
    <n v="2970"/>
    <n v="1800"/>
    <n v="1170"/>
    <x v="1"/>
    <s v="Delivered"/>
  </r>
  <r>
    <s v="ORD0502"/>
    <s v="CUST0502"/>
    <x v="168"/>
    <s v="Divya Menon"/>
    <s v="Hyderabad"/>
    <s v="Telangana"/>
    <x v="1"/>
    <x v="3"/>
    <s v="Electronics"/>
    <s v="Neha Gupta"/>
    <n v="7"/>
    <n v="25000"/>
    <n v="20000"/>
    <n v="0.06"/>
    <n v="164500"/>
    <n v="140000"/>
    <n v="24500"/>
    <x v="3"/>
    <s v="Delivered"/>
  </r>
  <r>
    <s v="ORD0503"/>
    <s v="CUST0503"/>
    <x v="361"/>
    <s v="Karan Joshi"/>
    <s v="Warangal"/>
    <s v="Telangana"/>
    <x v="1"/>
    <x v="6"/>
    <s v="Accessories"/>
    <s v="Vikram Joshi"/>
    <n v="3"/>
    <n v="3000"/>
    <n v="1800"/>
    <n v="0.21"/>
    <n v="7110"/>
    <n v="5400"/>
    <n v="1710"/>
    <x v="2"/>
    <s v="Delivered"/>
  </r>
  <r>
    <s v="ORD0504"/>
    <s v="CUST0504"/>
    <x v="362"/>
    <s v="Rohit Verma"/>
    <s v="Mumbai"/>
    <s v="Maharashtra"/>
    <x v="0"/>
    <x v="9"/>
    <s v="Accessories"/>
    <s v="Arjun Rao"/>
    <n v="6"/>
    <n v="800"/>
    <n v="450"/>
    <n v="0"/>
    <n v="4800"/>
    <n v="2700"/>
    <n v="2100"/>
    <x v="1"/>
    <s v="Returned"/>
  </r>
  <r>
    <s v="ORD0505"/>
    <s v="CUST0505"/>
    <x v="363"/>
    <s v="Rohan Kulkarni"/>
    <s v="Mumbai"/>
    <s v="Maharashtra"/>
    <x v="0"/>
    <x v="5"/>
    <s v="Electronics"/>
    <s v="Anjali Mehta"/>
    <n v="5"/>
    <n v="5000"/>
    <n v="3200"/>
    <n v="0.28000000000000003"/>
    <n v="18000"/>
    <n v="16000"/>
    <n v="2000"/>
    <x v="4"/>
    <s v="Delivered"/>
  </r>
  <r>
    <s v="ORD0506"/>
    <s v="CUST0506"/>
    <x v="364"/>
    <s v="Kavya Reddy"/>
    <s v="Mysuru"/>
    <s v="Karnataka"/>
    <x v="1"/>
    <x v="6"/>
    <s v="Accessories"/>
    <s v="Anjali Mehta"/>
    <n v="4"/>
    <n v="3000"/>
    <n v="1800"/>
    <n v="0.14000000000000001"/>
    <n v="10320"/>
    <n v="7200"/>
    <n v="3120"/>
    <x v="3"/>
    <s v="In Transit"/>
  </r>
  <r>
    <s v="ORD0507"/>
    <s v="CUST0507"/>
    <x v="361"/>
    <s v="Rohan Kulkarni"/>
    <s v="Hyderabad"/>
    <s v="Telangana"/>
    <x v="1"/>
    <x v="3"/>
    <s v="Electronics"/>
    <s v="Neha Gupta"/>
    <n v="1"/>
    <n v="25000"/>
    <n v="20000"/>
    <n v="0.13"/>
    <n v="21750"/>
    <n v="20000"/>
    <n v="1750"/>
    <x v="4"/>
    <s v="In Transit"/>
  </r>
  <r>
    <s v="ORD0508"/>
    <s v="CUST0508"/>
    <x v="365"/>
    <s v="Anjali Rao"/>
    <s v="Kolkata"/>
    <s v="West Bengal"/>
    <x v="3"/>
    <x v="2"/>
    <s v="Electronics"/>
    <s v="Neha Gupta"/>
    <n v="6"/>
    <n v="35000"/>
    <n v="28000"/>
    <n v="0.25"/>
    <n v="157500"/>
    <n v="168000"/>
    <n v="-10500"/>
    <x v="1"/>
    <s v="Cancelled"/>
  </r>
  <r>
    <s v="ORD0509"/>
    <s v="CUST0509"/>
    <x v="145"/>
    <s v="Amit Kumar"/>
    <s v="Chennai"/>
    <s v="Tamil Nadu"/>
    <x v="1"/>
    <x v="8"/>
    <s v="Office"/>
    <s v="Sneha Patil"/>
    <n v="5"/>
    <n v="15000"/>
    <n v="11500"/>
    <n v="0.26"/>
    <n v="55500"/>
    <n v="57500"/>
    <n v="-2000"/>
    <x v="3"/>
    <s v="Delivered"/>
  </r>
  <r>
    <s v="ORD0510"/>
    <s v="CUST0510"/>
    <x v="366"/>
    <s v="Neha Gupta"/>
    <s v="Bengaluru"/>
    <s v="Karnataka"/>
    <x v="1"/>
    <x v="5"/>
    <s v="Electronics"/>
    <s v="Vikram Joshi"/>
    <n v="7"/>
    <n v="5000"/>
    <n v="3200"/>
    <n v="0.02"/>
    <n v="34300"/>
    <n v="22400"/>
    <n v="11900"/>
    <x v="3"/>
    <s v="Delivered"/>
  </r>
  <r>
    <s v="ORD0511"/>
    <s v="CUST0511"/>
    <x v="367"/>
    <s v="Karan Joshi"/>
    <s v="Chennai"/>
    <s v="Tamil Nadu"/>
    <x v="1"/>
    <x v="2"/>
    <s v="Electronics"/>
    <s v="Neha Gupta"/>
    <n v="2"/>
    <n v="35000"/>
    <n v="28000"/>
    <n v="0.3"/>
    <n v="49000"/>
    <n v="56000"/>
    <n v="-7000"/>
    <x v="1"/>
    <s v="Delivered"/>
  </r>
  <r>
    <s v="ORD0512"/>
    <s v="CUST0512"/>
    <x v="350"/>
    <s v="Aditya Mishra"/>
    <s v="Mumbai"/>
    <s v="Maharashtra"/>
    <x v="0"/>
    <x v="8"/>
    <s v="Office"/>
    <s v="Anjali Mehta"/>
    <n v="1"/>
    <n v="15000"/>
    <n v="11500"/>
    <n v="0.27"/>
    <n v="10950"/>
    <n v="11500"/>
    <n v="-550"/>
    <x v="4"/>
    <s v="In Transit"/>
  </r>
  <r>
    <s v="ORD0513"/>
    <s v="CUST0513"/>
    <x v="368"/>
    <s v="Neha Gupta"/>
    <s v="Mumbai"/>
    <s v="Maharashtra"/>
    <x v="0"/>
    <x v="2"/>
    <s v="Electronics"/>
    <s v="Neha Gupta"/>
    <n v="10"/>
    <n v="35000"/>
    <n v="28000"/>
    <n v="0.18"/>
    <n v="287000"/>
    <n v="280000"/>
    <n v="7000"/>
    <x v="1"/>
    <s v="Returned"/>
  </r>
  <r>
    <s v="ORD0514"/>
    <s v="CUST0514"/>
    <x v="358"/>
    <s v="Neha Gupta"/>
    <s v="New Delhi"/>
    <s v="Delhi"/>
    <x v="2"/>
    <x v="9"/>
    <s v="Accessories"/>
    <s v="Neha Gupta"/>
    <n v="5"/>
    <n v="800"/>
    <n v="450"/>
    <n v="0.12"/>
    <n v="3520"/>
    <n v="2250"/>
    <n v="1270"/>
    <x v="3"/>
    <s v="Cancelled"/>
  </r>
  <r>
    <s v="ORD0515"/>
    <s v="CUST0515"/>
    <x v="369"/>
    <s v="Amit Kumar"/>
    <s v="Coimbatore"/>
    <s v="Tamil Nadu"/>
    <x v="1"/>
    <x v="3"/>
    <s v="Electronics"/>
    <s v="Sneha Patil"/>
    <n v="9"/>
    <n v="25000"/>
    <n v="20000"/>
    <n v="0.17"/>
    <n v="186750"/>
    <n v="180000"/>
    <n v="6750"/>
    <x v="2"/>
    <s v="In Transit"/>
  </r>
  <r>
    <s v="ORD0516"/>
    <s v="CUST0516"/>
    <x v="370"/>
    <s v="Vikram Singh"/>
    <s v="Pune"/>
    <s v="Maharashtra"/>
    <x v="0"/>
    <x v="0"/>
    <s v="Office"/>
    <s v="Vikram Joshi"/>
    <n v="2"/>
    <n v="18000"/>
    <n v="14000"/>
    <n v="0.23"/>
    <n v="27720"/>
    <n v="28000"/>
    <n v="-280"/>
    <x v="4"/>
    <s v="Returned"/>
  </r>
  <r>
    <s v="ORD0517"/>
    <s v="CUST0517"/>
    <x v="218"/>
    <s v="Deepika Roy"/>
    <s v="Kolkata"/>
    <s v="West Bengal"/>
    <x v="3"/>
    <x v="4"/>
    <s v="Wearables"/>
    <s v="Neha Gupta"/>
    <n v="3"/>
    <n v="12000"/>
    <n v="8500"/>
    <n v="0.25"/>
    <n v="27000"/>
    <n v="25500"/>
    <n v="1500"/>
    <x v="2"/>
    <s v="Delivered"/>
  </r>
  <r>
    <s v="ORD0518"/>
    <s v="CUST0518"/>
    <x v="50"/>
    <s v="Neha Gupta"/>
    <s v="Hyderabad"/>
    <s v="Telangana"/>
    <x v="1"/>
    <x v="6"/>
    <s v="Accessories"/>
    <s v="Karan Singh"/>
    <n v="8"/>
    <n v="3000"/>
    <n v="1800"/>
    <n v="0.12"/>
    <n v="21120"/>
    <n v="14400"/>
    <n v="6720"/>
    <x v="0"/>
    <s v="In Transit"/>
  </r>
  <r>
    <s v="ORD0519"/>
    <s v="CUST0519"/>
    <x v="371"/>
    <s v="Neha Gupta"/>
    <s v="Mysuru"/>
    <s v="Karnataka"/>
    <x v="1"/>
    <x v="7"/>
    <s v="Electronics"/>
    <s v="Neha Gupta"/>
    <n v="1"/>
    <n v="65000"/>
    <n v="52000"/>
    <n v="0.17"/>
    <n v="53950"/>
    <n v="52000"/>
    <n v="1950"/>
    <x v="1"/>
    <s v="Returned"/>
  </r>
  <r>
    <s v="ORD0520"/>
    <s v="CUST0520"/>
    <x v="220"/>
    <s v="Neha Gupta"/>
    <s v="Mysuru"/>
    <s v="Karnataka"/>
    <x v="1"/>
    <x v="3"/>
    <s v="Electronics"/>
    <s v="Karan Singh"/>
    <n v="2"/>
    <n v="25000"/>
    <n v="20000"/>
    <n v="0.22"/>
    <n v="39000"/>
    <n v="40000"/>
    <n v="-1000"/>
    <x v="1"/>
    <s v="In Transit"/>
  </r>
  <r>
    <s v="ORD0521"/>
    <s v="CUST0521"/>
    <x v="372"/>
    <s v="Kavya Reddy"/>
    <s v="Ahmedabad"/>
    <s v="Gujarat"/>
    <x v="0"/>
    <x v="0"/>
    <s v="Office"/>
    <s v="Anjali Mehta"/>
    <n v="3"/>
    <n v="18000"/>
    <n v="14000"/>
    <n v="0.11"/>
    <n v="48060"/>
    <n v="42000"/>
    <n v="6060"/>
    <x v="1"/>
    <s v="Returned"/>
  </r>
  <r>
    <s v="ORD0522"/>
    <s v="CUST0522"/>
    <x v="367"/>
    <s v="Karan Joshi"/>
    <s v="Warangal"/>
    <s v="Telangana"/>
    <x v="1"/>
    <x v="8"/>
    <s v="Office"/>
    <s v="Neha Gupta"/>
    <n v="5"/>
    <n v="15000"/>
    <n v="11500"/>
    <n v="0.11"/>
    <n v="66750"/>
    <n v="57500"/>
    <n v="9250"/>
    <x v="4"/>
    <s v="Returned"/>
  </r>
  <r>
    <s v="ORD0523"/>
    <s v="CUST0523"/>
    <x v="373"/>
    <s v="Rohan Kulkarni"/>
    <s v="Surat"/>
    <s v="Gujarat"/>
    <x v="0"/>
    <x v="8"/>
    <s v="Office"/>
    <s v="Neha Gupta"/>
    <n v="2"/>
    <n v="15000"/>
    <n v="11500"/>
    <n v="0"/>
    <n v="30000"/>
    <n v="23000"/>
    <n v="7000"/>
    <x v="3"/>
    <s v="Cancelled"/>
  </r>
  <r>
    <s v="ORD0524"/>
    <s v="CUST0524"/>
    <x v="169"/>
    <s v="Arjun Mehta"/>
    <s v="Kolkata"/>
    <s v="West Bengal"/>
    <x v="3"/>
    <x v="3"/>
    <s v="Electronics"/>
    <s v="Priya Nair"/>
    <n v="9"/>
    <n v="25000"/>
    <n v="20000"/>
    <n v="0.06"/>
    <n v="211500"/>
    <n v="180000"/>
    <n v="31500"/>
    <x v="2"/>
    <s v="Returned"/>
  </r>
  <r>
    <s v="ORD0525"/>
    <s v="CUST0525"/>
    <x v="294"/>
    <s v="Suresh Iyer"/>
    <s v="Kolkata"/>
    <s v="West Bengal"/>
    <x v="3"/>
    <x v="6"/>
    <s v="Accessories"/>
    <s v="Rahul Verma"/>
    <n v="1"/>
    <n v="3000"/>
    <n v="1800"/>
    <n v="0.04"/>
    <n v="2880"/>
    <n v="1800"/>
    <n v="1080"/>
    <x v="2"/>
    <s v="Returned"/>
  </r>
  <r>
    <s v="ORD0526"/>
    <s v="CUST0526"/>
    <x v="175"/>
    <s v="Kavya Reddy"/>
    <s v="Chennai"/>
    <s v="Tamil Nadu"/>
    <x v="1"/>
    <x v="6"/>
    <s v="Accessories"/>
    <s v="Sneha Patil"/>
    <n v="3"/>
    <n v="3000"/>
    <n v="1800"/>
    <n v="0.08"/>
    <n v="8280"/>
    <n v="5400"/>
    <n v="2880"/>
    <x v="1"/>
    <s v="Cancelled"/>
  </r>
  <r>
    <s v="ORD0527"/>
    <s v="CUST0527"/>
    <x v="374"/>
    <s v="Arjun Mehta"/>
    <s v="Hyderabad"/>
    <s v="Telangana"/>
    <x v="1"/>
    <x v="5"/>
    <s v="Electronics"/>
    <s v="Priya Nair"/>
    <n v="9"/>
    <n v="5000"/>
    <n v="3200"/>
    <n v="0.02"/>
    <n v="44100"/>
    <n v="28800"/>
    <n v="15300"/>
    <x v="2"/>
    <s v="Returned"/>
  </r>
  <r>
    <s v="ORD0528"/>
    <s v="CUST0528"/>
    <x v="375"/>
    <s v="Pooja Das"/>
    <s v="Hyderabad"/>
    <s v="Telangana"/>
    <x v="1"/>
    <x v="1"/>
    <s v="Accessories"/>
    <s v="Anjali Mehta"/>
    <n v="8"/>
    <n v="1500"/>
    <n v="900"/>
    <n v="0.21"/>
    <n v="9480"/>
    <n v="7200"/>
    <n v="2280"/>
    <x v="2"/>
    <s v="Returned"/>
  </r>
  <r>
    <s v="ORD0529"/>
    <s v="CUST0529"/>
    <x v="376"/>
    <s v="Sneha Nair"/>
    <s v="Mysuru"/>
    <s v="Karnataka"/>
    <x v="1"/>
    <x v="8"/>
    <s v="Office"/>
    <s v="Anjali Mehta"/>
    <n v="10"/>
    <n v="15000"/>
    <n v="11500"/>
    <n v="0.13"/>
    <n v="130500"/>
    <n v="115000"/>
    <n v="15500"/>
    <x v="2"/>
    <s v="In Transit"/>
  </r>
  <r>
    <s v="ORD0530"/>
    <s v="CUST0530"/>
    <x v="163"/>
    <s v="Rahul Sharma"/>
    <s v="Warangal"/>
    <s v="Telangana"/>
    <x v="1"/>
    <x v="9"/>
    <s v="Accessories"/>
    <s v="Vikram Joshi"/>
    <n v="3"/>
    <n v="800"/>
    <n v="450"/>
    <n v="0.16"/>
    <n v="2016"/>
    <n v="1350"/>
    <n v="666"/>
    <x v="1"/>
    <s v="Cancelled"/>
  </r>
  <r>
    <s v="ORD0531"/>
    <s v="CUST0531"/>
    <x v="246"/>
    <s v="Rahul Sharma"/>
    <s v="Warangal"/>
    <s v="Telangana"/>
    <x v="1"/>
    <x v="1"/>
    <s v="Accessories"/>
    <s v="Amit Sharma"/>
    <n v="4"/>
    <n v="1500"/>
    <n v="900"/>
    <n v="0.27"/>
    <n v="4380"/>
    <n v="3600"/>
    <n v="780"/>
    <x v="2"/>
    <s v="Returned"/>
  </r>
  <r>
    <s v="ORD0532"/>
    <s v="CUST0532"/>
    <x v="377"/>
    <s v="Rahul Sharma"/>
    <s v="New Delhi"/>
    <s v="Delhi"/>
    <x v="2"/>
    <x v="1"/>
    <s v="Accessories"/>
    <s v="Rahul Verma"/>
    <n v="9"/>
    <n v="1500"/>
    <n v="900"/>
    <n v="0.05"/>
    <n v="12825"/>
    <n v="8100"/>
    <n v="4725"/>
    <x v="3"/>
    <s v="In Transit"/>
  </r>
  <r>
    <s v="ORD0533"/>
    <s v="CUST0533"/>
    <x v="156"/>
    <s v="Aditya Mishra"/>
    <s v="Ahmedabad"/>
    <s v="Gujarat"/>
    <x v="0"/>
    <x v="4"/>
    <s v="Wearables"/>
    <s v="Pooja Das"/>
    <n v="8"/>
    <n v="12000"/>
    <n v="8500"/>
    <n v="0.05"/>
    <n v="91200"/>
    <n v="68000"/>
    <n v="23200"/>
    <x v="3"/>
    <s v="Returned"/>
  </r>
  <r>
    <s v="ORD0534"/>
    <s v="CUST0534"/>
    <x v="378"/>
    <s v="Anjali Rao"/>
    <s v="Bengaluru"/>
    <s v="Karnataka"/>
    <x v="1"/>
    <x v="9"/>
    <s v="Accessories"/>
    <s v="Karan Singh"/>
    <n v="5"/>
    <n v="800"/>
    <n v="450"/>
    <n v="0.04"/>
    <n v="3840"/>
    <n v="2250"/>
    <n v="1590"/>
    <x v="4"/>
    <s v="Delivered"/>
  </r>
  <r>
    <s v="ORD0535"/>
    <s v="CUST0535"/>
    <x v="241"/>
    <s v="Karan Joshi"/>
    <s v="Surat"/>
    <s v="Gujarat"/>
    <x v="0"/>
    <x v="4"/>
    <s v="Wearables"/>
    <s v="Neha Gupta"/>
    <n v="5"/>
    <n v="12000"/>
    <n v="8500"/>
    <n v="0.19"/>
    <n v="48600"/>
    <n v="42500"/>
    <n v="6100"/>
    <x v="2"/>
    <s v="In Transit"/>
  </r>
  <r>
    <s v="ORD0536"/>
    <s v="CUST0536"/>
    <x v="289"/>
    <s v="Rahul Sharma"/>
    <s v="Ahmedabad"/>
    <s v="Gujarat"/>
    <x v="0"/>
    <x v="3"/>
    <s v="Electronics"/>
    <s v="Karan Singh"/>
    <n v="2"/>
    <n v="25000"/>
    <n v="20000"/>
    <n v="0.27"/>
    <n v="36500"/>
    <n v="40000"/>
    <n v="-3500"/>
    <x v="0"/>
    <s v="Delivered"/>
  </r>
  <r>
    <s v="ORD0537"/>
    <s v="CUST0537"/>
    <x v="171"/>
    <s v="Sneha Nair"/>
    <s v="Warangal"/>
    <s v="Telangana"/>
    <x v="1"/>
    <x v="8"/>
    <s v="Office"/>
    <s v="Neha Gupta"/>
    <n v="7"/>
    <n v="15000"/>
    <n v="11500"/>
    <n v="0.23"/>
    <n v="80850"/>
    <n v="80500"/>
    <n v="350"/>
    <x v="4"/>
    <s v="Returned"/>
  </r>
  <r>
    <s v="ORD0538"/>
    <s v="CUST0538"/>
    <x v="0"/>
    <s v="Vikram Singh"/>
    <s v="Warangal"/>
    <s v="Telangana"/>
    <x v="1"/>
    <x v="8"/>
    <s v="Office"/>
    <s v="Rahul Verma"/>
    <n v="9"/>
    <n v="15000"/>
    <n v="11500"/>
    <n v="0.28999999999999998"/>
    <n v="95850"/>
    <n v="103500"/>
    <n v="-7650"/>
    <x v="2"/>
    <s v="In Transit"/>
  </r>
  <r>
    <s v="ORD0539"/>
    <s v="CUST0539"/>
    <x v="295"/>
    <s v="Meera Shah"/>
    <s v="New Delhi"/>
    <s v="Delhi"/>
    <x v="2"/>
    <x v="8"/>
    <s v="Office"/>
    <s v="Pooja Das"/>
    <n v="2"/>
    <n v="15000"/>
    <n v="11500"/>
    <n v="0.22"/>
    <n v="23400"/>
    <n v="23000"/>
    <n v="400"/>
    <x v="2"/>
    <s v="Returned"/>
  </r>
  <r>
    <s v="ORD0540"/>
    <s v="CUST0540"/>
    <x v="54"/>
    <s v="Aisha Khan"/>
    <s v="Chennai"/>
    <s v="Tamil Nadu"/>
    <x v="1"/>
    <x v="6"/>
    <s v="Accessories"/>
    <s v="Neha Gupta"/>
    <n v="7"/>
    <n v="3000"/>
    <n v="1800"/>
    <n v="0.28000000000000003"/>
    <n v="15120"/>
    <n v="12600"/>
    <n v="2520"/>
    <x v="2"/>
    <s v="Returned"/>
  </r>
  <r>
    <s v="ORD0541"/>
    <s v="CUST0541"/>
    <x v="273"/>
    <s v="Sneha Nair"/>
    <s v="Surat"/>
    <s v="Gujarat"/>
    <x v="0"/>
    <x v="1"/>
    <s v="Accessories"/>
    <s v="Priya Nair"/>
    <n v="5"/>
    <n v="1500"/>
    <n v="900"/>
    <n v="0.04"/>
    <n v="7200"/>
    <n v="4500"/>
    <n v="2700"/>
    <x v="4"/>
    <s v="Returned"/>
  </r>
  <r>
    <s v="ORD0542"/>
    <s v="CUST0542"/>
    <x v="46"/>
    <s v="Pooja Das"/>
    <s v="Jaipur"/>
    <s v="Rajasthan"/>
    <x v="2"/>
    <x v="8"/>
    <s v="Office"/>
    <s v="Arjun Rao"/>
    <n v="3"/>
    <n v="15000"/>
    <n v="11500"/>
    <n v="0.14000000000000001"/>
    <n v="38700"/>
    <n v="34500"/>
    <n v="4200"/>
    <x v="1"/>
    <s v="Delivered"/>
  </r>
  <r>
    <s v="ORD0543"/>
    <s v="CUST0543"/>
    <x v="236"/>
    <s v="Rohit Verma"/>
    <s v="Hyderabad"/>
    <s v="Telangana"/>
    <x v="1"/>
    <x v="6"/>
    <s v="Accessories"/>
    <s v="Arjun Rao"/>
    <n v="2"/>
    <n v="3000"/>
    <n v="1800"/>
    <n v="0.2"/>
    <n v="4800"/>
    <n v="3600"/>
    <n v="1200"/>
    <x v="0"/>
    <s v="In Transit"/>
  </r>
  <r>
    <s v="ORD0544"/>
    <s v="CUST0544"/>
    <x v="312"/>
    <s v="Amit Kumar"/>
    <s v="Warangal"/>
    <s v="Telangana"/>
    <x v="1"/>
    <x v="4"/>
    <s v="Wearables"/>
    <s v="Amit Sharma"/>
    <n v="3"/>
    <n v="12000"/>
    <n v="8500"/>
    <n v="0.21"/>
    <n v="28440"/>
    <n v="25500"/>
    <n v="2940"/>
    <x v="1"/>
    <s v="Cancelled"/>
  </r>
  <r>
    <s v="ORD0545"/>
    <s v="CUST0545"/>
    <x v="268"/>
    <s v="Aisha Khan"/>
    <s v="Surat"/>
    <s v="Gujarat"/>
    <x v="0"/>
    <x v="8"/>
    <s v="Office"/>
    <s v="Anjali Mehta"/>
    <n v="1"/>
    <n v="15000"/>
    <n v="11500"/>
    <n v="0.3"/>
    <n v="10500"/>
    <n v="11500"/>
    <n v="-1000"/>
    <x v="3"/>
    <s v="Delivered"/>
  </r>
  <r>
    <s v="ORD0546"/>
    <s v="CUST0546"/>
    <x v="379"/>
    <s v="Suresh Iyer"/>
    <s v="Pune"/>
    <s v="Maharashtra"/>
    <x v="0"/>
    <x v="3"/>
    <s v="Electronics"/>
    <s v="Pooja Das"/>
    <n v="10"/>
    <n v="25000"/>
    <n v="20000"/>
    <n v="0.15"/>
    <n v="212500"/>
    <n v="200000"/>
    <n v="12500"/>
    <x v="1"/>
    <s v="Delivered"/>
  </r>
  <r>
    <s v="ORD0547"/>
    <s v="CUST0547"/>
    <x v="380"/>
    <s v="Amit Kumar"/>
    <s v="Jaipur"/>
    <s v="Rajasthan"/>
    <x v="2"/>
    <x v="7"/>
    <s v="Electronics"/>
    <s v="Amit Sharma"/>
    <n v="7"/>
    <n v="65000"/>
    <n v="52000"/>
    <n v="0.02"/>
    <n v="445900"/>
    <n v="364000"/>
    <n v="81900"/>
    <x v="1"/>
    <s v="Delivered"/>
  </r>
  <r>
    <s v="ORD0548"/>
    <s v="CUST0548"/>
    <x v="381"/>
    <s v="Meera Shah"/>
    <s v="Pune"/>
    <s v="Maharashtra"/>
    <x v="0"/>
    <x v="7"/>
    <s v="Electronics"/>
    <s v="Rahul Verma"/>
    <n v="2"/>
    <n v="65000"/>
    <n v="52000"/>
    <n v="0.02"/>
    <n v="127400"/>
    <n v="104000"/>
    <n v="23400"/>
    <x v="0"/>
    <s v="Delivered"/>
  </r>
  <r>
    <s v="ORD0549"/>
    <s v="CUST0549"/>
    <x v="382"/>
    <s v="Divya Menon"/>
    <s v="Coimbatore"/>
    <s v="Tamil Nadu"/>
    <x v="1"/>
    <x v="1"/>
    <s v="Accessories"/>
    <s v="Karan Singh"/>
    <n v="7"/>
    <n v="1500"/>
    <n v="900"/>
    <n v="0.22"/>
    <n v="8190"/>
    <n v="6300"/>
    <n v="1890"/>
    <x v="0"/>
    <s v="Returned"/>
  </r>
  <r>
    <s v="ORD0550"/>
    <s v="CUST0550"/>
    <x v="383"/>
    <s v="Rahul Sharma"/>
    <s v="New Delhi"/>
    <s v="Delhi"/>
    <x v="2"/>
    <x v="6"/>
    <s v="Accessories"/>
    <s v="Rahul Verma"/>
    <n v="2"/>
    <n v="3000"/>
    <n v="1800"/>
    <n v="0.13"/>
    <n v="5220"/>
    <n v="3600"/>
    <n v="1620"/>
    <x v="2"/>
    <s v="Delivered"/>
  </r>
  <r>
    <s v="ORD0551"/>
    <s v="CUST0551"/>
    <x v="384"/>
    <s v="Kavya Reddy"/>
    <s v="Ahmedabad"/>
    <s v="Gujarat"/>
    <x v="0"/>
    <x v="1"/>
    <s v="Accessories"/>
    <s v="Neha Gupta"/>
    <n v="2"/>
    <n v="1500"/>
    <n v="900"/>
    <n v="0.09"/>
    <n v="2730"/>
    <n v="1800"/>
    <n v="930"/>
    <x v="4"/>
    <s v="Cancelled"/>
  </r>
  <r>
    <s v="ORD0552"/>
    <s v="CUST0552"/>
    <x v="385"/>
    <s v="Neha Gupta"/>
    <s v="Surat"/>
    <s v="Gujarat"/>
    <x v="0"/>
    <x v="2"/>
    <s v="Electronics"/>
    <s v="Sneha Patil"/>
    <n v="6"/>
    <n v="35000"/>
    <n v="28000"/>
    <n v="0.08"/>
    <n v="193200"/>
    <n v="168000"/>
    <n v="25200"/>
    <x v="4"/>
    <s v="In Transit"/>
  </r>
  <r>
    <s v="ORD0553"/>
    <s v="CUST0553"/>
    <x v="229"/>
    <s v="Priya Patel"/>
    <s v="Coimbatore"/>
    <s v="Tamil Nadu"/>
    <x v="1"/>
    <x v="7"/>
    <s v="Electronics"/>
    <s v="Arjun Rao"/>
    <n v="1"/>
    <n v="65000"/>
    <n v="52000"/>
    <n v="0.28000000000000003"/>
    <n v="46800"/>
    <n v="52000"/>
    <n v="-5200"/>
    <x v="3"/>
    <s v="Delivered"/>
  </r>
  <r>
    <s v="ORD0554"/>
    <s v="CUST0554"/>
    <x v="130"/>
    <s v="Pooja Das"/>
    <s v="Kolkata"/>
    <s v="West Bengal"/>
    <x v="3"/>
    <x v="8"/>
    <s v="Office"/>
    <s v="Vikram Joshi"/>
    <n v="9"/>
    <n v="15000"/>
    <n v="11500"/>
    <n v="0.3"/>
    <n v="94500"/>
    <n v="103500"/>
    <n v="-9000"/>
    <x v="3"/>
    <s v="Returned"/>
  </r>
  <r>
    <s v="ORD0555"/>
    <s v="CUST0555"/>
    <x v="186"/>
    <s v="Priya Patel"/>
    <s v="Ahmedabad"/>
    <s v="Gujarat"/>
    <x v="0"/>
    <x v="7"/>
    <s v="Electronics"/>
    <s v="Pooja Das"/>
    <n v="7"/>
    <n v="65000"/>
    <n v="52000"/>
    <n v="0.12"/>
    <n v="400400"/>
    <n v="364000"/>
    <n v="36400"/>
    <x v="1"/>
    <s v="In Transit"/>
  </r>
  <r>
    <s v="ORD0556"/>
    <s v="CUST0556"/>
    <x v="386"/>
    <s v="Rohit Verma"/>
    <s v="New Delhi"/>
    <s v="Delhi"/>
    <x v="2"/>
    <x v="3"/>
    <s v="Electronics"/>
    <s v="Anjali Mehta"/>
    <n v="6"/>
    <n v="25000"/>
    <n v="20000"/>
    <n v="0.28000000000000003"/>
    <n v="108000"/>
    <n v="120000"/>
    <n v="-12000"/>
    <x v="0"/>
    <s v="Returned"/>
  </r>
  <r>
    <s v="ORD0557"/>
    <s v="CUST0557"/>
    <x v="387"/>
    <s v="Deepika Roy"/>
    <s v="Mumbai"/>
    <s v="Maharashtra"/>
    <x v="0"/>
    <x v="5"/>
    <s v="Electronics"/>
    <s v="Arjun Rao"/>
    <n v="4"/>
    <n v="5000"/>
    <n v="3200"/>
    <n v="0.15"/>
    <n v="17000"/>
    <n v="12800"/>
    <n v="4200"/>
    <x v="2"/>
    <s v="Returned"/>
  </r>
  <r>
    <s v="ORD0558"/>
    <s v="CUST0558"/>
    <x v="388"/>
    <s v="Neha Gupta"/>
    <s v="New Delhi"/>
    <s v="Delhi"/>
    <x v="2"/>
    <x v="8"/>
    <s v="Office"/>
    <s v="Neha Gupta"/>
    <n v="1"/>
    <n v="15000"/>
    <n v="11500"/>
    <n v="7.0000000000000007E-2"/>
    <n v="13949.999999999998"/>
    <n v="11500"/>
    <n v="2449.9999999999982"/>
    <x v="3"/>
    <s v="Returned"/>
  </r>
  <r>
    <s v="ORD0559"/>
    <s v="CUST0559"/>
    <x v="245"/>
    <s v="Pooja Das"/>
    <s v="Jaipur"/>
    <s v="Rajasthan"/>
    <x v="2"/>
    <x v="8"/>
    <s v="Office"/>
    <s v="Neha Gupta"/>
    <n v="4"/>
    <n v="15000"/>
    <n v="11500"/>
    <n v="0.18"/>
    <n v="49200.000000000007"/>
    <n v="46000"/>
    <n v="3200.0000000000073"/>
    <x v="2"/>
    <s v="Cancelled"/>
  </r>
  <r>
    <s v="ORD0560"/>
    <s v="CUST0560"/>
    <x v="140"/>
    <s v="Vikram Singh"/>
    <s v="Jaipur"/>
    <s v="Rajasthan"/>
    <x v="2"/>
    <x v="1"/>
    <s v="Accessories"/>
    <s v="Amit Sharma"/>
    <n v="10"/>
    <n v="1500"/>
    <n v="900"/>
    <n v="0.26"/>
    <n v="11100"/>
    <n v="9000"/>
    <n v="2100"/>
    <x v="3"/>
    <s v="Returned"/>
  </r>
  <r>
    <s v="ORD0561"/>
    <s v="CUST0561"/>
    <x v="389"/>
    <s v="Divya Menon"/>
    <s v="New Delhi"/>
    <s v="Delhi"/>
    <x v="2"/>
    <x v="0"/>
    <s v="Office"/>
    <s v="Karan Singh"/>
    <n v="6"/>
    <n v="18000"/>
    <n v="14000"/>
    <n v="0.21"/>
    <n v="85320"/>
    <n v="84000"/>
    <n v="1320"/>
    <x v="2"/>
    <s v="Delivered"/>
  </r>
  <r>
    <s v="ORD0562"/>
    <s v="CUST0562"/>
    <x v="258"/>
    <s v="Karan Joshi"/>
    <s v="Jaipur"/>
    <s v="Rajasthan"/>
    <x v="2"/>
    <x v="3"/>
    <s v="Electronics"/>
    <s v="Amit Sharma"/>
    <n v="7"/>
    <n v="25000"/>
    <n v="20000"/>
    <n v="0"/>
    <n v="175000"/>
    <n v="140000"/>
    <n v="35000"/>
    <x v="2"/>
    <s v="Delivered"/>
  </r>
  <r>
    <s v="ORD0563"/>
    <s v="CUST0563"/>
    <x v="322"/>
    <s v="Deepika Roy"/>
    <s v="Coimbatore"/>
    <s v="Tamil Nadu"/>
    <x v="1"/>
    <x v="7"/>
    <s v="Electronics"/>
    <s v="Rahul Verma"/>
    <n v="1"/>
    <n v="65000"/>
    <n v="52000"/>
    <n v="0.17"/>
    <n v="53950"/>
    <n v="52000"/>
    <n v="1950"/>
    <x v="0"/>
    <s v="In Transit"/>
  </r>
  <r>
    <s v="ORD0564"/>
    <s v="CUST0564"/>
    <x v="15"/>
    <s v="Sneha Nair"/>
    <s v="Bengaluru"/>
    <s v="Karnataka"/>
    <x v="1"/>
    <x v="5"/>
    <s v="Electronics"/>
    <s v="Sneha Patil"/>
    <n v="10"/>
    <n v="5000"/>
    <n v="3200"/>
    <n v="0.24"/>
    <n v="38000"/>
    <n v="32000"/>
    <n v="6000"/>
    <x v="0"/>
    <s v="Cancelled"/>
  </r>
  <r>
    <s v="ORD0565"/>
    <s v="CUST0565"/>
    <x v="390"/>
    <s v="Karan Joshi"/>
    <s v="Mumbai"/>
    <s v="Maharashtra"/>
    <x v="0"/>
    <x v="2"/>
    <s v="Electronics"/>
    <s v="Sneha Patil"/>
    <n v="7"/>
    <n v="35000"/>
    <n v="28000"/>
    <n v="0.05"/>
    <n v="232750"/>
    <n v="196000"/>
    <n v="36750"/>
    <x v="0"/>
    <s v="Delivered"/>
  </r>
  <r>
    <s v="ORD0566"/>
    <s v="CUST0566"/>
    <x v="24"/>
    <s v="Aditya Mishra"/>
    <s v="Surat"/>
    <s v="Gujarat"/>
    <x v="0"/>
    <x v="7"/>
    <s v="Electronics"/>
    <s v="Priya Nair"/>
    <n v="9"/>
    <n v="65000"/>
    <n v="52000"/>
    <n v="0.19"/>
    <n v="473850.00000000006"/>
    <n v="468000"/>
    <n v="5850.0000000000582"/>
    <x v="4"/>
    <s v="Returned"/>
  </r>
  <r>
    <s v="ORD0567"/>
    <s v="CUST0567"/>
    <x v="146"/>
    <s v="Neha Gupta"/>
    <s v="Ahmedabad"/>
    <s v="Gujarat"/>
    <x v="0"/>
    <x v="0"/>
    <s v="Office"/>
    <s v="Amit Sharma"/>
    <n v="8"/>
    <n v="18000"/>
    <n v="14000"/>
    <n v="0.01"/>
    <n v="142560"/>
    <n v="112000"/>
    <n v="30560"/>
    <x v="4"/>
    <s v="Returned"/>
  </r>
  <r>
    <s v="ORD0568"/>
    <s v="CUST0568"/>
    <x v="391"/>
    <s v="Neha Gupta"/>
    <s v="Jaipur"/>
    <s v="Rajasthan"/>
    <x v="2"/>
    <x v="3"/>
    <s v="Electronics"/>
    <s v="Amit Sharma"/>
    <n v="3"/>
    <n v="25000"/>
    <n v="20000"/>
    <n v="0.3"/>
    <n v="52500"/>
    <n v="60000"/>
    <n v="-7500"/>
    <x v="0"/>
    <s v="Cancelled"/>
  </r>
  <r>
    <s v="ORD0569"/>
    <s v="CUST0569"/>
    <x v="392"/>
    <s v="Divya Menon"/>
    <s v="Ahmedabad"/>
    <s v="Gujarat"/>
    <x v="0"/>
    <x v="8"/>
    <s v="Office"/>
    <s v="Vikram Joshi"/>
    <n v="8"/>
    <n v="15000"/>
    <n v="11500"/>
    <n v="0.23"/>
    <n v="92400"/>
    <n v="92000"/>
    <n v="400"/>
    <x v="3"/>
    <s v="Delivered"/>
  </r>
  <r>
    <s v="ORD0570"/>
    <s v="CUST0570"/>
    <x v="177"/>
    <s v="Nikhil Jain"/>
    <s v="Jaipur"/>
    <s v="Rajasthan"/>
    <x v="2"/>
    <x v="3"/>
    <s v="Electronics"/>
    <s v="Pooja Das"/>
    <n v="10"/>
    <n v="25000"/>
    <n v="20000"/>
    <n v="0.04"/>
    <n v="240000"/>
    <n v="200000"/>
    <n v="40000"/>
    <x v="4"/>
    <s v="Delivered"/>
  </r>
  <r>
    <s v="ORD0571"/>
    <s v="CUST0571"/>
    <x v="3"/>
    <s v="Rohan Kulkarni"/>
    <s v="Pune"/>
    <s v="Maharashtra"/>
    <x v="0"/>
    <x v="7"/>
    <s v="Electronics"/>
    <s v="Neha Gupta"/>
    <n v="2"/>
    <n v="65000"/>
    <n v="52000"/>
    <n v="0.11"/>
    <n v="115700"/>
    <n v="104000"/>
    <n v="11700"/>
    <x v="4"/>
    <s v="In Transit"/>
  </r>
  <r>
    <s v="ORD0572"/>
    <s v="CUST0572"/>
    <x v="118"/>
    <s v="Meera Shah"/>
    <s v="Coimbatore"/>
    <s v="Tamil Nadu"/>
    <x v="1"/>
    <x v="0"/>
    <s v="Office"/>
    <s v="Vikram Joshi"/>
    <n v="6"/>
    <n v="18000"/>
    <n v="14000"/>
    <n v="0.04"/>
    <n v="103680"/>
    <n v="84000"/>
    <n v="19680"/>
    <x v="1"/>
    <s v="Cancelled"/>
  </r>
  <r>
    <s v="ORD0573"/>
    <s v="CUST0573"/>
    <x v="38"/>
    <s v="Neha Gupta"/>
    <s v="Kolkata"/>
    <s v="West Bengal"/>
    <x v="3"/>
    <x v="5"/>
    <s v="Electronics"/>
    <s v="Neha Gupta"/>
    <n v="7"/>
    <n v="5000"/>
    <n v="3200"/>
    <n v="0.18"/>
    <n v="28700.000000000004"/>
    <n v="22400"/>
    <n v="6300.0000000000036"/>
    <x v="3"/>
    <s v="In Transit"/>
  </r>
  <r>
    <s v="ORD0574"/>
    <s v="CUST0574"/>
    <x v="248"/>
    <s v="Deepika Roy"/>
    <s v="Bengaluru"/>
    <s v="Karnataka"/>
    <x v="1"/>
    <x v="8"/>
    <s v="Office"/>
    <s v="Amit Sharma"/>
    <n v="9"/>
    <n v="15000"/>
    <n v="11500"/>
    <n v="0.1"/>
    <n v="121500"/>
    <n v="103500"/>
    <n v="18000"/>
    <x v="1"/>
    <s v="In Transit"/>
  </r>
  <r>
    <s v="ORD0575"/>
    <s v="CUST0575"/>
    <x v="254"/>
    <s v="Vikram Singh"/>
    <s v="Surat"/>
    <s v="Gujarat"/>
    <x v="0"/>
    <x v="2"/>
    <s v="Electronics"/>
    <s v="Arjun Rao"/>
    <n v="6"/>
    <n v="35000"/>
    <n v="28000"/>
    <n v="0.09"/>
    <n v="191100"/>
    <n v="168000"/>
    <n v="23100"/>
    <x v="2"/>
    <s v="Returned"/>
  </r>
  <r>
    <s v="ORD0576"/>
    <s v="CUST0576"/>
    <x v="393"/>
    <s v="Vikram Singh"/>
    <s v="Mumbai"/>
    <s v="Maharashtra"/>
    <x v="0"/>
    <x v="4"/>
    <s v="Wearables"/>
    <s v="Neha Gupta"/>
    <n v="8"/>
    <n v="12000"/>
    <n v="8500"/>
    <n v="0.23"/>
    <n v="73920"/>
    <n v="68000"/>
    <n v="5920"/>
    <x v="1"/>
    <s v="Returned"/>
  </r>
  <r>
    <s v="ORD0577"/>
    <s v="CUST0577"/>
    <x v="394"/>
    <s v="Nikhil Jain"/>
    <s v="Kolkata"/>
    <s v="West Bengal"/>
    <x v="3"/>
    <x v="1"/>
    <s v="Accessories"/>
    <s v="Vikram Joshi"/>
    <n v="5"/>
    <n v="1500"/>
    <n v="900"/>
    <n v="0.06"/>
    <n v="7050"/>
    <n v="4500"/>
    <n v="2550"/>
    <x v="1"/>
    <s v="In Transit"/>
  </r>
  <r>
    <s v="ORD0578"/>
    <s v="CUST0578"/>
    <x v="55"/>
    <s v="Divya Menon"/>
    <s v="Warangal"/>
    <s v="Telangana"/>
    <x v="1"/>
    <x v="0"/>
    <s v="Office"/>
    <s v="Priya Nair"/>
    <n v="9"/>
    <n v="18000"/>
    <n v="14000"/>
    <n v="0.22"/>
    <n v="126360"/>
    <n v="126000"/>
    <n v="360"/>
    <x v="0"/>
    <s v="Delivered"/>
  </r>
  <r>
    <s v="ORD0579"/>
    <s v="CUST0579"/>
    <x v="395"/>
    <s v="Priya Patel"/>
    <s v="Ahmedabad"/>
    <s v="Gujarat"/>
    <x v="0"/>
    <x v="8"/>
    <s v="Office"/>
    <s v="Karan Singh"/>
    <n v="10"/>
    <n v="15000"/>
    <n v="11500"/>
    <n v="0.15"/>
    <n v="127500"/>
    <n v="115000"/>
    <n v="12500"/>
    <x v="1"/>
    <s v="Cancelled"/>
  </r>
  <r>
    <s v="ORD0580"/>
    <s v="CUST0580"/>
    <x v="396"/>
    <s v="Meera Shah"/>
    <s v="New Delhi"/>
    <s v="Delhi"/>
    <x v="2"/>
    <x v="5"/>
    <s v="Electronics"/>
    <s v="Amit Sharma"/>
    <n v="6"/>
    <n v="5000"/>
    <n v="3200"/>
    <n v="0.28999999999999998"/>
    <n v="21300"/>
    <n v="19200"/>
    <n v="2100"/>
    <x v="1"/>
    <s v="Returned"/>
  </r>
  <r>
    <s v="ORD0581"/>
    <s v="CUST0581"/>
    <x v="231"/>
    <s v="Vikram Singh"/>
    <s v="Chennai"/>
    <s v="Tamil Nadu"/>
    <x v="1"/>
    <x v="0"/>
    <s v="Office"/>
    <s v="Vikram Joshi"/>
    <n v="8"/>
    <n v="18000"/>
    <n v="14000"/>
    <n v="0.25"/>
    <n v="108000"/>
    <n v="112000"/>
    <n v="-4000"/>
    <x v="1"/>
    <s v="Cancelled"/>
  </r>
  <r>
    <s v="ORD0582"/>
    <s v="CUST0582"/>
    <x v="385"/>
    <s v="Priya Patel"/>
    <s v="Ahmedabad"/>
    <s v="Gujarat"/>
    <x v="0"/>
    <x v="5"/>
    <s v="Electronics"/>
    <s v="Pooja Das"/>
    <n v="9"/>
    <n v="5000"/>
    <n v="3200"/>
    <n v="0.11"/>
    <n v="40050"/>
    <n v="28800"/>
    <n v="11250"/>
    <x v="0"/>
    <s v="Delivered"/>
  </r>
  <r>
    <s v="ORD0583"/>
    <s v="CUST0583"/>
    <x v="397"/>
    <s v="Anjali Rao"/>
    <s v="New Delhi"/>
    <s v="Delhi"/>
    <x v="2"/>
    <x v="9"/>
    <s v="Accessories"/>
    <s v="Karan Singh"/>
    <n v="6"/>
    <n v="800"/>
    <n v="450"/>
    <n v="0.24"/>
    <n v="3648"/>
    <n v="2700"/>
    <n v="948"/>
    <x v="1"/>
    <s v="In Transit"/>
  </r>
  <r>
    <s v="ORD0584"/>
    <s v="CUST0584"/>
    <x v="398"/>
    <s v="Vikram Singh"/>
    <s v="Ahmedabad"/>
    <s v="Gujarat"/>
    <x v="0"/>
    <x v="7"/>
    <s v="Electronics"/>
    <s v="Priya Nair"/>
    <n v="9"/>
    <n v="65000"/>
    <n v="52000"/>
    <n v="0.09"/>
    <n v="532350"/>
    <n v="468000"/>
    <n v="64350"/>
    <x v="4"/>
    <s v="Delivered"/>
  </r>
  <r>
    <s v="ORD0585"/>
    <s v="CUST0585"/>
    <x v="399"/>
    <s v="Rahul Sharma"/>
    <s v="Bengaluru"/>
    <s v="Karnataka"/>
    <x v="1"/>
    <x v="4"/>
    <s v="Wearables"/>
    <s v="Sneha Patil"/>
    <n v="1"/>
    <n v="12000"/>
    <n v="8500"/>
    <n v="0.06"/>
    <n v="11280"/>
    <n v="8500"/>
    <n v="2780"/>
    <x v="4"/>
    <s v="Returned"/>
  </r>
  <r>
    <s v="ORD0586"/>
    <s v="CUST0586"/>
    <x v="400"/>
    <s v="Arjun Mehta"/>
    <s v="Jaipur"/>
    <s v="Rajasthan"/>
    <x v="2"/>
    <x v="4"/>
    <s v="Wearables"/>
    <s v="Pooja Das"/>
    <n v="1"/>
    <n v="12000"/>
    <n v="8500"/>
    <n v="0.03"/>
    <n v="11640"/>
    <n v="8500"/>
    <n v="3140"/>
    <x v="1"/>
    <s v="In Transit"/>
  </r>
  <r>
    <s v="ORD0587"/>
    <s v="CUST0587"/>
    <x v="335"/>
    <s v="Sneha Nair"/>
    <s v="Warangal"/>
    <s v="Telangana"/>
    <x v="1"/>
    <x v="6"/>
    <s v="Accessories"/>
    <s v="Vikram Joshi"/>
    <n v="9"/>
    <n v="3000"/>
    <n v="1800"/>
    <n v="0.08"/>
    <n v="24840"/>
    <n v="16200"/>
    <n v="8640"/>
    <x v="4"/>
    <s v="Cancelled"/>
  </r>
  <r>
    <s v="ORD0588"/>
    <s v="CUST0588"/>
    <x v="401"/>
    <s v="Aditya Mishra"/>
    <s v="Mysuru"/>
    <s v="Karnataka"/>
    <x v="1"/>
    <x v="7"/>
    <s v="Electronics"/>
    <s v="Arjun Rao"/>
    <n v="7"/>
    <n v="65000"/>
    <n v="52000"/>
    <n v="0.19"/>
    <n v="368550"/>
    <n v="364000"/>
    <n v="4550"/>
    <x v="4"/>
    <s v="Returned"/>
  </r>
  <r>
    <s v="ORD0589"/>
    <s v="CUST0589"/>
    <x v="402"/>
    <s v="Amit Kumar"/>
    <s v="Bengaluru"/>
    <s v="Karnataka"/>
    <x v="1"/>
    <x v="0"/>
    <s v="Office"/>
    <s v="Vikram Joshi"/>
    <n v="5"/>
    <n v="18000"/>
    <n v="14000"/>
    <n v="0.3"/>
    <n v="62999.999999999993"/>
    <n v="70000"/>
    <n v="-7000.0000000000073"/>
    <x v="0"/>
    <s v="In Transit"/>
  </r>
  <r>
    <s v="ORD0590"/>
    <s v="CUST0590"/>
    <x v="116"/>
    <s v="Aditya Mishra"/>
    <s v="Coimbatore"/>
    <s v="Tamil Nadu"/>
    <x v="1"/>
    <x v="1"/>
    <s v="Accessories"/>
    <s v="Sneha Patil"/>
    <n v="4"/>
    <n v="1500"/>
    <n v="900"/>
    <n v="0.01"/>
    <n v="5940"/>
    <n v="3600"/>
    <n v="2340"/>
    <x v="4"/>
    <s v="Cancelled"/>
  </r>
  <r>
    <s v="ORD0591"/>
    <s v="CUST0591"/>
    <x v="253"/>
    <s v="Meera Shah"/>
    <s v="Surat"/>
    <s v="Gujarat"/>
    <x v="0"/>
    <x v="6"/>
    <s v="Accessories"/>
    <s v="Sneha Patil"/>
    <n v="6"/>
    <n v="3000"/>
    <n v="1800"/>
    <n v="0.28999999999999998"/>
    <n v="12780"/>
    <n v="10800"/>
    <n v="1980"/>
    <x v="3"/>
    <s v="In Transit"/>
  </r>
  <r>
    <s v="ORD0592"/>
    <s v="CUST0592"/>
    <x v="389"/>
    <s v="Neha Gupta"/>
    <s v="New Delhi"/>
    <s v="Delhi"/>
    <x v="2"/>
    <x v="8"/>
    <s v="Office"/>
    <s v="Anjali Mehta"/>
    <n v="8"/>
    <n v="15000"/>
    <n v="11500"/>
    <n v="0.22"/>
    <n v="93600"/>
    <n v="92000"/>
    <n v="1600"/>
    <x v="0"/>
    <s v="Cancelled"/>
  </r>
  <r>
    <s v="ORD0593"/>
    <s v="CUST0593"/>
    <x v="221"/>
    <s v="Rohan Kulkarni"/>
    <s v="Jaipur"/>
    <s v="Rajasthan"/>
    <x v="2"/>
    <x v="3"/>
    <s v="Electronics"/>
    <s v="Arjun Rao"/>
    <n v="5"/>
    <n v="25000"/>
    <n v="20000"/>
    <n v="7.0000000000000007E-2"/>
    <n v="116249.99999999999"/>
    <n v="100000"/>
    <n v="16249.999999999985"/>
    <x v="3"/>
    <s v="In Transit"/>
  </r>
  <r>
    <s v="ORD0594"/>
    <s v="CUST0594"/>
    <x v="388"/>
    <s v="Neha Gupta"/>
    <s v="Chennai"/>
    <s v="Tamil Nadu"/>
    <x v="1"/>
    <x v="1"/>
    <s v="Accessories"/>
    <s v="Sneha Patil"/>
    <n v="7"/>
    <n v="1500"/>
    <n v="900"/>
    <n v="0.23"/>
    <n v="8085"/>
    <n v="6300"/>
    <n v="1785"/>
    <x v="2"/>
    <s v="Cancelled"/>
  </r>
  <r>
    <s v="ORD0595"/>
    <s v="CUST0595"/>
    <x v="403"/>
    <s v="Suresh Iyer"/>
    <s v="New Delhi"/>
    <s v="Delhi"/>
    <x v="2"/>
    <x v="2"/>
    <s v="Electronics"/>
    <s v="Rahul Verma"/>
    <n v="2"/>
    <n v="35000"/>
    <n v="28000"/>
    <n v="0.13"/>
    <n v="60900"/>
    <n v="56000"/>
    <n v="4900"/>
    <x v="2"/>
    <s v="Delivered"/>
  </r>
  <r>
    <s v="ORD0596"/>
    <s v="CUST0596"/>
    <x v="404"/>
    <s v="Arjun Mehta"/>
    <s v="Chennai"/>
    <s v="Tamil Nadu"/>
    <x v="1"/>
    <x v="7"/>
    <s v="Electronics"/>
    <s v="Vikram Joshi"/>
    <n v="2"/>
    <n v="65000"/>
    <n v="52000"/>
    <n v="0.28999999999999998"/>
    <n v="92300"/>
    <n v="104000"/>
    <n v="-11700"/>
    <x v="4"/>
    <s v="Cancelled"/>
  </r>
  <r>
    <s v="ORD0597"/>
    <s v="CUST0597"/>
    <x v="61"/>
    <s v="Neha Gupta"/>
    <s v="Chennai"/>
    <s v="Tamil Nadu"/>
    <x v="1"/>
    <x v="6"/>
    <s v="Accessories"/>
    <s v="Neha Gupta"/>
    <n v="6"/>
    <n v="3000"/>
    <n v="1800"/>
    <n v="0.13"/>
    <n v="15660"/>
    <n v="10800"/>
    <n v="4860"/>
    <x v="0"/>
    <s v="Cancelled"/>
  </r>
  <r>
    <s v="ORD0598"/>
    <s v="CUST0598"/>
    <x v="147"/>
    <s v="Pooja Das"/>
    <s v="Hyderabad"/>
    <s v="Telangana"/>
    <x v="1"/>
    <x v="4"/>
    <s v="Wearables"/>
    <s v="Karan Singh"/>
    <n v="8"/>
    <n v="12000"/>
    <n v="8500"/>
    <n v="0.3"/>
    <n v="67200"/>
    <n v="68000"/>
    <n v="-800"/>
    <x v="0"/>
    <s v="Cancelled"/>
  </r>
  <r>
    <s v="ORD0599"/>
    <s v="CUST0599"/>
    <x v="217"/>
    <s v="Vikram Singh"/>
    <s v="Mysuru"/>
    <s v="Karnataka"/>
    <x v="1"/>
    <x v="5"/>
    <s v="Electronics"/>
    <s v="Amit Sharma"/>
    <n v="2"/>
    <n v="5000"/>
    <n v="3200"/>
    <n v="0.19"/>
    <n v="8100.0000000000009"/>
    <n v="6400"/>
    <n v="1700.0000000000009"/>
    <x v="3"/>
    <s v="Cancelled"/>
  </r>
  <r>
    <s v="ORD0600"/>
    <s v="CUST0600"/>
    <x v="110"/>
    <s v="Rohan Kulkarni"/>
    <s v="Jaipur"/>
    <s v="Rajasthan"/>
    <x v="2"/>
    <x v="8"/>
    <s v="Office"/>
    <s v="Pooja Das"/>
    <n v="3"/>
    <n v="15000"/>
    <n v="11500"/>
    <n v="0.24"/>
    <n v="34200"/>
    <n v="34500"/>
    <n v="-300"/>
    <x v="1"/>
    <s v="In Transit"/>
  </r>
  <r>
    <s v="ORD0601"/>
    <s v="CUST0601"/>
    <x v="405"/>
    <s v="Amit Kumar"/>
    <s v="Jaipur"/>
    <s v="Rajasthan"/>
    <x v="2"/>
    <x v="2"/>
    <s v="Electronics"/>
    <s v="Karan Singh"/>
    <n v="9"/>
    <n v="35000"/>
    <n v="28000"/>
    <n v="0.25"/>
    <n v="236250"/>
    <n v="252000"/>
    <n v="-15750"/>
    <x v="3"/>
    <s v="Delivered"/>
  </r>
  <r>
    <s v="ORD0602"/>
    <s v="CUST0602"/>
    <x v="319"/>
    <s v="Nikhil Jain"/>
    <s v="Pune"/>
    <s v="Maharashtra"/>
    <x v="0"/>
    <x v="0"/>
    <s v="Office"/>
    <s v="Anjali Mehta"/>
    <n v="9"/>
    <n v="18000"/>
    <n v="14000"/>
    <n v="0.15"/>
    <n v="137700"/>
    <n v="126000"/>
    <n v="11700"/>
    <x v="1"/>
    <s v="Returned"/>
  </r>
  <r>
    <s v="ORD0603"/>
    <s v="CUST0603"/>
    <x v="14"/>
    <s v="Suresh Iyer"/>
    <s v="New Delhi"/>
    <s v="Delhi"/>
    <x v="2"/>
    <x v="2"/>
    <s v="Electronics"/>
    <s v="Sneha Patil"/>
    <n v="9"/>
    <n v="35000"/>
    <n v="28000"/>
    <n v="0.28999999999999998"/>
    <n v="223650"/>
    <n v="252000"/>
    <n v="-28350"/>
    <x v="3"/>
    <s v="Delivered"/>
  </r>
  <r>
    <s v="ORD0604"/>
    <s v="CUST0604"/>
    <x v="322"/>
    <s v="Rahul Sharma"/>
    <s v="Pune"/>
    <s v="Maharashtra"/>
    <x v="0"/>
    <x v="7"/>
    <s v="Electronics"/>
    <s v="Pooja Das"/>
    <n v="5"/>
    <n v="65000"/>
    <n v="52000"/>
    <n v="0"/>
    <n v="325000"/>
    <n v="260000"/>
    <n v="65000"/>
    <x v="0"/>
    <s v="In Transit"/>
  </r>
  <r>
    <s v="ORD0605"/>
    <s v="CUST0605"/>
    <x v="406"/>
    <s v="Neha Gupta"/>
    <s v="Hyderabad"/>
    <s v="Telangana"/>
    <x v="1"/>
    <x v="7"/>
    <s v="Electronics"/>
    <s v="Karan Singh"/>
    <n v="8"/>
    <n v="65000"/>
    <n v="52000"/>
    <n v="0.05"/>
    <n v="494000"/>
    <n v="416000"/>
    <n v="78000"/>
    <x v="2"/>
    <s v="Cancelled"/>
  </r>
  <r>
    <s v="ORD0606"/>
    <s v="CUST0606"/>
    <x v="190"/>
    <s v="Kavya Reddy"/>
    <s v="Hyderabad"/>
    <s v="Telangana"/>
    <x v="1"/>
    <x v="4"/>
    <s v="Wearables"/>
    <s v="Amit Sharma"/>
    <n v="6"/>
    <n v="12000"/>
    <n v="8500"/>
    <n v="0.11"/>
    <n v="64080"/>
    <n v="51000"/>
    <n v="13080"/>
    <x v="4"/>
    <s v="Delivered"/>
  </r>
  <r>
    <s v="ORD0607"/>
    <s v="CUST0607"/>
    <x v="305"/>
    <s v="Divya Menon"/>
    <s v="Mysuru"/>
    <s v="Karnataka"/>
    <x v="1"/>
    <x v="5"/>
    <s v="Electronics"/>
    <s v="Neha Gupta"/>
    <n v="4"/>
    <n v="5000"/>
    <n v="3200"/>
    <n v="0.26"/>
    <n v="14800"/>
    <n v="12800"/>
    <n v="2000"/>
    <x v="4"/>
    <s v="Returned"/>
  </r>
  <r>
    <s v="ORD0608"/>
    <s v="CUST0608"/>
    <x v="407"/>
    <s v="Rohit Verma"/>
    <s v="Mumbai"/>
    <s v="Maharashtra"/>
    <x v="0"/>
    <x v="9"/>
    <s v="Accessories"/>
    <s v="Sneha Patil"/>
    <n v="3"/>
    <n v="800"/>
    <n v="450"/>
    <n v="0.11"/>
    <n v="2136"/>
    <n v="1350"/>
    <n v="786"/>
    <x v="2"/>
    <s v="Delivered"/>
  </r>
  <r>
    <s v="ORD0609"/>
    <s v="CUST0609"/>
    <x v="358"/>
    <s v="Rohit Verma"/>
    <s v="Coimbatore"/>
    <s v="Tamil Nadu"/>
    <x v="1"/>
    <x v="8"/>
    <s v="Office"/>
    <s v="Sneha Patil"/>
    <n v="6"/>
    <n v="15000"/>
    <n v="11500"/>
    <n v="0.06"/>
    <n v="84600"/>
    <n v="69000"/>
    <n v="15600"/>
    <x v="0"/>
    <s v="In Transit"/>
  </r>
  <r>
    <s v="ORD0610"/>
    <s v="CUST0610"/>
    <x v="408"/>
    <s v="Aditya Mishra"/>
    <s v="Chennai"/>
    <s v="Tamil Nadu"/>
    <x v="1"/>
    <x v="5"/>
    <s v="Electronics"/>
    <s v="Priya Nair"/>
    <n v="1"/>
    <n v="5000"/>
    <n v="3200"/>
    <n v="0.13"/>
    <n v="4350"/>
    <n v="3200"/>
    <n v="1150"/>
    <x v="0"/>
    <s v="Cancelled"/>
  </r>
  <r>
    <s v="ORD0611"/>
    <s v="CUST0611"/>
    <x v="409"/>
    <s v="Rohan Kulkarni"/>
    <s v="Surat"/>
    <s v="Gujarat"/>
    <x v="0"/>
    <x v="9"/>
    <s v="Accessories"/>
    <s v="Pooja Das"/>
    <n v="8"/>
    <n v="800"/>
    <n v="450"/>
    <n v="0.04"/>
    <n v="6144"/>
    <n v="3600"/>
    <n v="2544"/>
    <x v="1"/>
    <s v="Delivered"/>
  </r>
  <r>
    <s v="ORD0612"/>
    <s v="CUST0612"/>
    <x v="156"/>
    <s v="Aisha Khan"/>
    <s v="Kolkata"/>
    <s v="West Bengal"/>
    <x v="3"/>
    <x v="4"/>
    <s v="Wearables"/>
    <s v="Sneha Patil"/>
    <n v="6"/>
    <n v="12000"/>
    <n v="8500"/>
    <n v="0.17"/>
    <n v="59760"/>
    <n v="51000"/>
    <n v="8760"/>
    <x v="1"/>
    <s v="In Transit"/>
  </r>
  <r>
    <s v="ORD0613"/>
    <s v="CUST0613"/>
    <x v="259"/>
    <s v="Divya Menon"/>
    <s v="Coimbatore"/>
    <s v="Tamil Nadu"/>
    <x v="1"/>
    <x v="4"/>
    <s v="Wearables"/>
    <s v="Pooja Das"/>
    <n v="5"/>
    <n v="12000"/>
    <n v="8500"/>
    <n v="0.03"/>
    <n v="58200"/>
    <n v="42500"/>
    <n v="15700"/>
    <x v="3"/>
    <s v="Cancelled"/>
  </r>
  <r>
    <s v="ORD0614"/>
    <s v="CUST0614"/>
    <x v="363"/>
    <s v="Pooja Das"/>
    <s v="Chennai"/>
    <s v="Tamil Nadu"/>
    <x v="1"/>
    <x v="6"/>
    <s v="Accessories"/>
    <s v="Vikram Joshi"/>
    <n v="6"/>
    <n v="3000"/>
    <n v="1800"/>
    <n v="0.21"/>
    <n v="14220"/>
    <n v="10800"/>
    <n v="3420"/>
    <x v="2"/>
    <s v="In Transit"/>
  </r>
  <r>
    <s v="ORD0615"/>
    <s v="CUST0615"/>
    <x v="410"/>
    <s v="Rahul Sharma"/>
    <s v="Mumbai"/>
    <s v="Maharashtra"/>
    <x v="0"/>
    <x v="5"/>
    <s v="Electronics"/>
    <s v="Amit Sharma"/>
    <n v="1"/>
    <n v="5000"/>
    <n v="3200"/>
    <n v="0.02"/>
    <n v="4900"/>
    <n v="3200"/>
    <n v="1700"/>
    <x v="4"/>
    <s v="Returned"/>
  </r>
  <r>
    <s v="ORD0616"/>
    <s v="CUST0616"/>
    <x v="321"/>
    <s v="Kavya Reddy"/>
    <s v="Chennai"/>
    <s v="Tamil Nadu"/>
    <x v="1"/>
    <x v="7"/>
    <s v="Electronics"/>
    <s v="Arjun Rao"/>
    <n v="5"/>
    <n v="65000"/>
    <n v="52000"/>
    <n v="0.28000000000000003"/>
    <n v="234000"/>
    <n v="260000"/>
    <n v="-26000"/>
    <x v="3"/>
    <s v="Cancelled"/>
  </r>
  <r>
    <s v="ORD0617"/>
    <s v="CUST0617"/>
    <x v="269"/>
    <s v="Meera Shah"/>
    <s v="Mumbai"/>
    <s v="Maharashtra"/>
    <x v="0"/>
    <x v="5"/>
    <s v="Electronics"/>
    <s v="Arjun Rao"/>
    <n v="7"/>
    <n v="5000"/>
    <n v="3200"/>
    <n v="0.14000000000000001"/>
    <n v="30100"/>
    <n v="22400"/>
    <n v="7700"/>
    <x v="1"/>
    <s v="Returned"/>
  </r>
  <r>
    <s v="ORD0618"/>
    <s v="CUST0618"/>
    <x v="411"/>
    <s v="Rohan Kulkarni"/>
    <s v="Jaipur"/>
    <s v="Rajasthan"/>
    <x v="2"/>
    <x v="3"/>
    <s v="Electronics"/>
    <s v="Rahul Verma"/>
    <n v="7"/>
    <n v="25000"/>
    <n v="20000"/>
    <n v="0.1"/>
    <n v="157500"/>
    <n v="140000"/>
    <n v="17500"/>
    <x v="1"/>
    <s v="In Transit"/>
  </r>
  <r>
    <s v="ORD0619"/>
    <s v="CUST0619"/>
    <x v="32"/>
    <s v="Rohit Verma"/>
    <s v="Ahmedabad"/>
    <s v="Gujarat"/>
    <x v="0"/>
    <x v="7"/>
    <s v="Electronics"/>
    <s v="Anjali Mehta"/>
    <n v="1"/>
    <n v="65000"/>
    <n v="52000"/>
    <n v="0.19"/>
    <n v="52650"/>
    <n v="52000"/>
    <n v="650"/>
    <x v="0"/>
    <s v="Delivered"/>
  </r>
  <r>
    <s v="ORD0620"/>
    <s v="CUST0620"/>
    <x v="166"/>
    <s v="Rohit Verma"/>
    <s v="Mumbai"/>
    <s v="Maharashtra"/>
    <x v="0"/>
    <x v="6"/>
    <s v="Accessories"/>
    <s v="Karan Singh"/>
    <n v="3"/>
    <n v="3000"/>
    <n v="1800"/>
    <n v="0.08"/>
    <n v="8280"/>
    <n v="5400"/>
    <n v="2880"/>
    <x v="2"/>
    <s v="Returned"/>
  </r>
  <r>
    <s v="ORD0621"/>
    <s v="CUST0621"/>
    <x v="285"/>
    <s v="Aisha Khan"/>
    <s v="Hyderabad"/>
    <s v="Telangana"/>
    <x v="1"/>
    <x v="2"/>
    <s v="Electronics"/>
    <s v="Sneha Patil"/>
    <n v="6"/>
    <n v="35000"/>
    <n v="28000"/>
    <n v="7.0000000000000007E-2"/>
    <n v="195300"/>
    <n v="168000"/>
    <n v="27300"/>
    <x v="4"/>
    <s v="Returned"/>
  </r>
  <r>
    <s v="ORD0622"/>
    <s v="CUST0622"/>
    <x v="412"/>
    <s v="Aisha Khan"/>
    <s v="New Delhi"/>
    <s v="Delhi"/>
    <x v="2"/>
    <x v="1"/>
    <s v="Accessories"/>
    <s v="Priya Nair"/>
    <n v="4"/>
    <n v="1500"/>
    <n v="900"/>
    <n v="0.06"/>
    <n v="5640"/>
    <n v="3600"/>
    <n v="2040"/>
    <x v="0"/>
    <s v="Cancelled"/>
  </r>
  <r>
    <s v="ORD0623"/>
    <s v="CUST0623"/>
    <x v="413"/>
    <s v="Suresh Iyer"/>
    <s v="Ahmedabad"/>
    <s v="Gujarat"/>
    <x v="0"/>
    <x v="3"/>
    <s v="Electronics"/>
    <s v="Karan Singh"/>
    <n v="6"/>
    <n v="25000"/>
    <n v="20000"/>
    <n v="0.12"/>
    <n v="132000"/>
    <n v="120000"/>
    <n v="12000"/>
    <x v="1"/>
    <s v="In Transit"/>
  </r>
  <r>
    <s v="ORD0624"/>
    <s v="CUST0624"/>
    <x v="414"/>
    <s v="Rahul Sharma"/>
    <s v="Warangal"/>
    <s v="Telangana"/>
    <x v="1"/>
    <x v="4"/>
    <s v="Wearables"/>
    <s v="Arjun Rao"/>
    <n v="5"/>
    <n v="12000"/>
    <n v="8500"/>
    <n v="0.27"/>
    <n v="43800"/>
    <n v="42500"/>
    <n v="1300"/>
    <x v="0"/>
    <s v="Cancelled"/>
  </r>
  <r>
    <s v="ORD0625"/>
    <s v="CUST0625"/>
    <x v="400"/>
    <s v="Neha Gupta"/>
    <s v="Ahmedabad"/>
    <s v="Gujarat"/>
    <x v="0"/>
    <x v="3"/>
    <s v="Electronics"/>
    <s v="Amit Sharma"/>
    <n v="9"/>
    <n v="25000"/>
    <n v="20000"/>
    <n v="0.14000000000000001"/>
    <n v="193500"/>
    <n v="180000"/>
    <n v="13500"/>
    <x v="3"/>
    <s v="Returned"/>
  </r>
  <r>
    <s v="ORD0626"/>
    <s v="CUST0626"/>
    <x v="32"/>
    <s v="Priya Patel"/>
    <s v="Warangal"/>
    <s v="Telangana"/>
    <x v="1"/>
    <x v="8"/>
    <s v="Office"/>
    <s v="Arjun Rao"/>
    <n v="4"/>
    <n v="15000"/>
    <n v="11500"/>
    <n v="0.03"/>
    <n v="58200"/>
    <n v="46000"/>
    <n v="12200"/>
    <x v="2"/>
    <s v="Returned"/>
  </r>
  <r>
    <s v="ORD0627"/>
    <s v="CUST0627"/>
    <x v="87"/>
    <s v="Divya Menon"/>
    <s v="Jaipur"/>
    <s v="Rajasthan"/>
    <x v="2"/>
    <x v="1"/>
    <s v="Accessories"/>
    <s v="Neha Gupta"/>
    <n v="10"/>
    <n v="1500"/>
    <n v="900"/>
    <n v="0.3"/>
    <n v="10500"/>
    <n v="9000"/>
    <n v="1500"/>
    <x v="3"/>
    <s v="Cancelled"/>
  </r>
  <r>
    <s v="ORD0628"/>
    <s v="CUST0628"/>
    <x v="415"/>
    <s v="Vikram Singh"/>
    <s v="Ahmedabad"/>
    <s v="Gujarat"/>
    <x v="0"/>
    <x v="9"/>
    <s v="Accessories"/>
    <s v="Sneha Patil"/>
    <n v="1"/>
    <n v="800"/>
    <n v="450"/>
    <n v="0.15"/>
    <n v="680"/>
    <n v="450"/>
    <n v="230"/>
    <x v="4"/>
    <s v="Returned"/>
  </r>
  <r>
    <s v="ORD0629"/>
    <s v="CUST0629"/>
    <x v="416"/>
    <s v="Karan Joshi"/>
    <s v="Surat"/>
    <s v="Gujarat"/>
    <x v="0"/>
    <x v="6"/>
    <s v="Accessories"/>
    <s v="Vikram Joshi"/>
    <n v="7"/>
    <n v="3000"/>
    <n v="1800"/>
    <n v="0.12"/>
    <n v="18480"/>
    <n v="12600"/>
    <n v="5880"/>
    <x v="2"/>
    <s v="Returned"/>
  </r>
  <r>
    <s v="ORD0630"/>
    <s v="CUST0630"/>
    <x v="321"/>
    <s v="Kavya Reddy"/>
    <s v="Kolkata"/>
    <s v="West Bengal"/>
    <x v="3"/>
    <x v="6"/>
    <s v="Accessories"/>
    <s v="Sneha Patil"/>
    <n v="4"/>
    <n v="3000"/>
    <n v="1800"/>
    <n v="0.2"/>
    <n v="9600"/>
    <n v="7200"/>
    <n v="2400"/>
    <x v="4"/>
    <s v="In Transit"/>
  </r>
  <r>
    <s v="ORD0631"/>
    <s v="CUST0631"/>
    <x v="417"/>
    <s v="Kavya Reddy"/>
    <s v="Ahmedabad"/>
    <s v="Gujarat"/>
    <x v="0"/>
    <x v="1"/>
    <s v="Accessories"/>
    <s v="Arjun Rao"/>
    <n v="4"/>
    <n v="1500"/>
    <n v="900"/>
    <n v="0.09"/>
    <n v="5460"/>
    <n v="3600"/>
    <n v="1860"/>
    <x v="3"/>
    <s v="Delivered"/>
  </r>
  <r>
    <s v="ORD0632"/>
    <s v="CUST0632"/>
    <x v="418"/>
    <s v="Priya Patel"/>
    <s v="Mumbai"/>
    <s v="Maharashtra"/>
    <x v="0"/>
    <x v="1"/>
    <s v="Accessories"/>
    <s v="Karan Singh"/>
    <n v="6"/>
    <n v="1500"/>
    <n v="900"/>
    <n v="0.04"/>
    <n v="8640"/>
    <n v="5400"/>
    <n v="3240"/>
    <x v="3"/>
    <s v="Returned"/>
  </r>
  <r>
    <s v="ORD0633"/>
    <s v="CUST0633"/>
    <x v="419"/>
    <s v="Suresh Iyer"/>
    <s v="Coimbatore"/>
    <s v="Tamil Nadu"/>
    <x v="1"/>
    <x v="8"/>
    <s v="Office"/>
    <s v="Priya Nair"/>
    <n v="10"/>
    <n v="15000"/>
    <n v="11500"/>
    <n v="0.01"/>
    <n v="148500"/>
    <n v="115000"/>
    <n v="33500"/>
    <x v="0"/>
    <s v="Returned"/>
  </r>
  <r>
    <s v="ORD0634"/>
    <s v="CUST0634"/>
    <x v="364"/>
    <s v="Aisha Khan"/>
    <s v="Jaipur"/>
    <s v="Rajasthan"/>
    <x v="2"/>
    <x v="8"/>
    <s v="Office"/>
    <s v="Vikram Joshi"/>
    <n v="10"/>
    <n v="15000"/>
    <n v="11500"/>
    <n v="0.13"/>
    <n v="130500"/>
    <n v="115000"/>
    <n v="15500"/>
    <x v="2"/>
    <s v="Returned"/>
  </r>
  <r>
    <s v="ORD0635"/>
    <s v="CUST0635"/>
    <x v="39"/>
    <s v="Kavya Reddy"/>
    <s v="Warangal"/>
    <s v="Telangana"/>
    <x v="1"/>
    <x v="2"/>
    <s v="Electronics"/>
    <s v="Anjali Mehta"/>
    <n v="10"/>
    <n v="35000"/>
    <n v="28000"/>
    <n v="0.04"/>
    <n v="336000"/>
    <n v="280000"/>
    <n v="56000"/>
    <x v="2"/>
    <s v="Delivered"/>
  </r>
  <r>
    <s v="ORD0636"/>
    <s v="CUST0636"/>
    <x v="212"/>
    <s v="Vikram Singh"/>
    <s v="Mumbai"/>
    <s v="Maharashtra"/>
    <x v="0"/>
    <x v="8"/>
    <s v="Office"/>
    <s v="Anjali Mehta"/>
    <n v="6"/>
    <n v="15000"/>
    <n v="11500"/>
    <n v="0.19"/>
    <n v="72900"/>
    <n v="69000"/>
    <n v="3900"/>
    <x v="3"/>
    <s v="In Transit"/>
  </r>
  <r>
    <s v="ORD0637"/>
    <s v="CUST0637"/>
    <x v="66"/>
    <s v="Nikhil Jain"/>
    <s v="Coimbatore"/>
    <s v="Tamil Nadu"/>
    <x v="1"/>
    <x v="7"/>
    <s v="Electronics"/>
    <s v="Vikram Joshi"/>
    <n v="6"/>
    <n v="65000"/>
    <n v="52000"/>
    <n v="0.1"/>
    <n v="351000"/>
    <n v="312000"/>
    <n v="39000"/>
    <x v="4"/>
    <s v="Delivered"/>
  </r>
  <r>
    <s v="ORD0638"/>
    <s v="CUST0638"/>
    <x v="395"/>
    <s v="Deepika Roy"/>
    <s v="Mysuru"/>
    <s v="Karnataka"/>
    <x v="1"/>
    <x v="9"/>
    <s v="Accessories"/>
    <s v="Rahul Verma"/>
    <n v="10"/>
    <n v="800"/>
    <n v="450"/>
    <n v="0.03"/>
    <n v="7760"/>
    <n v="4500"/>
    <n v="3260"/>
    <x v="2"/>
    <s v="Delivered"/>
  </r>
  <r>
    <s v="ORD0639"/>
    <s v="CUST0639"/>
    <x v="400"/>
    <s v="Deepika Roy"/>
    <s v="New Delhi"/>
    <s v="Delhi"/>
    <x v="2"/>
    <x v="0"/>
    <s v="Office"/>
    <s v="Pooja Das"/>
    <n v="9"/>
    <n v="18000"/>
    <n v="14000"/>
    <n v="0.1"/>
    <n v="145800"/>
    <n v="126000"/>
    <n v="19800"/>
    <x v="4"/>
    <s v="Cancelled"/>
  </r>
  <r>
    <s v="ORD0640"/>
    <s v="CUST0640"/>
    <x v="420"/>
    <s v="Deepika Roy"/>
    <s v="Jaipur"/>
    <s v="Rajasthan"/>
    <x v="2"/>
    <x v="7"/>
    <s v="Electronics"/>
    <s v="Neha Gupta"/>
    <n v="8"/>
    <n v="65000"/>
    <n v="52000"/>
    <n v="0.22"/>
    <n v="405600"/>
    <n v="416000"/>
    <n v="-10400"/>
    <x v="3"/>
    <s v="In Transit"/>
  </r>
  <r>
    <s v="ORD0641"/>
    <s v="CUST0641"/>
    <x v="407"/>
    <s v="Arjun Mehta"/>
    <s v="Jaipur"/>
    <s v="Rajasthan"/>
    <x v="2"/>
    <x v="1"/>
    <s v="Accessories"/>
    <s v="Neha Gupta"/>
    <n v="9"/>
    <n v="1500"/>
    <n v="900"/>
    <n v="0.28999999999999998"/>
    <n v="9585"/>
    <n v="8100"/>
    <n v="1485"/>
    <x v="2"/>
    <s v="In Transit"/>
  </r>
  <r>
    <s v="ORD0642"/>
    <s v="CUST0642"/>
    <x v="334"/>
    <s v="Aditya Mishra"/>
    <s v="Hyderabad"/>
    <s v="Telangana"/>
    <x v="1"/>
    <x v="1"/>
    <s v="Accessories"/>
    <s v="Neha Gupta"/>
    <n v="8"/>
    <n v="1500"/>
    <n v="900"/>
    <n v="7.0000000000000007E-2"/>
    <n v="11160"/>
    <n v="7200"/>
    <n v="3960"/>
    <x v="2"/>
    <s v="Returned"/>
  </r>
  <r>
    <s v="ORD0643"/>
    <s v="CUST0643"/>
    <x v="36"/>
    <s v="Deepika Roy"/>
    <s v="New Delhi"/>
    <s v="Delhi"/>
    <x v="2"/>
    <x v="7"/>
    <s v="Electronics"/>
    <s v="Sneha Patil"/>
    <n v="10"/>
    <n v="65000"/>
    <n v="52000"/>
    <n v="0.24"/>
    <n v="494000"/>
    <n v="520000"/>
    <n v="-26000"/>
    <x v="1"/>
    <s v="Cancelled"/>
  </r>
  <r>
    <s v="ORD0644"/>
    <s v="CUST0644"/>
    <x v="421"/>
    <s v="Neha Gupta"/>
    <s v="Hyderabad"/>
    <s v="Telangana"/>
    <x v="1"/>
    <x v="6"/>
    <s v="Accessories"/>
    <s v="Vikram Joshi"/>
    <n v="10"/>
    <n v="3000"/>
    <n v="1800"/>
    <n v="7.0000000000000007E-2"/>
    <n v="27899.999999999996"/>
    <n v="18000"/>
    <n v="9899.9999999999964"/>
    <x v="3"/>
    <s v="In Transit"/>
  </r>
  <r>
    <s v="ORD0645"/>
    <s v="CUST0645"/>
    <x v="273"/>
    <s v="Arjun Mehta"/>
    <s v="Coimbatore"/>
    <s v="Tamil Nadu"/>
    <x v="1"/>
    <x v="2"/>
    <s v="Electronics"/>
    <s v="Vikram Joshi"/>
    <n v="8"/>
    <n v="35000"/>
    <n v="28000"/>
    <n v="0.27"/>
    <n v="204400"/>
    <n v="224000"/>
    <n v="-19600"/>
    <x v="1"/>
    <s v="In Transit"/>
  </r>
  <r>
    <s v="ORD0646"/>
    <s v="CUST0646"/>
    <x v="403"/>
    <s v="Rohan Kulkarni"/>
    <s v="Hyderabad"/>
    <s v="Telangana"/>
    <x v="1"/>
    <x v="0"/>
    <s v="Office"/>
    <s v="Pooja Das"/>
    <n v="9"/>
    <n v="18000"/>
    <n v="14000"/>
    <n v="0.17"/>
    <n v="134460"/>
    <n v="126000"/>
    <n v="8460"/>
    <x v="2"/>
    <s v="Returned"/>
  </r>
  <r>
    <s v="ORD0647"/>
    <s v="CUST0647"/>
    <x v="422"/>
    <s v="Deepika Roy"/>
    <s v="Coimbatore"/>
    <s v="Tamil Nadu"/>
    <x v="1"/>
    <x v="4"/>
    <s v="Wearables"/>
    <s v="Karan Singh"/>
    <n v="10"/>
    <n v="12000"/>
    <n v="8500"/>
    <n v="0.14000000000000001"/>
    <n v="103200"/>
    <n v="85000"/>
    <n v="18200"/>
    <x v="2"/>
    <s v="Cancelled"/>
  </r>
  <r>
    <s v="ORD0648"/>
    <s v="CUST0648"/>
    <x v="195"/>
    <s v="Rohan Kulkarni"/>
    <s v="Warangal"/>
    <s v="Telangana"/>
    <x v="1"/>
    <x v="3"/>
    <s v="Electronics"/>
    <s v="Arjun Rao"/>
    <n v="4"/>
    <n v="25000"/>
    <n v="20000"/>
    <n v="0.04"/>
    <n v="96000"/>
    <n v="80000"/>
    <n v="16000"/>
    <x v="1"/>
    <s v="Delivered"/>
  </r>
  <r>
    <s v="ORD0649"/>
    <s v="CUST0649"/>
    <x v="423"/>
    <s v="Priya Patel"/>
    <s v="Mysuru"/>
    <s v="Karnataka"/>
    <x v="1"/>
    <x v="5"/>
    <s v="Electronics"/>
    <s v="Neha Gupta"/>
    <n v="9"/>
    <n v="5000"/>
    <n v="3200"/>
    <n v="0.02"/>
    <n v="44100"/>
    <n v="28800"/>
    <n v="15300"/>
    <x v="1"/>
    <s v="Cancelled"/>
  </r>
  <r>
    <s v="ORD0650"/>
    <s v="CUST0650"/>
    <x v="424"/>
    <s v="Neha Gupta"/>
    <s v="Surat"/>
    <s v="Gujarat"/>
    <x v="0"/>
    <x v="8"/>
    <s v="Office"/>
    <s v="Arjun Rao"/>
    <n v="3"/>
    <n v="15000"/>
    <n v="11500"/>
    <n v="0.21"/>
    <n v="35550"/>
    <n v="34500"/>
    <n v="1050"/>
    <x v="2"/>
    <s v="Delivered"/>
  </r>
  <r>
    <s v="ORD0651"/>
    <s v="CUST0651"/>
    <x v="162"/>
    <s v="Arjun Mehta"/>
    <s v="Pune"/>
    <s v="Maharashtra"/>
    <x v="0"/>
    <x v="6"/>
    <s v="Accessories"/>
    <s v="Neha Gupta"/>
    <n v="7"/>
    <n v="3000"/>
    <n v="1800"/>
    <n v="0.03"/>
    <n v="20370"/>
    <n v="12600"/>
    <n v="7770"/>
    <x v="4"/>
    <s v="Returned"/>
  </r>
  <r>
    <s v="ORD0652"/>
    <s v="CUST0652"/>
    <x v="425"/>
    <s v="Meera Shah"/>
    <s v="Kolkata"/>
    <s v="West Bengal"/>
    <x v="3"/>
    <x v="1"/>
    <s v="Accessories"/>
    <s v="Sneha Patil"/>
    <n v="9"/>
    <n v="1500"/>
    <n v="900"/>
    <n v="0.19"/>
    <n v="10935"/>
    <n v="8100"/>
    <n v="2835"/>
    <x v="4"/>
    <s v="Returned"/>
  </r>
  <r>
    <s v="ORD0653"/>
    <s v="CUST0653"/>
    <x v="44"/>
    <s v="Vikram Singh"/>
    <s v="Chennai"/>
    <s v="Tamil Nadu"/>
    <x v="1"/>
    <x v="8"/>
    <s v="Office"/>
    <s v="Amit Sharma"/>
    <n v="4"/>
    <n v="15000"/>
    <n v="11500"/>
    <n v="0.2"/>
    <n v="48000"/>
    <n v="46000"/>
    <n v="2000"/>
    <x v="2"/>
    <s v="Cancelled"/>
  </r>
  <r>
    <s v="ORD0654"/>
    <s v="CUST0654"/>
    <x v="426"/>
    <s v="Amit Kumar"/>
    <s v="Warangal"/>
    <s v="Telangana"/>
    <x v="1"/>
    <x v="5"/>
    <s v="Electronics"/>
    <s v="Amit Sharma"/>
    <n v="7"/>
    <n v="5000"/>
    <n v="3200"/>
    <n v="0.14000000000000001"/>
    <n v="30100"/>
    <n v="22400"/>
    <n v="7700"/>
    <x v="1"/>
    <s v="Cancelled"/>
  </r>
  <r>
    <s v="ORD0655"/>
    <s v="CUST0655"/>
    <x v="213"/>
    <s v="Amit Kumar"/>
    <s v="Mumbai"/>
    <s v="Maharashtra"/>
    <x v="0"/>
    <x v="1"/>
    <s v="Accessories"/>
    <s v="Vikram Joshi"/>
    <n v="1"/>
    <n v="1500"/>
    <n v="900"/>
    <n v="0.2"/>
    <n v="1200"/>
    <n v="900"/>
    <n v="300"/>
    <x v="0"/>
    <s v="Returned"/>
  </r>
  <r>
    <s v="ORD0656"/>
    <s v="CUST0656"/>
    <x v="130"/>
    <s v="Pooja Das"/>
    <s v="Mumbai"/>
    <s v="Maharashtra"/>
    <x v="0"/>
    <x v="6"/>
    <s v="Accessories"/>
    <s v="Neha Gupta"/>
    <n v="6"/>
    <n v="3000"/>
    <n v="1800"/>
    <n v="0.21"/>
    <n v="14220"/>
    <n v="10800"/>
    <n v="3420"/>
    <x v="2"/>
    <s v="Delivered"/>
  </r>
  <r>
    <s v="ORD0657"/>
    <s v="CUST0657"/>
    <x v="427"/>
    <s v="Meera Shah"/>
    <s v="Ahmedabad"/>
    <s v="Gujarat"/>
    <x v="0"/>
    <x v="9"/>
    <s v="Accessories"/>
    <s v="Priya Nair"/>
    <n v="3"/>
    <n v="800"/>
    <n v="450"/>
    <n v="0.14000000000000001"/>
    <n v="2064"/>
    <n v="1350"/>
    <n v="714"/>
    <x v="2"/>
    <s v="In Transit"/>
  </r>
  <r>
    <s v="ORD0658"/>
    <s v="CUST0658"/>
    <x v="373"/>
    <s v="Priya Patel"/>
    <s v="Hyderabad"/>
    <s v="Telangana"/>
    <x v="1"/>
    <x v="3"/>
    <s v="Electronics"/>
    <s v="Rahul Verma"/>
    <n v="6"/>
    <n v="25000"/>
    <n v="20000"/>
    <n v="0.06"/>
    <n v="141000"/>
    <n v="120000"/>
    <n v="21000"/>
    <x v="3"/>
    <s v="In Transit"/>
  </r>
  <r>
    <s v="ORD0659"/>
    <s v="CUST0659"/>
    <x v="428"/>
    <s v="Aditya Mishra"/>
    <s v="Coimbatore"/>
    <s v="Tamil Nadu"/>
    <x v="1"/>
    <x v="3"/>
    <s v="Electronics"/>
    <s v="Pooja Das"/>
    <n v="6"/>
    <n v="25000"/>
    <n v="20000"/>
    <n v="0.27"/>
    <n v="109500"/>
    <n v="120000"/>
    <n v="-10500"/>
    <x v="2"/>
    <s v="Cancelled"/>
  </r>
  <r>
    <s v="ORD0660"/>
    <s v="CUST0660"/>
    <x v="429"/>
    <s v="Suresh Iyer"/>
    <s v="Mumbai"/>
    <s v="Maharashtra"/>
    <x v="0"/>
    <x v="0"/>
    <s v="Office"/>
    <s v="Neha Gupta"/>
    <n v="3"/>
    <n v="18000"/>
    <n v="14000"/>
    <n v="0.06"/>
    <n v="50760"/>
    <n v="42000"/>
    <n v="8760"/>
    <x v="4"/>
    <s v="In Transit"/>
  </r>
  <r>
    <s v="ORD0661"/>
    <s v="CUST0661"/>
    <x v="217"/>
    <s v="Nikhil Jain"/>
    <s v="New Delhi"/>
    <s v="Delhi"/>
    <x v="2"/>
    <x v="2"/>
    <s v="Electronics"/>
    <s v="Karan Singh"/>
    <n v="9"/>
    <n v="35000"/>
    <n v="28000"/>
    <n v="0.3"/>
    <n v="220500"/>
    <n v="252000"/>
    <n v="-31500"/>
    <x v="1"/>
    <s v="Cancelled"/>
  </r>
  <r>
    <s v="ORD0662"/>
    <s v="CUST0662"/>
    <x v="329"/>
    <s v="Rahul Sharma"/>
    <s v="Surat"/>
    <s v="Gujarat"/>
    <x v="0"/>
    <x v="1"/>
    <s v="Accessories"/>
    <s v="Anjali Mehta"/>
    <n v="4"/>
    <n v="1500"/>
    <n v="900"/>
    <n v="0.15"/>
    <n v="5100"/>
    <n v="3600"/>
    <n v="1500"/>
    <x v="2"/>
    <s v="In Transit"/>
  </r>
  <r>
    <s v="ORD0663"/>
    <s v="CUST0663"/>
    <x v="430"/>
    <s v="Deepika Roy"/>
    <s v="Mumbai"/>
    <s v="Maharashtra"/>
    <x v="0"/>
    <x v="1"/>
    <s v="Accessories"/>
    <s v="Rahul Verma"/>
    <n v="9"/>
    <n v="1500"/>
    <n v="900"/>
    <n v="0.27"/>
    <n v="9855"/>
    <n v="8100"/>
    <n v="1755"/>
    <x v="0"/>
    <s v="Returned"/>
  </r>
  <r>
    <s v="ORD0664"/>
    <s v="CUST0664"/>
    <x v="431"/>
    <s v="Rohit Verma"/>
    <s v="Mysuru"/>
    <s v="Karnataka"/>
    <x v="1"/>
    <x v="1"/>
    <s v="Accessories"/>
    <s v="Karan Singh"/>
    <n v="3"/>
    <n v="1500"/>
    <n v="900"/>
    <n v="0.01"/>
    <n v="4455"/>
    <n v="2700"/>
    <n v="1755"/>
    <x v="3"/>
    <s v="Delivered"/>
  </r>
  <r>
    <s v="ORD0665"/>
    <s v="CUST0665"/>
    <x v="43"/>
    <s v="Aditya Mishra"/>
    <s v="Kolkata"/>
    <s v="West Bengal"/>
    <x v="3"/>
    <x v="4"/>
    <s v="Wearables"/>
    <s v="Rahul Verma"/>
    <n v="1"/>
    <n v="12000"/>
    <n v="8500"/>
    <n v="0.27"/>
    <n v="8760"/>
    <n v="8500"/>
    <n v="260"/>
    <x v="1"/>
    <s v="Cancelled"/>
  </r>
  <r>
    <s v="ORD0666"/>
    <s v="CUST0666"/>
    <x v="51"/>
    <s v="Meera Shah"/>
    <s v="New Delhi"/>
    <s v="Delhi"/>
    <x v="2"/>
    <x v="8"/>
    <s v="Office"/>
    <s v="Anjali Mehta"/>
    <n v="3"/>
    <n v="15000"/>
    <n v="11500"/>
    <n v="0.27"/>
    <n v="32850"/>
    <n v="34500"/>
    <n v="-1650"/>
    <x v="0"/>
    <s v="Returned"/>
  </r>
  <r>
    <s v="ORD0667"/>
    <s v="CUST0667"/>
    <x v="257"/>
    <s v="Priya Patel"/>
    <s v="Jaipur"/>
    <s v="Rajasthan"/>
    <x v="2"/>
    <x v="5"/>
    <s v="Electronics"/>
    <s v="Anjali Mehta"/>
    <n v="3"/>
    <n v="5000"/>
    <n v="3200"/>
    <n v="0.02"/>
    <n v="14700"/>
    <n v="9600"/>
    <n v="5100"/>
    <x v="1"/>
    <s v="Cancelled"/>
  </r>
  <r>
    <s v="ORD0668"/>
    <s v="CUST0668"/>
    <x v="432"/>
    <s v="Kavya Reddy"/>
    <s v="Bengaluru"/>
    <s v="Karnataka"/>
    <x v="1"/>
    <x v="5"/>
    <s v="Electronics"/>
    <s v="Amit Sharma"/>
    <n v="3"/>
    <n v="5000"/>
    <n v="3200"/>
    <n v="0.09"/>
    <n v="13650"/>
    <n v="9600"/>
    <n v="4050"/>
    <x v="1"/>
    <s v="Cancelled"/>
  </r>
  <r>
    <s v="ORD0669"/>
    <s v="CUST0669"/>
    <x v="65"/>
    <s v="Divya Menon"/>
    <s v="Jaipur"/>
    <s v="Rajasthan"/>
    <x v="2"/>
    <x v="7"/>
    <s v="Electronics"/>
    <s v="Pooja Das"/>
    <n v="7"/>
    <n v="65000"/>
    <n v="52000"/>
    <n v="0.1"/>
    <n v="409500"/>
    <n v="364000"/>
    <n v="45500"/>
    <x v="1"/>
    <s v="In Transit"/>
  </r>
  <r>
    <s v="ORD0670"/>
    <s v="CUST0670"/>
    <x v="433"/>
    <s v="Rahul Sharma"/>
    <s v="Mumbai"/>
    <s v="Maharashtra"/>
    <x v="0"/>
    <x v="9"/>
    <s v="Accessories"/>
    <s v="Anjali Mehta"/>
    <n v="10"/>
    <n v="800"/>
    <n v="450"/>
    <n v="0.01"/>
    <n v="7920"/>
    <n v="4500"/>
    <n v="3420"/>
    <x v="4"/>
    <s v="Returned"/>
  </r>
  <r>
    <s v="ORD0671"/>
    <s v="CUST0671"/>
    <x v="77"/>
    <s v="Suresh Iyer"/>
    <s v="Pune"/>
    <s v="Maharashtra"/>
    <x v="0"/>
    <x v="8"/>
    <s v="Office"/>
    <s v="Priya Nair"/>
    <n v="6"/>
    <n v="15000"/>
    <n v="11500"/>
    <n v="0.23"/>
    <n v="69300"/>
    <n v="69000"/>
    <n v="300"/>
    <x v="1"/>
    <s v="Returned"/>
  </r>
  <r>
    <s v="ORD0672"/>
    <s v="CUST0672"/>
    <x v="114"/>
    <s v="Rohit Verma"/>
    <s v="Jaipur"/>
    <s v="Rajasthan"/>
    <x v="2"/>
    <x v="7"/>
    <s v="Electronics"/>
    <s v="Priya Nair"/>
    <n v="9"/>
    <n v="65000"/>
    <n v="52000"/>
    <n v="0.2"/>
    <n v="468000"/>
    <n v="468000"/>
    <n v="0"/>
    <x v="0"/>
    <s v="Returned"/>
  </r>
  <r>
    <s v="ORD0673"/>
    <s v="CUST0673"/>
    <x v="396"/>
    <s v="Meera Shah"/>
    <s v="Bengaluru"/>
    <s v="Karnataka"/>
    <x v="1"/>
    <x v="5"/>
    <s v="Electronics"/>
    <s v="Arjun Rao"/>
    <n v="5"/>
    <n v="5000"/>
    <n v="3200"/>
    <n v="0.15"/>
    <n v="21250"/>
    <n v="16000"/>
    <n v="5250"/>
    <x v="0"/>
    <s v="In Transit"/>
  </r>
  <r>
    <s v="ORD0674"/>
    <s v="CUST0674"/>
    <x v="434"/>
    <s v="Pooja Das"/>
    <s v="Surat"/>
    <s v="Gujarat"/>
    <x v="0"/>
    <x v="1"/>
    <s v="Accessories"/>
    <s v="Neha Gupta"/>
    <n v="3"/>
    <n v="1500"/>
    <n v="900"/>
    <n v="0.14000000000000001"/>
    <n v="3870"/>
    <n v="2700"/>
    <n v="1170"/>
    <x v="0"/>
    <s v="Returned"/>
  </r>
  <r>
    <s v="ORD0675"/>
    <s v="CUST0675"/>
    <x v="435"/>
    <s v="Kavya Reddy"/>
    <s v="Hyderabad"/>
    <s v="Telangana"/>
    <x v="1"/>
    <x v="4"/>
    <s v="Wearables"/>
    <s v="Anjali Mehta"/>
    <n v="8"/>
    <n v="12000"/>
    <n v="8500"/>
    <n v="0.18"/>
    <n v="78720"/>
    <n v="68000"/>
    <n v="10720"/>
    <x v="2"/>
    <s v="In Transit"/>
  </r>
  <r>
    <s v="ORD0676"/>
    <s v="CUST0676"/>
    <x v="436"/>
    <s v="Anjali Rao"/>
    <s v="Hyderabad"/>
    <s v="Telangana"/>
    <x v="1"/>
    <x v="9"/>
    <s v="Accessories"/>
    <s v="Priya Nair"/>
    <n v="10"/>
    <n v="800"/>
    <n v="450"/>
    <n v="0.03"/>
    <n v="7760"/>
    <n v="4500"/>
    <n v="3260"/>
    <x v="3"/>
    <s v="Delivered"/>
  </r>
  <r>
    <s v="ORD0677"/>
    <s v="CUST0677"/>
    <x v="437"/>
    <s v="Arjun Mehta"/>
    <s v="Ahmedabad"/>
    <s v="Gujarat"/>
    <x v="0"/>
    <x v="7"/>
    <s v="Electronics"/>
    <s v="Rahul Verma"/>
    <n v="1"/>
    <n v="65000"/>
    <n v="52000"/>
    <n v="0.04"/>
    <n v="62400"/>
    <n v="52000"/>
    <n v="10400"/>
    <x v="2"/>
    <s v="Returned"/>
  </r>
  <r>
    <s v="ORD0678"/>
    <s v="CUST0678"/>
    <x v="438"/>
    <s v="Suresh Iyer"/>
    <s v="Mysuru"/>
    <s v="Karnataka"/>
    <x v="1"/>
    <x v="8"/>
    <s v="Office"/>
    <s v="Anjali Mehta"/>
    <n v="2"/>
    <n v="15000"/>
    <n v="11500"/>
    <n v="0.03"/>
    <n v="29100"/>
    <n v="23000"/>
    <n v="6100"/>
    <x v="3"/>
    <s v="Delivered"/>
  </r>
  <r>
    <s v="ORD0679"/>
    <s v="CUST0679"/>
    <x v="363"/>
    <s v="Rohit Verma"/>
    <s v="Pune"/>
    <s v="Maharashtra"/>
    <x v="0"/>
    <x v="1"/>
    <s v="Accessories"/>
    <s v="Amit Sharma"/>
    <n v="6"/>
    <n v="1500"/>
    <n v="900"/>
    <n v="0.04"/>
    <n v="8640"/>
    <n v="5400"/>
    <n v="3240"/>
    <x v="3"/>
    <s v="Returned"/>
  </r>
  <r>
    <s v="ORD0680"/>
    <s v="CUST0680"/>
    <x v="198"/>
    <s v="Priya Patel"/>
    <s v="Pune"/>
    <s v="Maharashtra"/>
    <x v="0"/>
    <x v="9"/>
    <s v="Accessories"/>
    <s v="Neha Gupta"/>
    <n v="9"/>
    <n v="800"/>
    <n v="450"/>
    <n v="0.15"/>
    <n v="6120"/>
    <n v="4050"/>
    <n v="2070"/>
    <x v="0"/>
    <s v="Cancelled"/>
  </r>
  <r>
    <s v="ORD0681"/>
    <s v="CUST0681"/>
    <x v="150"/>
    <s v="Anjali Rao"/>
    <s v="Mysuru"/>
    <s v="Karnataka"/>
    <x v="1"/>
    <x v="1"/>
    <s v="Accessories"/>
    <s v="Arjun Rao"/>
    <n v="1"/>
    <n v="1500"/>
    <n v="900"/>
    <n v="0.15"/>
    <n v="1275"/>
    <n v="900"/>
    <n v="375"/>
    <x v="1"/>
    <s v="In Transit"/>
  </r>
  <r>
    <s v="ORD0682"/>
    <s v="CUST0682"/>
    <x v="28"/>
    <s v="Kavya Reddy"/>
    <s v="New Delhi"/>
    <s v="Delhi"/>
    <x v="2"/>
    <x v="6"/>
    <s v="Accessories"/>
    <s v="Anjali Mehta"/>
    <n v="5"/>
    <n v="3000"/>
    <n v="1800"/>
    <n v="0.17"/>
    <n v="12450"/>
    <n v="9000"/>
    <n v="3450"/>
    <x v="4"/>
    <s v="In Transit"/>
  </r>
  <r>
    <s v="ORD0683"/>
    <s v="CUST0683"/>
    <x v="255"/>
    <s v="Sneha Nair"/>
    <s v="Chennai"/>
    <s v="Tamil Nadu"/>
    <x v="1"/>
    <x v="7"/>
    <s v="Electronics"/>
    <s v="Pooja Das"/>
    <n v="2"/>
    <n v="65000"/>
    <n v="52000"/>
    <n v="0.17"/>
    <n v="107900"/>
    <n v="104000"/>
    <n v="3900"/>
    <x v="1"/>
    <s v="In Transit"/>
  </r>
  <r>
    <s v="ORD0684"/>
    <s v="CUST0684"/>
    <x v="89"/>
    <s v="Suresh Iyer"/>
    <s v="Ahmedabad"/>
    <s v="Gujarat"/>
    <x v="0"/>
    <x v="2"/>
    <s v="Electronics"/>
    <s v="Vikram Joshi"/>
    <n v="4"/>
    <n v="35000"/>
    <n v="28000"/>
    <n v="0.2"/>
    <n v="112000"/>
    <n v="112000"/>
    <n v="0"/>
    <x v="4"/>
    <s v="Cancelled"/>
  </r>
  <r>
    <s v="ORD0685"/>
    <s v="CUST0685"/>
    <x v="236"/>
    <s v="Vikram Singh"/>
    <s v="Hyderabad"/>
    <s v="Telangana"/>
    <x v="1"/>
    <x v="2"/>
    <s v="Electronics"/>
    <s v="Priya Nair"/>
    <n v="3"/>
    <n v="35000"/>
    <n v="28000"/>
    <n v="0.03"/>
    <n v="101850"/>
    <n v="84000"/>
    <n v="17850"/>
    <x v="2"/>
    <s v="Cancelled"/>
  </r>
  <r>
    <s v="ORD0686"/>
    <s v="CUST0686"/>
    <x v="383"/>
    <s v="Meera Shah"/>
    <s v="Mysuru"/>
    <s v="Karnataka"/>
    <x v="1"/>
    <x v="5"/>
    <s v="Electronics"/>
    <s v="Rahul Verma"/>
    <n v="7"/>
    <n v="5000"/>
    <n v="3200"/>
    <n v="0.22"/>
    <n v="27300"/>
    <n v="22400"/>
    <n v="4900"/>
    <x v="4"/>
    <s v="In Transit"/>
  </r>
  <r>
    <s v="ORD0687"/>
    <s v="CUST0687"/>
    <x v="439"/>
    <s v="Karan Joshi"/>
    <s v="Jaipur"/>
    <s v="Rajasthan"/>
    <x v="2"/>
    <x v="7"/>
    <s v="Electronics"/>
    <s v="Amit Sharma"/>
    <n v="8"/>
    <n v="65000"/>
    <n v="52000"/>
    <n v="0.23"/>
    <n v="400400"/>
    <n v="416000"/>
    <n v="-15600"/>
    <x v="2"/>
    <s v="In Transit"/>
  </r>
  <r>
    <s v="ORD0688"/>
    <s v="CUST0688"/>
    <x v="9"/>
    <s v="Meera Shah"/>
    <s v="Kolkata"/>
    <s v="West Bengal"/>
    <x v="3"/>
    <x v="2"/>
    <s v="Electronics"/>
    <s v="Anjali Mehta"/>
    <n v="8"/>
    <n v="35000"/>
    <n v="28000"/>
    <n v="0.27"/>
    <n v="204400"/>
    <n v="224000"/>
    <n v="-19600"/>
    <x v="0"/>
    <s v="Cancelled"/>
  </r>
  <r>
    <s v="ORD0689"/>
    <s v="CUST0689"/>
    <x v="440"/>
    <s v="Aisha Khan"/>
    <s v="Bengaluru"/>
    <s v="Karnataka"/>
    <x v="1"/>
    <x v="0"/>
    <s v="Office"/>
    <s v="Arjun Rao"/>
    <n v="8"/>
    <n v="18000"/>
    <n v="14000"/>
    <n v="0.28000000000000003"/>
    <n v="103680"/>
    <n v="112000"/>
    <n v="-8320"/>
    <x v="2"/>
    <s v="Delivered"/>
  </r>
  <r>
    <s v="ORD0690"/>
    <s v="CUST0690"/>
    <x v="441"/>
    <s v="Rohit Verma"/>
    <s v="Surat"/>
    <s v="Gujarat"/>
    <x v="0"/>
    <x v="9"/>
    <s v="Accessories"/>
    <s v="Neha Gupta"/>
    <n v="5"/>
    <n v="800"/>
    <n v="450"/>
    <n v="0.1"/>
    <n v="3600"/>
    <n v="2250"/>
    <n v="1350"/>
    <x v="4"/>
    <s v="Cancelled"/>
  </r>
  <r>
    <s v="ORD0691"/>
    <s v="CUST0691"/>
    <x v="442"/>
    <s v="Sneha Nair"/>
    <s v="Surat"/>
    <s v="Gujarat"/>
    <x v="0"/>
    <x v="2"/>
    <s v="Electronics"/>
    <s v="Sneha Patil"/>
    <n v="5"/>
    <n v="35000"/>
    <n v="28000"/>
    <n v="0"/>
    <n v="175000"/>
    <n v="140000"/>
    <n v="35000"/>
    <x v="4"/>
    <s v="In Transit"/>
  </r>
  <r>
    <s v="ORD0692"/>
    <s v="CUST0692"/>
    <x v="374"/>
    <s v="Divya Menon"/>
    <s v="Bengaluru"/>
    <s v="Karnataka"/>
    <x v="1"/>
    <x v="4"/>
    <s v="Wearables"/>
    <s v="Anjali Mehta"/>
    <n v="8"/>
    <n v="12000"/>
    <n v="8500"/>
    <n v="0.23"/>
    <n v="73920"/>
    <n v="68000"/>
    <n v="5920"/>
    <x v="2"/>
    <s v="In Transit"/>
  </r>
  <r>
    <s v="ORD0693"/>
    <s v="CUST0693"/>
    <x v="443"/>
    <s v="Meera Shah"/>
    <s v="Surat"/>
    <s v="Gujarat"/>
    <x v="0"/>
    <x v="4"/>
    <s v="Wearables"/>
    <s v="Priya Nair"/>
    <n v="3"/>
    <n v="12000"/>
    <n v="8500"/>
    <n v="0.12"/>
    <n v="31680"/>
    <n v="25500"/>
    <n v="6180"/>
    <x v="4"/>
    <s v="Cancelled"/>
  </r>
  <r>
    <s v="ORD0694"/>
    <s v="CUST0694"/>
    <x v="224"/>
    <s v="Aisha Khan"/>
    <s v="Surat"/>
    <s v="Gujarat"/>
    <x v="0"/>
    <x v="7"/>
    <s v="Electronics"/>
    <s v="Anjali Mehta"/>
    <n v="3"/>
    <n v="65000"/>
    <n v="52000"/>
    <n v="0.21"/>
    <n v="154050"/>
    <n v="156000"/>
    <n v="-1950"/>
    <x v="4"/>
    <s v="Cancelled"/>
  </r>
  <r>
    <s v="ORD0695"/>
    <s v="CUST0695"/>
    <x v="444"/>
    <s v="Priya Patel"/>
    <s v="Surat"/>
    <s v="Gujarat"/>
    <x v="0"/>
    <x v="8"/>
    <s v="Office"/>
    <s v="Sneha Patil"/>
    <n v="6"/>
    <n v="15000"/>
    <n v="11500"/>
    <n v="0.27"/>
    <n v="65700"/>
    <n v="69000"/>
    <n v="-3300"/>
    <x v="2"/>
    <s v="In Transit"/>
  </r>
  <r>
    <s v="ORD0696"/>
    <s v="CUST0696"/>
    <x v="0"/>
    <s v="Pooja Das"/>
    <s v="Ahmedabad"/>
    <s v="Gujarat"/>
    <x v="0"/>
    <x v="6"/>
    <s v="Accessories"/>
    <s v="Arjun Rao"/>
    <n v="9"/>
    <n v="3000"/>
    <n v="1800"/>
    <n v="0.11"/>
    <n v="24030"/>
    <n v="16200"/>
    <n v="7830"/>
    <x v="2"/>
    <s v="Returned"/>
  </r>
  <r>
    <s v="ORD0697"/>
    <s v="CUST0697"/>
    <x v="167"/>
    <s v="Aditya Mishra"/>
    <s v="Surat"/>
    <s v="Gujarat"/>
    <x v="0"/>
    <x v="9"/>
    <s v="Accessories"/>
    <s v="Pooja Das"/>
    <n v="3"/>
    <n v="800"/>
    <n v="450"/>
    <n v="0.24"/>
    <n v="1824"/>
    <n v="1350"/>
    <n v="474"/>
    <x v="3"/>
    <s v="Delivered"/>
  </r>
  <r>
    <s v="ORD0698"/>
    <s v="CUST0698"/>
    <x v="443"/>
    <s v="Sneha Nair"/>
    <s v="Chennai"/>
    <s v="Tamil Nadu"/>
    <x v="1"/>
    <x v="1"/>
    <s v="Accessories"/>
    <s v="Vikram Joshi"/>
    <n v="1"/>
    <n v="1500"/>
    <n v="900"/>
    <n v="0.16"/>
    <n v="1260"/>
    <n v="900"/>
    <n v="360"/>
    <x v="2"/>
    <s v="Cancelled"/>
  </r>
  <r>
    <s v="ORD0699"/>
    <s v="CUST0699"/>
    <x v="445"/>
    <s v="Suresh Iyer"/>
    <s v="Chennai"/>
    <s v="Tamil Nadu"/>
    <x v="1"/>
    <x v="6"/>
    <s v="Accessories"/>
    <s v="Amit Sharma"/>
    <n v="1"/>
    <n v="3000"/>
    <n v="1800"/>
    <n v="0.04"/>
    <n v="2880"/>
    <n v="1800"/>
    <n v="1080"/>
    <x v="2"/>
    <s v="In Transit"/>
  </r>
  <r>
    <s v="ORD0700"/>
    <s v="CUST0700"/>
    <x v="87"/>
    <s v="Divya Menon"/>
    <s v="Ahmedabad"/>
    <s v="Gujarat"/>
    <x v="0"/>
    <x v="9"/>
    <s v="Accessories"/>
    <s v="Karan Singh"/>
    <n v="10"/>
    <n v="800"/>
    <n v="450"/>
    <n v="0.23"/>
    <n v="6160"/>
    <n v="4500"/>
    <n v="1660"/>
    <x v="1"/>
    <s v="Cancelled"/>
  </r>
  <r>
    <s v="ORD0701"/>
    <s v="CUST0701"/>
    <x v="359"/>
    <s v="Neha Gupta"/>
    <s v="Jaipur"/>
    <s v="Rajasthan"/>
    <x v="2"/>
    <x v="3"/>
    <s v="Electronics"/>
    <s v="Priya Nair"/>
    <n v="2"/>
    <n v="25000"/>
    <n v="20000"/>
    <n v="0.19"/>
    <n v="40500"/>
    <n v="40000"/>
    <n v="500"/>
    <x v="1"/>
    <s v="Cancelled"/>
  </r>
  <r>
    <s v="ORD0702"/>
    <s v="CUST0702"/>
    <x v="195"/>
    <s v="Aditya Mishra"/>
    <s v="Kolkata"/>
    <s v="West Bengal"/>
    <x v="3"/>
    <x v="6"/>
    <s v="Accessories"/>
    <s v="Arjun Rao"/>
    <n v="8"/>
    <n v="3000"/>
    <n v="1800"/>
    <n v="0.21"/>
    <n v="18960"/>
    <n v="14400"/>
    <n v="4560"/>
    <x v="2"/>
    <s v="Returned"/>
  </r>
  <r>
    <s v="ORD0703"/>
    <s v="CUST0703"/>
    <x v="277"/>
    <s v="Aisha Khan"/>
    <s v="Bengaluru"/>
    <s v="Karnataka"/>
    <x v="1"/>
    <x v="8"/>
    <s v="Office"/>
    <s v="Rahul Verma"/>
    <n v="6"/>
    <n v="15000"/>
    <n v="11500"/>
    <n v="0.08"/>
    <n v="82800"/>
    <n v="69000"/>
    <n v="13800"/>
    <x v="3"/>
    <s v="Delivered"/>
  </r>
  <r>
    <s v="ORD0704"/>
    <s v="CUST0704"/>
    <x v="386"/>
    <s v="Neha Gupta"/>
    <s v="Mumbai"/>
    <s v="Maharashtra"/>
    <x v="0"/>
    <x v="3"/>
    <s v="Electronics"/>
    <s v="Arjun Rao"/>
    <n v="6"/>
    <n v="25000"/>
    <n v="20000"/>
    <n v="0.27"/>
    <n v="109500"/>
    <n v="120000"/>
    <n v="-10500"/>
    <x v="4"/>
    <s v="Delivered"/>
  </r>
  <r>
    <s v="ORD0705"/>
    <s v="CUST0705"/>
    <x v="446"/>
    <s v="Pooja Das"/>
    <s v="Warangal"/>
    <s v="Telangana"/>
    <x v="1"/>
    <x v="8"/>
    <s v="Office"/>
    <s v="Anjali Mehta"/>
    <n v="4"/>
    <n v="15000"/>
    <n v="11500"/>
    <n v="0.27"/>
    <n v="43800"/>
    <n v="46000"/>
    <n v="-2200"/>
    <x v="4"/>
    <s v="Delivered"/>
  </r>
  <r>
    <s v="ORD0706"/>
    <s v="CUST0706"/>
    <x v="60"/>
    <s v="Vikram Singh"/>
    <s v="Coimbatore"/>
    <s v="Tamil Nadu"/>
    <x v="1"/>
    <x v="1"/>
    <s v="Accessories"/>
    <s v="Rahul Verma"/>
    <n v="7"/>
    <n v="1500"/>
    <n v="900"/>
    <n v="0.15"/>
    <n v="8925"/>
    <n v="6300"/>
    <n v="2625"/>
    <x v="2"/>
    <s v="Returned"/>
  </r>
  <r>
    <s v="ORD0707"/>
    <s v="CUST0707"/>
    <x v="209"/>
    <s v="Sneha Nair"/>
    <s v="Jaipur"/>
    <s v="Rajasthan"/>
    <x v="2"/>
    <x v="4"/>
    <s v="Wearables"/>
    <s v="Sneha Patil"/>
    <n v="8"/>
    <n v="12000"/>
    <n v="8500"/>
    <n v="0.15"/>
    <n v="81600"/>
    <n v="68000"/>
    <n v="13600"/>
    <x v="0"/>
    <s v="In Transit"/>
  </r>
  <r>
    <s v="ORD0708"/>
    <s v="CUST0708"/>
    <x v="447"/>
    <s v="Kavya Reddy"/>
    <s v="Mumbai"/>
    <s v="Maharashtra"/>
    <x v="0"/>
    <x v="4"/>
    <s v="Wearables"/>
    <s v="Anjali Mehta"/>
    <n v="4"/>
    <n v="12000"/>
    <n v="8500"/>
    <n v="0.15"/>
    <n v="40800"/>
    <n v="34000"/>
    <n v="6800"/>
    <x v="4"/>
    <s v="Delivered"/>
  </r>
  <r>
    <s v="ORD0709"/>
    <s v="CUST0709"/>
    <x v="448"/>
    <s v="Meera Shah"/>
    <s v="New Delhi"/>
    <s v="Delhi"/>
    <x v="2"/>
    <x v="1"/>
    <s v="Accessories"/>
    <s v="Sneha Patil"/>
    <n v="9"/>
    <n v="1500"/>
    <n v="900"/>
    <n v="0.18"/>
    <n v="11070"/>
    <n v="8100"/>
    <n v="2970"/>
    <x v="4"/>
    <s v="In Transit"/>
  </r>
  <r>
    <s v="ORD0710"/>
    <s v="CUST0710"/>
    <x v="238"/>
    <s v="Aditya Mishra"/>
    <s v="New Delhi"/>
    <s v="Delhi"/>
    <x v="2"/>
    <x v="9"/>
    <s v="Accessories"/>
    <s v="Vikram Joshi"/>
    <n v="9"/>
    <n v="800"/>
    <n v="450"/>
    <n v="0.19"/>
    <n v="5832"/>
    <n v="4050"/>
    <n v="1782"/>
    <x v="3"/>
    <s v="Delivered"/>
  </r>
  <r>
    <s v="ORD0711"/>
    <s v="CUST0711"/>
    <x v="449"/>
    <s v="Arjun Mehta"/>
    <s v="Bengaluru"/>
    <s v="Karnataka"/>
    <x v="1"/>
    <x v="8"/>
    <s v="Office"/>
    <s v="Karan Singh"/>
    <n v="8"/>
    <n v="15000"/>
    <n v="11500"/>
    <n v="0.16"/>
    <n v="100800"/>
    <n v="92000"/>
    <n v="8800"/>
    <x v="1"/>
    <s v="Cancelled"/>
  </r>
  <r>
    <s v="ORD0712"/>
    <s v="CUST0712"/>
    <x v="145"/>
    <s v="Suresh Iyer"/>
    <s v="New Delhi"/>
    <s v="Delhi"/>
    <x v="2"/>
    <x v="1"/>
    <s v="Accessories"/>
    <s v="Anjali Mehta"/>
    <n v="8"/>
    <n v="1500"/>
    <n v="900"/>
    <n v="0.23"/>
    <n v="9240"/>
    <n v="7200"/>
    <n v="2040"/>
    <x v="3"/>
    <s v="Returned"/>
  </r>
  <r>
    <s v="ORD0713"/>
    <s v="CUST0713"/>
    <x v="266"/>
    <s v="Suresh Iyer"/>
    <s v="Bengaluru"/>
    <s v="Karnataka"/>
    <x v="1"/>
    <x v="3"/>
    <s v="Electronics"/>
    <s v="Pooja Das"/>
    <n v="3"/>
    <n v="25000"/>
    <n v="20000"/>
    <n v="0.28999999999999998"/>
    <n v="53250"/>
    <n v="60000"/>
    <n v="-6750"/>
    <x v="4"/>
    <s v="Delivered"/>
  </r>
  <r>
    <s v="ORD0714"/>
    <s v="CUST0714"/>
    <x v="450"/>
    <s v="Pooja Das"/>
    <s v="Chennai"/>
    <s v="Tamil Nadu"/>
    <x v="1"/>
    <x v="8"/>
    <s v="Office"/>
    <s v="Rahul Verma"/>
    <n v="3"/>
    <n v="15000"/>
    <n v="11500"/>
    <n v="0.24"/>
    <n v="34200"/>
    <n v="34500"/>
    <n v="-300"/>
    <x v="0"/>
    <s v="Returned"/>
  </r>
  <r>
    <s v="ORD0715"/>
    <s v="CUST0715"/>
    <x v="94"/>
    <s v="Arjun Mehta"/>
    <s v="Mumbai"/>
    <s v="Maharashtra"/>
    <x v="0"/>
    <x v="6"/>
    <s v="Accessories"/>
    <s v="Sneha Patil"/>
    <n v="7"/>
    <n v="3000"/>
    <n v="1800"/>
    <n v="0.28000000000000003"/>
    <n v="15120"/>
    <n v="12600"/>
    <n v="2520"/>
    <x v="4"/>
    <s v="Delivered"/>
  </r>
  <r>
    <s v="ORD0716"/>
    <s v="CUST0716"/>
    <x v="262"/>
    <s v="Anjali Rao"/>
    <s v="Mumbai"/>
    <s v="Maharashtra"/>
    <x v="0"/>
    <x v="6"/>
    <s v="Accessories"/>
    <s v="Arjun Rao"/>
    <n v="4"/>
    <n v="3000"/>
    <n v="1800"/>
    <n v="0.17"/>
    <n v="9960"/>
    <n v="7200"/>
    <n v="2760"/>
    <x v="0"/>
    <s v="Delivered"/>
  </r>
  <r>
    <s v="ORD0717"/>
    <s v="CUST0717"/>
    <x v="451"/>
    <s v="Arjun Mehta"/>
    <s v="Kolkata"/>
    <s v="West Bengal"/>
    <x v="3"/>
    <x v="7"/>
    <s v="Electronics"/>
    <s v="Rahul Verma"/>
    <n v="7"/>
    <n v="65000"/>
    <n v="52000"/>
    <n v="0.13"/>
    <n v="395850"/>
    <n v="364000"/>
    <n v="31850"/>
    <x v="0"/>
    <s v="Delivered"/>
  </r>
  <r>
    <s v="ORD0718"/>
    <s v="CUST0718"/>
    <x v="452"/>
    <s v="Vikram Singh"/>
    <s v="Mumbai"/>
    <s v="Maharashtra"/>
    <x v="0"/>
    <x v="3"/>
    <s v="Electronics"/>
    <s v="Arjun Rao"/>
    <n v="2"/>
    <n v="25000"/>
    <n v="20000"/>
    <n v="0.25"/>
    <n v="37500"/>
    <n v="40000"/>
    <n v="-2500"/>
    <x v="1"/>
    <s v="In Transit"/>
  </r>
  <r>
    <s v="ORD0719"/>
    <s v="CUST0719"/>
    <x v="453"/>
    <s v="Aditya Mishra"/>
    <s v="Bengaluru"/>
    <s v="Karnataka"/>
    <x v="1"/>
    <x v="9"/>
    <s v="Accessories"/>
    <s v="Arjun Rao"/>
    <n v="1"/>
    <n v="800"/>
    <n v="450"/>
    <n v="0"/>
    <n v="800"/>
    <n v="450"/>
    <n v="350"/>
    <x v="4"/>
    <s v="In Transit"/>
  </r>
  <r>
    <s v="ORD0720"/>
    <s v="CUST0720"/>
    <x v="155"/>
    <s v="Aisha Khan"/>
    <s v="Hyderabad"/>
    <s v="Telangana"/>
    <x v="1"/>
    <x v="9"/>
    <s v="Accessories"/>
    <s v="Anjali Mehta"/>
    <n v="10"/>
    <n v="800"/>
    <n v="450"/>
    <n v="0.05"/>
    <n v="7600"/>
    <n v="4500"/>
    <n v="3100"/>
    <x v="1"/>
    <s v="Cancelled"/>
  </r>
  <r>
    <s v="ORD0721"/>
    <s v="CUST0721"/>
    <x v="69"/>
    <s v="Priya Patel"/>
    <s v="Kolkata"/>
    <s v="West Bengal"/>
    <x v="3"/>
    <x v="0"/>
    <s v="Office"/>
    <s v="Neha Gupta"/>
    <n v="4"/>
    <n v="18000"/>
    <n v="14000"/>
    <n v="0.04"/>
    <n v="69120"/>
    <n v="56000"/>
    <n v="13120"/>
    <x v="0"/>
    <s v="In Transit"/>
  </r>
  <r>
    <s v="ORD0722"/>
    <s v="CUST0722"/>
    <x v="348"/>
    <s v="Priya Patel"/>
    <s v="Jaipur"/>
    <s v="Rajasthan"/>
    <x v="2"/>
    <x v="8"/>
    <s v="Office"/>
    <s v="Sneha Patil"/>
    <n v="1"/>
    <n v="15000"/>
    <n v="11500"/>
    <n v="0.24"/>
    <n v="11400"/>
    <n v="11500"/>
    <n v="-100"/>
    <x v="4"/>
    <s v="Cancelled"/>
  </r>
  <r>
    <s v="ORD0723"/>
    <s v="CUST0723"/>
    <x v="454"/>
    <s v="Vikram Singh"/>
    <s v="Hyderabad"/>
    <s v="Telangana"/>
    <x v="1"/>
    <x v="3"/>
    <s v="Electronics"/>
    <s v="Anjali Mehta"/>
    <n v="3"/>
    <n v="25000"/>
    <n v="20000"/>
    <n v="0.27"/>
    <n v="54750"/>
    <n v="60000"/>
    <n v="-5250"/>
    <x v="2"/>
    <s v="Cancelled"/>
  </r>
  <r>
    <s v="ORD0724"/>
    <s v="CUST0724"/>
    <x v="89"/>
    <s v="Deepika Roy"/>
    <s v="New Delhi"/>
    <s v="Delhi"/>
    <x v="2"/>
    <x v="2"/>
    <s v="Electronics"/>
    <s v="Anjali Mehta"/>
    <n v="1"/>
    <n v="35000"/>
    <n v="28000"/>
    <n v="0.12"/>
    <n v="30800"/>
    <n v="28000"/>
    <n v="2800"/>
    <x v="0"/>
    <s v="In Transit"/>
  </r>
  <r>
    <s v="ORD0725"/>
    <s v="CUST0725"/>
    <x v="287"/>
    <s v="Meera Shah"/>
    <s v="Jaipur"/>
    <s v="Rajasthan"/>
    <x v="2"/>
    <x v="1"/>
    <s v="Accessories"/>
    <s v="Pooja Das"/>
    <n v="7"/>
    <n v="1500"/>
    <n v="900"/>
    <n v="0.06"/>
    <n v="9870"/>
    <n v="6300"/>
    <n v="3570"/>
    <x v="2"/>
    <s v="In Transit"/>
  </r>
  <r>
    <s v="ORD0726"/>
    <s v="CUST0726"/>
    <x v="61"/>
    <s v="Aisha Khan"/>
    <s v="Jaipur"/>
    <s v="Rajasthan"/>
    <x v="2"/>
    <x v="2"/>
    <s v="Electronics"/>
    <s v="Priya Nair"/>
    <n v="10"/>
    <n v="35000"/>
    <n v="28000"/>
    <n v="0.11"/>
    <n v="311500"/>
    <n v="280000"/>
    <n v="31500"/>
    <x v="1"/>
    <s v="Cancelled"/>
  </r>
  <r>
    <s v="ORD0727"/>
    <s v="CUST0727"/>
    <x v="438"/>
    <s v="Meera Shah"/>
    <s v="Jaipur"/>
    <s v="Rajasthan"/>
    <x v="2"/>
    <x v="3"/>
    <s v="Electronics"/>
    <s v="Arjun Rao"/>
    <n v="6"/>
    <n v="25000"/>
    <n v="20000"/>
    <n v="0.24"/>
    <n v="114000"/>
    <n v="120000"/>
    <n v="-6000"/>
    <x v="0"/>
    <s v="Cancelled"/>
  </r>
  <r>
    <s v="ORD0728"/>
    <s v="CUST0728"/>
    <x v="109"/>
    <s v="Kavya Reddy"/>
    <s v="Hyderabad"/>
    <s v="Telangana"/>
    <x v="1"/>
    <x v="7"/>
    <s v="Electronics"/>
    <s v="Neha Gupta"/>
    <n v="5"/>
    <n v="65000"/>
    <n v="52000"/>
    <n v="0.28999999999999998"/>
    <n v="230750"/>
    <n v="260000"/>
    <n v="-29250"/>
    <x v="2"/>
    <s v="Delivered"/>
  </r>
  <r>
    <s v="ORD0729"/>
    <s v="CUST0729"/>
    <x v="147"/>
    <s v="Sneha Nair"/>
    <s v="Chennai"/>
    <s v="Tamil Nadu"/>
    <x v="1"/>
    <x v="2"/>
    <s v="Electronics"/>
    <s v="Neha Gupta"/>
    <n v="9"/>
    <n v="35000"/>
    <n v="28000"/>
    <n v="0.25"/>
    <n v="236250"/>
    <n v="252000"/>
    <n v="-15750"/>
    <x v="2"/>
    <s v="Returned"/>
  </r>
  <r>
    <s v="ORD0730"/>
    <s v="CUST0730"/>
    <x v="346"/>
    <s v="Meera Shah"/>
    <s v="Mysuru"/>
    <s v="Karnataka"/>
    <x v="1"/>
    <x v="4"/>
    <s v="Wearables"/>
    <s v="Priya Nair"/>
    <n v="10"/>
    <n v="12000"/>
    <n v="8500"/>
    <n v="0.14000000000000001"/>
    <n v="103200"/>
    <n v="85000"/>
    <n v="18200"/>
    <x v="4"/>
    <s v="Cancelled"/>
  </r>
  <r>
    <s v="ORD0731"/>
    <s v="CUST0731"/>
    <x v="252"/>
    <s v="Priya Patel"/>
    <s v="Bengaluru"/>
    <s v="Karnataka"/>
    <x v="1"/>
    <x v="7"/>
    <s v="Electronics"/>
    <s v="Anjali Mehta"/>
    <n v="6"/>
    <n v="65000"/>
    <n v="52000"/>
    <n v="0.23"/>
    <n v="300300"/>
    <n v="312000"/>
    <n v="-11700"/>
    <x v="0"/>
    <s v="Delivered"/>
  </r>
  <r>
    <s v="ORD0732"/>
    <s v="CUST0732"/>
    <x v="151"/>
    <s v="Rahul Sharma"/>
    <s v="Jaipur"/>
    <s v="Rajasthan"/>
    <x v="2"/>
    <x v="1"/>
    <s v="Accessories"/>
    <s v="Priya Nair"/>
    <n v="9"/>
    <n v="1500"/>
    <n v="900"/>
    <n v="0.12"/>
    <n v="11880"/>
    <n v="8100"/>
    <n v="3780"/>
    <x v="2"/>
    <s v="Cancelled"/>
  </r>
  <r>
    <s v="ORD0733"/>
    <s v="CUST0733"/>
    <x v="375"/>
    <s v="Karan Joshi"/>
    <s v="Ahmedabad"/>
    <s v="Gujarat"/>
    <x v="0"/>
    <x v="9"/>
    <s v="Accessories"/>
    <s v="Priya Nair"/>
    <n v="2"/>
    <n v="800"/>
    <n v="450"/>
    <n v="0.19"/>
    <n v="1296"/>
    <n v="900"/>
    <n v="396"/>
    <x v="1"/>
    <s v="Cancelled"/>
  </r>
  <r>
    <s v="ORD0734"/>
    <s v="CUST0734"/>
    <x v="317"/>
    <s v="Priya Patel"/>
    <s v="New Delhi"/>
    <s v="Delhi"/>
    <x v="2"/>
    <x v="3"/>
    <s v="Electronics"/>
    <s v="Rahul Verma"/>
    <n v="4"/>
    <n v="25000"/>
    <n v="20000"/>
    <n v="0.28000000000000003"/>
    <n v="72000"/>
    <n v="80000"/>
    <n v="-8000"/>
    <x v="3"/>
    <s v="Cancelled"/>
  </r>
  <r>
    <s v="ORD0735"/>
    <s v="CUST0735"/>
    <x v="33"/>
    <s v="Kavya Reddy"/>
    <s v="New Delhi"/>
    <s v="Delhi"/>
    <x v="2"/>
    <x v="4"/>
    <s v="Wearables"/>
    <s v="Arjun Rao"/>
    <n v="2"/>
    <n v="12000"/>
    <n v="8500"/>
    <n v="0.2"/>
    <n v="19200"/>
    <n v="17000"/>
    <n v="2200"/>
    <x v="3"/>
    <s v="Delivered"/>
  </r>
  <r>
    <s v="ORD0736"/>
    <s v="CUST0736"/>
    <x v="69"/>
    <s v="Vikram Singh"/>
    <s v="Ahmedabad"/>
    <s v="Gujarat"/>
    <x v="0"/>
    <x v="6"/>
    <s v="Accessories"/>
    <s v="Neha Gupta"/>
    <n v="7"/>
    <n v="3000"/>
    <n v="1800"/>
    <n v="0.03"/>
    <n v="20370"/>
    <n v="12600"/>
    <n v="7770"/>
    <x v="2"/>
    <s v="In Transit"/>
  </r>
  <r>
    <s v="ORD0737"/>
    <s v="CUST0737"/>
    <x v="130"/>
    <s v="Aisha Khan"/>
    <s v="Hyderabad"/>
    <s v="Telangana"/>
    <x v="1"/>
    <x v="3"/>
    <s v="Electronics"/>
    <s v="Pooja Das"/>
    <n v="7"/>
    <n v="25000"/>
    <n v="20000"/>
    <n v="0.28000000000000003"/>
    <n v="126000"/>
    <n v="140000"/>
    <n v="-14000"/>
    <x v="2"/>
    <s v="In Transit"/>
  </r>
  <r>
    <s v="ORD0738"/>
    <s v="CUST0738"/>
    <x v="306"/>
    <s v="Divya Menon"/>
    <s v="Surat"/>
    <s v="Gujarat"/>
    <x v="0"/>
    <x v="0"/>
    <s v="Office"/>
    <s v="Vikram Joshi"/>
    <n v="9"/>
    <n v="18000"/>
    <n v="14000"/>
    <n v="7.0000000000000007E-2"/>
    <n v="150660"/>
    <n v="126000"/>
    <n v="24660"/>
    <x v="4"/>
    <s v="In Transit"/>
  </r>
  <r>
    <s v="ORD0739"/>
    <s v="CUST0739"/>
    <x v="455"/>
    <s v="Amit Kumar"/>
    <s v="Bengaluru"/>
    <s v="Karnataka"/>
    <x v="1"/>
    <x v="8"/>
    <s v="Office"/>
    <s v="Arjun Rao"/>
    <n v="7"/>
    <n v="15000"/>
    <n v="11500"/>
    <n v="0.18"/>
    <n v="86100"/>
    <n v="80500"/>
    <n v="5600"/>
    <x v="1"/>
    <s v="Cancelled"/>
  </r>
  <r>
    <s v="ORD0740"/>
    <s v="CUST0740"/>
    <x v="328"/>
    <s v="Nikhil Jain"/>
    <s v="Bengaluru"/>
    <s v="Karnataka"/>
    <x v="1"/>
    <x v="2"/>
    <s v="Electronics"/>
    <s v="Neha Gupta"/>
    <n v="7"/>
    <n v="35000"/>
    <n v="28000"/>
    <n v="0.3"/>
    <n v="171500"/>
    <n v="196000"/>
    <n v="-24500"/>
    <x v="2"/>
    <s v="Delivered"/>
  </r>
  <r>
    <s v="ORD0741"/>
    <s v="CUST0741"/>
    <x v="94"/>
    <s v="Amit Kumar"/>
    <s v="Surat"/>
    <s v="Gujarat"/>
    <x v="0"/>
    <x v="4"/>
    <s v="Wearables"/>
    <s v="Vikram Joshi"/>
    <n v="10"/>
    <n v="12000"/>
    <n v="8500"/>
    <n v="0.27"/>
    <n v="87600"/>
    <n v="85000"/>
    <n v="2600"/>
    <x v="0"/>
    <s v="Returned"/>
  </r>
  <r>
    <s v="ORD0742"/>
    <s v="CUST0742"/>
    <x v="117"/>
    <s v="Rahul Sharma"/>
    <s v="Surat"/>
    <s v="Gujarat"/>
    <x v="0"/>
    <x v="5"/>
    <s v="Electronics"/>
    <s v="Anjali Mehta"/>
    <n v="1"/>
    <n v="5000"/>
    <n v="3200"/>
    <n v="0.18"/>
    <n v="4100"/>
    <n v="3200"/>
    <n v="900"/>
    <x v="4"/>
    <s v="Returned"/>
  </r>
  <r>
    <s v="ORD0743"/>
    <s v="CUST0743"/>
    <x v="268"/>
    <s v="Nikhil Jain"/>
    <s v="Bengaluru"/>
    <s v="Karnataka"/>
    <x v="1"/>
    <x v="5"/>
    <s v="Electronics"/>
    <s v="Amit Sharma"/>
    <n v="10"/>
    <n v="5000"/>
    <n v="3200"/>
    <n v="0"/>
    <n v="50000"/>
    <n v="32000"/>
    <n v="18000"/>
    <x v="2"/>
    <s v="Returned"/>
  </r>
  <r>
    <s v="ORD0744"/>
    <s v="CUST0744"/>
    <x v="456"/>
    <s v="Sneha Nair"/>
    <s v="Bengaluru"/>
    <s v="Karnataka"/>
    <x v="1"/>
    <x v="4"/>
    <s v="Wearables"/>
    <s v="Arjun Rao"/>
    <n v="7"/>
    <n v="12000"/>
    <n v="8500"/>
    <n v="0.27"/>
    <n v="61320"/>
    <n v="59500"/>
    <n v="1820"/>
    <x v="0"/>
    <s v="In Transit"/>
  </r>
  <r>
    <s v="ORD0745"/>
    <s v="CUST0745"/>
    <x v="308"/>
    <s v="Nikhil Jain"/>
    <s v="Chennai"/>
    <s v="Tamil Nadu"/>
    <x v="1"/>
    <x v="0"/>
    <s v="Office"/>
    <s v="Amit Sharma"/>
    <n v="1"/>
    <n v="18000"/>
    <n v="14000"/>
    <n v="0.06"/>
    <n v="16920"/>
    <n v="14000"/>
    <n v="2920"/>
    <x v="1"/>
    <s v="In Transit"/>
  </r>
  <r>
    <s v="ORD0746"/>
    <s v="CUST0746"/>
    <x v="241"/>
    <s v="Rahul Sharma"/>
    <s v="Kolkata"/>
    <s v="West Bengal"/>
    <x v="3"/>
    <x v="3"/>
    <s v="Electronics"/>
    <s v="Priya Nair"/>
    <n v="1"/>
    <n v="25000"/>
    <n v="20000"/>
    <n v="7.0000000000000007E-2"/>
    <n v="23250"/>
    <n v="20000"/>
    <n v="3250"/>
    <x v="1"/>
    <s v="Cancelled"/>
  </r>
  <r>
    <s v="ORD0747"/>
    <s v="CUST0747"/>
    <x v="142"/>
    <s v="Nikhil Jain"/>
    <s v="Chennai"/>
    <s v="Tamil Nadu"/>
    <x v="1"/>
    <x v="7"/>
    <s v="Electronics"/>
    <s v="Neha Gupta"/>
    <n v="5"/>
    <n v="65000"/>
    <n v="52000"/>
    <n v="0.08"/>
    <n v="299000"/>
    <n v="260000"/>
    <n v="39000"/>
    <x v="2"/>
    <s v="In Transit"/>
  </r>
  <r>
    <s v="ORD0748"/>
    <s v="CUST0748"/>
    <x v="370"/>
    <s v="Rahul Sharma"/>
    <s v="Surat"/>
    <s v="Gujarat"/>
    <x v="0"/>
    <x v="7"/>
    <s v="Electronics"/>
    <s v="Arjun Rao"/>
    <n v="2"/>
    <n v="65000"/>
    <n v="52000"/>
    <n v="0.28000000000000003"/>
    <n v="93600"/>
    <n v="104000"/>
    <n v="-10400"/>
    <x v="0"/>
    <s v="In Transit"/>
  </r>
  <r>
    <s v="ORD0749"/>
    <s v="CUST0749"/>
    <x v="457"/>
    <s v="Kavya Reddy"/>
    <s v="Mysuru"/>
    <s v="Karnataka"/>
    <x v="1"/>
    <x v="3"/>
    <s v="Electronics"/>
    <s v="Vikram Joshi"/>
    <n v="5"/>
    <n v="25000"/>
    <n v="20000"/>
    <n v="0.17"/>
    <n v="103750"/>
    <n v="100000"/>
    <n v="3750"/>
    <x v="4"/>
    <s v="Cancelled"/>
  </r>
  <r>
    <s v="ORD0750"/>
    <s v="CUST0750"/>
    <x v="52"/>
    <s v="Aditya Mishra"/>
    <s v="Ahmedabad"/>
    <s v="Gujarat"/>
    <x v="0"/>
    <x v="7"/>
    <s v="Electronics"/>
    <s v="Rahul Verma"/>
    <n v="2"/>
    <n v="65000"/>
    <n v="52000"/>
    <n v="0.17"/>
    <n v="107900"/>
    <n v="104000"/>
    <n v="3900"/>
    <x v="2"/>
    <s v="Cancelled"/>
  </r>
  <r>
    <s v="ORD0751"/>
    <s v="CUST0751"/>
    <x v="450"/>
    <s v="Priya Patel"/>
    <s v="Kolkata"/>
    <s v="West Bengal"/>
    <x v="3"/>
    <x v="5"/>
    <s v="Electronics"/>
    <s v="Sneha Patil"/>
    <n v="5"/>
    <n v="5000"/>
    <n v="3200"/>
    <n v="0.23"/>
    <n v="19250"/>
    <n v="16000"/>
    <n v="3250"/>
    <x v="4"/>
    <s v="Returned"/>
  </r>
  <r>
    <s v="ORD0752"/>
    <s v="CUST0752"/>
    <x v="263"/>
    <s v="Rohan Kulkarni"/>
    <s v="Jaipur"/>
    <s v="Rajasthan"/>
    <x v="2"/>
    <x v="8"/>
    <s v="Office"/>
    <s v="Sneha Patil"/>
    <n v="5"/>
    <n v="15000"/>
    <n v="11500"/>
    <n v="0.14000000000000001"/>
    <n v="64500"/>
    <n v="57500"/>
    <n v="7000"/>
    <x v="2"/>
    <s v="Returned"/>
  </r>
  <r>
    <s v="ORD0753"/>
    <s v="CUST0753"/>
    <x v="458"/>
    <s v="Neha Gupta"/>
    <s v="Mumbai"/>
    <s v="Maharashtra"/>
    <x v="0"/>
    <x v="3"/>
    <s v="Electronics"/>
    <s v="Pooja Das"/>
    <n v="2"/>
    <n v="25000"/>
    <n v="20000"/>
    <n v="0.1"/>
    <n v="45000"/>
    <n v="40000"/>
    <n v="5000"/>
    <x v="3"/>
    <s v="Cancelled"/>
  </r>
  <r>
    <s v="ORD0754"/>
    <s v="CUST0754"/>
    <x v="459"/>
    <s v="Priya Patel"/>
    <s v="Chennai"/>
    <s v="Tamil Nadu"/>
    <x v="1"/>
    <x v="9"/>
    <s v="Accessories"/>
    <s v="Priya Nair"/>
    <n v="5"/>
    <n v="800"/>
    <n v="450"/>
    <n v="0.3"/>
    <n v="2800"/>
    <n v="2250"/>
    <n v="550"/>
    <x v="1"/>
    <s v="In Transit"/>
  </r>
  <r>
    <s v="ORD0755"/>
    <s v="CUST0755"/>
    <x v="460"/>
    <s v="Divya Menon"/>
    <s v="Pune"/>
    <s v="Maharashtra"/>
    <x v="0"/>
    <x v="3"/>
    <s v="Electronics"/>
    <s v="Pooja Das"/>
    <n v="10"/>
    <n v="25000"/>
    <n v="20000"/>
    <n v="0.1"/>
    <n v="225000"/>
    <n v="200000"/>
    <n v="25000"/>
    <x v="4"/>
    <s v="Delivered"/>
  </r>
  <r>
    <s v="ORD0756"/>
    <s v="CUST0756"/>
    <x v="461"/>
    <s v="Priya Patel"/>
    <s v="Jaipur"/>
    <s v="Rajasthan"/>
    <x v="2"/>
    <x v="6"/>
    <s v="Accessories"/>
    <s v="Vikram Joshi"/>
    <n v="10"/>
    <n v="3000"/>
    <n v="1800"/>
    <n v="0.23"/>
    <n v="23100"/>
    <n v="18000"/>
    <n v="5100"/>
    <x v="4"/>
    <s v="Returned"/>
  </r>
  <r>
    <s v="ORD0757"/>
    <s v="CUST0757"/>
    <x v="462"/>
    <s v="Rohit Verma"/>
    <s v="Mumbai"/>
    <s v="Maharashtra"/>
    <x v="0"/>
    <x v="5"/>
    <s v="Electronics"/>
    <s v="Neha Gupta"/>
    <n v="4"/>
    <n v="5000"/>
    <n v="3200"/>
    <n v="7.0000000000000007E-2"/>
    <n v="18600"/>
    <n v="12800"/>
    <n v="5800"/>
    <x v="4"/>
    <s v="Delivered"/>
  </r>
  <r>
    <s v="ORD0758"/>
    <s v="CUST0758"/>
    <x v="274"/>
    <s v="Suresh Iyer"/>
    <s v="New Delhi"/>
    <s v="Delhi"/>
    <x v="2"/>
    <x v="7"/>
    <s v="Electronics"/>
    <s v="Pooja Das"/>
    <n v="5"/>
    <n v="65000"/>
    <n v="52000"/>
    <n v="0.3"/>
    <n v="227500"/>
    <n v="260000"/>
    <n v="-32500"/>
    <x v="0"/>
    <s v="In Transit"/>
  </r>
  <r>
    <s v="ORD0759"/>
    <s v="CUST0759"/>
    <x v="159"/>
    <s v="Priya Patel"/>
    <s v="Warangal"/>
    <s v="Telangana"/>
    <x v="1"/>
    <x v="6"/>
    <s v="Accessories"/>
    <s v="Vikram Joshi"/>
    <n v="3"/>
    <n v="3000"/>
    <n v="1800"/>
    <n v="0.08"/>
    <n v="8280"/>
    <n v="5400"/>
    <n v="2880"/>
    <x v="2"/>
    <s v="Cancelled"/>
  </r>
  <r>
    <s v="ORD0760"/>
    <s v="CUST0760"/>
    <x v="270"/>
    <s v="Neha Gupta"/>
    <s v="Ahmedabad"/>
    <s v="Gujarat"/>
    <x v="0"/>
    <x v="7"/>
    <s v="Electronics"/>
    <s v="Neha Gupta"/>
    <n v="7"/>
    <n v="65000"/>
    <n v="52000"/>
    <n v="0.08"/>
    <n v="418600"/>
    <n v="364000"/>
    <n v="54600"/>
    <x v="3"/>
    <s v="Returned"/>
  </r>
  <r>
    <s v="ORD0761"/>
    <s v="CUST0761"/>
    <x v="463"/>
    <s v="Rahul Sharma"/>
    <s v="Coimbatore"/>
    <s v="Tamil Nadu"/>
    <x v="1"/>
    <x v="1"/>
    <s v="Accessories"/>
    <s v="Vikram Joshi"/>
    <n v="5"/>
    <n v="1500"/>
    <n v="900"/>
    <n v="0.18"/>
    <n v="6150.0000000000009"/>
    <n v="4500"/>
    <n v="1650.0000000000009"/>
    <x v="0"/>
    <s v="In Transit"/>
  </r>
  <r>
    <s v="ORD0762"/>
    <s v="CUST0762"/>
    <x v="464"/>
    <s v="Meera Shah"/>
    <s v="Hyderabad"/>
    <s v="Telangana"/>
    <x v="1"/>
    <x v="1"/>
    <s v="Accessories"/>
    <s v="Priya Nair"/>
    <n v="8"/>
    <n v="1500"/>
    <n v="900"/>
    <n v="0.27"/>
    <n v="8760"/>
    <n v="7200"/>
    <n v="1560"/>
    <x v="2"/>
    <s v="Cancelled"/>
  </r>
  <r>
    <s v="ORD0763"/>
    <s v="CUST0763"/>
    <x v="331"/>
    <s v="Priya Patel"/>
    <s v="Mumbai"/>
    <s v="Maharashtra"/>
    <x v="0"/>
    <x v="6"/>
    <s v="Accessories"/>
    <s v="Karan Singh"/>
    <n v="4"/>
    <n v="3000"/>
    <n v="1800"/>
    <n v="0.02"/>
    <n v="11760"/>
    <n v="7200"/>
    <n v="4560"/>
    <x v="4"/>
    <s v="Delivered"/>
  </r>
  <r>
    <s v="ORD0764"/>
    <s v="CUST0764"/>
    <x v="465"/>
    <s v="Aisha Khan"/>
    <s v="Mysuru"/>
    <s v="Karnataka"/>
    <x v="1"/>
    <x v="0"/>
    <s v="Office"/>
    <s v="Sneha Patil"/>
    <n v="3"/>
    <n v="18000"/>
    <n v="14000"/>
    <n v="0.2"/>
    <n v="43200"/>
    <n v="42000"/>
    <n v="1200"/>
    <x v="1"/>
    <s v="Returned"/>
  </r>
  <r>
    <s v="ORD0765"/>
    <s v="CUST0765"/>
    <x v="156"/>
    <s v="Aditya Mishra"/>
    <s v="Mumbai"/>
    <s v="Maharashtra"/>
    <x v="0"/>
    <x v="6"/>
    <s v="Accessories"/>
    <s v="Sneha Patil"/>
    <n v="2"/>
    <n v="3000"/>
    <n v="1800"/>
    <n v="0.22"/>
    <n v="4680"/>
    <n v="3600"/>
    <n v="1080"/>
    <x v="4"/>
    <s v="Delivered"/>
  </r>
  <r>
    <s v="ORD0766"/>
    <s v="CUST0766"/>
    <x v="466"/>
    <s v="Kavya Reddy"/>
    <s v="Coimbatore"/>
    <s v="Tamil Nadu"/>
    <x v="1"/>
    <x v="6"/>
    <s v="Accessories"/>
    <s v="Arjun Rao"/>
    <n v="6"/>
    <n v="3000"/>
    <n v="1800"/>
    <n v="0.02"/>
    <n v="17640"/>
    <n v="10800"/>
    <n v="6840"/>
    <x v="0"/>
    <s v="Returned"/>
  </r>
  <r>
    <s v="ORD0767"/>
    <s v="CUST0767"/>
    <x v="245"/>
    <s v="Rahul Sharma"/>
    <s v="Chennai"/>
    <s v="Tamil Nadu"/>
    <x v="1"/>
    <x v="1"/>
    <s v="Accessories"/>
    <s v="Neha Gupta"/>
    <n v="8"/>
    <n v="1500"/>
    <n v="900"/>
    <n v="7.0000000000000007E-2"/>
    <n v="11160"/>
    <n v="7200"/>
    <n v="3960"/>
    <x v="4"/>
    <s v="Cancelled"/>
  </r>
  <r>
    <s v="ORD0768"/>
    <s v="CUST0768"/>
    <x v="467"/>
    <s v="Aditya Mishra"/>
    <s v="Coimbatore"/>
    <s v="Tamil Nadu"/>
    <x v="1"/>
    <x v="7"/>
    <s v="Electronics"/>
    <s v="Sneha Patil"/>
    <n v="1"/>
    <n v="65000"/>
    <n v="52000"/>
    <n v="0.09"/>
    <n v="59150"/>
    <n v="52000"/>
    <n v="7150"/>
    <x v="1"/>
    <s v="Returned"/>
  </r>
  <r>
    <s v="ORD0769"/>
    <s v="CUST0769"/>
    <x v="468"/>
    <s v="Neha Gupta"/>
    <s v="Pune"/>
    <s v="Maharashtra"/>
    <x v="0"/>
    <x v="5"/>
    <s v="Electronics"/>
    <s v="Anjali Mehta"/>
    <n v="3"/>
    <n v="5000"/>
    <n v="3200"/>
    <n v="0.09"/>
    <n v="13650"/>
    <n v="9600"/>
    <n v="4050"/>
    <x v="2"/>
    <s v="Delivered"/>
  </r>
  <r>
    <s v="ORD0770"/>
    <s v="CUST0770"/>
    <x v="353"/>
    <s v="Divya Menon"/>
    <s v="Hyderabad"/>
    <s v="Telangana"/>
    <x v="1"/>
    <x v="9"/>
    <s v="Accessories"/>
    <s v="Sneha Patil"/>
    <n v="5"/>
    <n v="800"/>
    <n v="450"/>
    <n v="0.03"/>
    <n v="3880"/>
    <n v="2250"/>
    <n v="1630"/>
    <x v="1"/>
    <s v="In Transit"/>
  </r>
  <r>
    <s v="ORD0771"/>
    <s v="CUST0771"/>
    <x v="469"/>
    <s v="Nikhil Jain"/>
    <s v="Warangal"/>
    <s v="Telangana"/>
    <x v="1"/>
    <x v="6"/>
    <s v="Accessories"/>
    <s v="Amit Sharma"/>
    <n v="5"/>
    <n v="3000"/>
    <n v="1800"/>
    <n v="0.2"/>
    <n v="12000"/>
    <n v="9000"/>
    <n v="3000"/>
    <x v="0"/>
    <s v="Returned"/>
  </r>
  <r>
    <s v="ORD0772"/>
    <s v="CUST0772"/>
    <x v="273"/>
    <s v="Divya Menon"/>
    <s v="Mysuru"/>
    <s v="Karnataka"/>
    <x v="1"/>
    <x v="8"/>
    <s v="Office"/>
    <s v="Priya Nair"/>
    <n v="9"/>
    <n v="15000"/>
    <n v="11500"/>
    <n v="0.16"/>
    <n v="113400"/>
    <n v="103500"/>
    <n v="9900"/>
    <x v="1"/>
    <s v="Delivered"/>
  </r>
  <r>
    <s v="ORD0773"/>
    <s v="CUST0773"/>
    <x v="277"/>
    <s v="Kavya Reddy"/>
    <s v="Hyderabad"/>
    <s v="Telangana"/>
    <x v="1"/>
    <x v="5"/>
    <s v="Electronics"/>
    <s v="Anjali Mehta"/>
    <n v="10"/>
    <n v="5000"/>
    <n v="3200"/>
    <n v="0.17"/>
    <n v="41500"/>
    <n v="32000"/>
    <n v="9500"/>
    <x v="3"/>
    <s v="Returned"/>
  </r>
  <r>
    <s v="ORD0774"/>
    <s v="CUST0774"/>
    <x v="429"/>
    <s v="Priya Patel"/>
    <s v="Chennai"/>
    <s v="Tamil Nadu"/>
    <x v="1"/>
    <x v="3"/>
    <s v="Electronics"/>
    <s v="Priya Nair"/>
    <n v="2"/>
    <n v="25000"/>
    <n v="20000"/>
    <n v="0.28999999999999998"/>
    <n v="35500"/>
    <n v="40000"/>
    <n v="-4500"/>
    <x v="2"/>
    <s v="Delivered"/>
  </r>
  <r>
    <s v="ORD0775"/>
    <s v="CUST0775"/>
    <x v="124"/>
    <s v="Sneha Nair"/>
    <s v="Warangal"/>
    <s v="Telangana"/>
    <x v="1"/>
    <x v="8"/>
    <s v="Office"/>
    <s v="Arjun Rao"/>
    <n v="5"/>
    <n v="15000"/>
    <n v="11500"/>
    <n v="0.17"/>
    <n v="62250"/>
    <n v="57500"/>
    <n v="4750"/>
    <x v="0"/>
    <s v="Cancelled"/>
  </r>
  <r>
    <s v="ORD0776"/>
    <s v="CUST0776"/>
    <x v="470"/>
    <s v="Rahul Sharma"/>
    <s v="Jaipur"/>
    <s v="Rajasthan"/>
    <x v="2"/>
    <x v="9"/>
    <s v="Accessories"/>
    <s v="Vikram Joshi"/>
    <n v="2"/>
    <n v="800"/>
    <n v="450"/>
    <n v="0.13"/>
    <n v="1392"/>
    <n v="900"/>
    <n v="492"/>
    <x v="2"/>
    <s v="Returned"/>
  </r>
  <r>
    <s v="ORD0777"/>
    <s v="CUST0777"/>
    <x v="454"/>
    <s v="Meera Shah"/>
    <s v="Chennai"/>
    <s v="Tamil Nadu"/>
    <x v="1"/>
    <x v="0"/>
    <s v="Office"/>
    <s v="Arjun Rao"/>
    <n v="8"/>
    <n v="18000"/>
    <n v="14000"/>
    <n v="0.02"/>
    <n v="141120"/>
    <n v="112000"/>
    <n v="29120"/>
    <x v="1"/>
    <s v="In Transit"/>
  </r>
  <r>
    <s v="ORD0778"/>
    <s v="CUST0778"/>
    <x v="43"/>
    <s v="Meera Shah"/>
    <s v="Bengaluru"/>
    <s v="Karnataka"/>
    <x v="1"/>
    <x v="8"/>
    <s v="Office"/>
    <s v="Karan Singh"/>
    <n v="8"/>
    <n v="15000"/>
    <n v="11500"/>
    <n v="0.18"/>
    <n v="98400.000000000015"/>
    <n v="92000"/>
    <n v="6400.0000000000146"/>
    <x v="1"/>
    <s v="In Transit"/>
  </r>
  <r>
    <s v="ORD0779"/>
    <s v="CUST0779"/>
    <x v="133"/>
    <s v="Pooja Das"/>
    <s v="Pune"/>
    <s v="Maharashtra"/>
    <x v="0"/>
    <x v="7"/>
    <s v="Electronics"/>
    <s v="Priya Nair"/>
    <n v="4"/>
    <n v="65000"/>
    <n v="52000"/>
    <n v="0.06"/>
    <n v="244400"/>
    <n v="208000"/>
    <n v="36400"/>
    <x v="0"/>
    <s v="Cancelled"/>
  </r>
  <r>
    <s v="ORD0780"/>
    <s v="CUST0780"/>
    <x v="172"/>
    <s v="Meera Shah"/>
    <s v="Jaipur"/>
    <s v="Rajasthan"/>
    <x v="2"/>
    <x v="3"/>
    <s v="Electronics"/>
    <s v="Anjali Mehta"/>
    <n v="3"/>
    <n v="25000"/>
    <n v="20000"/>
    <n v="0.3"/>
    <n v="52500"/>
    <n v="60000"/>
    <n v="-7500"/>
    <x v="4"/>
    <s v="Delivered"/>
  </r>
  <r>
    <s v="ORD0781"/>
    <s v="CUST0781"/>
    <x v="240"/>
    <s v="Rohan Kulkarni"/>
    <s v="Mumbai"/>
    <s v="Maharashtra"/>
    <x v="0"/>
    <x v="3"/>
    <s v="Electronics"/>
    <s v="Arjun Rao"/>
    <n v="10"/>
    <n v="25000"/>
    <n v="20000"/>
    <n v="0.26"/>
    <n v="185000"/>
    <n v="200000"/>
    <n v="-15000"/>
    <x v="3"/>
    <s v="Returned"/>
  </r>
  <r>
    <s v="ORD0782"/>
    <s v="CUST0782"/>
    <x v="471"/>
    <s v="Aditya Mishra"/>
    <s v="Chennai"/>
    <s v="Tamil Nadu"/>
    <x v="1"/>
    <x v="2"/>
    <s v="Electronics"/>
    <s v="Rahul Verma"/>
    <n v="10"/>
    <n v="35000"/>
    <n v="28000"/>
    <n v="0.21"/>
    <n v="276500"/>
    <n v="280000"/>
    <n v="-3500"/>
    <x v="1"/>
    <s v="Cancelled"/>
  </r>
  <r>
    <s v="ORD0783"/>
    <s v="CUST0783"/>
    <x v="295"/>
    <s v="Anjali Rao"/>
    <s v="Surat"/>
    <s v="Gujarat"/>
    <x v="0"/>
    <x v="4"/>
    <s v="Wearables"/>
    <s v="Arjun Rao"/>
    <n v="6"/>
    <n v="12000"/>
    <n v="8500"/>
    <n v="0.08"/>
    <n v="66240"/>
    <n v="51000"/>
    <n v="15240"/>
    <x v="3"/>
    <s v="Delivered"/>
  </r>
  <r>
    <s v="ORD0784"/>
    <s v="CUST0784"/>
    <x v="472"/>
    <s v="Kavya Reddy"/>
    <s v="Mysuru"/>
    <s v="Karnataka"/>
    <x v="1"/>
    <x v="0"/>
    <s v="Office"/>
    <s v="Anjali Mehta"/>
    <n v="6"/>
    <n v="18000"/>
    <n v="14000"/>
    <n v="0.23"/>
    <n v="83160"/>
    <n v="84000"/>
    <n v="-840"/>
    <x v="2"/>
    <s v="In Transit"/>
  </r>
  <r>
    <s v="ORD0785"/>
    <s v="CUST0785"/>
    <x v="400"/>
    <s v="Pooja Das"/>
    <s v="Surat"/>
    <s v="Gujarat"/>
    <x v="0"/>
    <x v="7"/>
    <s v="Electronics"/>
    <s v="Amit Sharma"/>
    <n v="2"/>
    <n v="65000"/>
    <n v="52000"/>
    <n v="0.14000000000000001"/>
    <n v="111800"/>
    <n v="104000"/>
    <n v="7800"/>
    <x v="3"/>
    <s v="Cancelled"/>
  </r>
  <r>
    <s v="ORD0786"/>
    <s v="CUST0786"/>
    <x v="453"/>
    <s v="Divya Menon"/>
    <s v="Mysuru"/>
    <s v="Karnataka"/>
    <x v="1"/>
    <x v="1"/>
    <s v="Accessories"/>
    <s v="Pooja Das"/>
    <n v="5"/>
    <n v="1500"/>
    <n v="900"/>
    <n v="0.15"/>
    <n v="6375"/>
    <n v="4500"/>
    <n v="1875"/>
    <x v="1"/>
    <s v="Cancelled"/>
  </r>
  <r>
    <s v="ORD0787"/>
    <s v="CUST0787"/>
    <x v="260"/>
    <s v="Vikram Singh"/>
    <s v="Hyderabad"/>
    <s v="Telangana"/>
    <x v="1"/>
    <x v="2"/>
    <s v="Electronics"/>
    <s v="Amit Sharma"/>
    <n v="5"/>
    <n v="35000"/>
    <n v="28000"/>
    <n v="7.0000000000000007E-2"/>
    <n v="162750"/>
    <n v="140000"/>
    <n v="22750"/>
    <x v="4"/>
    <s v="Delivered"/>
  </r>
  <r>
    <s v="ORD0788"/>
    <s v="CUST0788"/>
    <x v="379"/>
    <s v="Suresh Iyer"/>
    <s v="Coimbatore"/>
    <s v="Tamil Nadu"/>
    <x v="1"/>
    <x v="4"/>
    <s v="Wearables"/>
    <s v="Anjali Mehta"/>
    <n v="5"/>
    <n v="12000"/>
    <n v="8500"/>
    <n v="0.15"/>
    <n v="51000"/>
    <n v="42500"/>
    <n v="8500"/>
    <x v="4"/>
    <s v="In Transit"/>
  </r>
  <r>
    <s v="ORD0789"/>
    <s v="CUST0789"/>
    <x v="473"/>
    <s v="Nikhil Jain"/>
    <s v="Mumbai"/>
    <s v="Maharashtra"/>
    <x v="0"/>
    <x v="9"/>
    <s v="Accessories"/>
    <s v="Anjali Mehta"/>
    <n v="7"/>
    <n v="800"/>
    <n v="450"/>
    <n v="0.08"/>
    <n v="5152"/>
    <n v="3150"/>
    <n v="2002"/>
    <x v="3"/>
    <s v="In Transit"/>
  </r>
  <r>
    <s v="ORD0790"/>
    <s v="CUST0790"/>
    <x v="37"/>
    <s v="Pooja Das"/>
    <s v="New Delhi"/>
    <s v="Delhi"/>
    <x v="2"/>
    <x v="7"/>
    <s v="Electronics"/>
    <s v="Neha Gupta"/>
    <n v="3"/>
    <n v="65000"/>
    <n v="52000"/>
    <n v="0.18"/>
    <n v="159900"/>
    <n v="156000"/>
    <n v="3900"/>
    <x v="0"/>
    <s v="Returned"/>
  </r>
  <r>
    <s v="ORD0791"/>
    <s v="CUST0791"/>
    <x v="56"/>
    <s v="Rohit Verma"/>
    <s v="New Delhi"/>
    <s v="Delhi"/>
    <x v="2"/>
    <x v="9"/>
    <s v="Accessories"/>
    <s v="Vikram Joshi"/>
    <n v="6"/>
    <n v="800"/>
    <n v="450"/>
    <n v="0.01"/>
    <n v="4752"/>
    <n v="2700"/>
    <n v="2052"/>
    <x v="3"/>
    <s v="Delivered"/>
  </r>
  <r>
    <s v="ORD0792"/>
    <s v="CUST0792"/>
    <x v="474"/>
    <s v="Kavya Reddy"/>
    <s v="Chennai"/>
    <s v="Tamil Nadu"/>
    <x v="1"/>
    <x v="5"/>
    <s v="Electronics"/>
    <s v="Pooja Das"/>
    <n v="4"/>
    <n v="5000"/>
    <n v="3200"/>
    <n v="0.21"/>
    <n v="15800"/>
    <n v="12800"/>
    <n v="3000"/>
    <x v="2"/>
    <s v="Delivered"/>
  </r>
  <r>
    <s v="ORD0793"/>
    <s v="CUST0793"/>
    <x v="58"/>
    <s v="Aisha Khan"/>
    <s v="Pune"/>
    <s v="Maharashtra"/>
    <x v="0"/>
    <x v="7"/>
    <s v="Electronics"/>
    <s v="Neha Gupta"/>
    <n v="8"/>
    <n v="65000"/>
    <n v="52000"/>
    <n v="0.23"/>
    <n v="400400"/>
    <n v="416000"/>
    <n v="-15600"/>
    <x v="1"/>
    <s v="Returned"/>
  </r>
  <r>
    <s v="ORD0794"/>
    <s v="CUST0794"/>
    <x v="134"/>
    <s v="Anjali Rao"/>
    <s v="New Delhi"/>
    <s v="Delhi"/>
    <x v="2"/>
    <x v="5"/>
    <s v="Electronics"/>
    <s v="Sneha Patil"/>
    <n v="1"/>
    <n v="5000"/>
    <n v="3200"/>
    <n v="0.17"/>
    <n v="4150"/>
    <n v="3200"/>
    <n v="950"/>
    <x v="0"/>
    <s v="Delivered"/>
  </r>
  <r>
    <s v="ORD0795"/>
    <s v="CUST0795"/>
    <x v="343"/>
    <s v="Aisha Khan"/>
    <s v="Coimbatore"/>
    <s v="Tamil Nadu"/>
    <x v="1"/>
    <x v="4"/>
    <s v="Wearables"/>
    <s v="Neha Gupta"/>
    <n v="4"/>
    <n v="12000"/>
    <n v="8500"/>
    <n v="0.22"/>
    <n v="37440"/>
    <n v="34000"/>
    <n v="3440"/>
    <x v="0"/>
    <s v="Cancelled"/>
  </r>
  <r>
    <s v="ORD0796"/>
    <s v="CUST0796"/>
    <x v="118"/>
    <s v="Arjun Mehta"/>
    <s v="Pune"/>
    <s v="Maharashtra"/>
    <x v="0"/>
    <x v="9"/>
    <s v="Accessories"/>
    <s v="Priya Nair"/>
    <n v="3"/>
    <n v="800"/>
    <n v="450"/>
    <n v="0.2"/>
    <n v="1920"/>
    <n v="1350"/>
    <n v="570"/>
    <x v="4"/>
    <s v="Cancelled"/>
  </r>
  <r>
    <s v="ORD0797"/>
    <s v="CUST0797"/>
    <x v="475"/>
    <s v="Rohan Kulkarni"/>
    <s v="Mysuru"/>
    <s v="Karnataka"/>
    <x v="1"/>
    <x v="4"/>
    <s v="Wearables"/>
    <s v="Priya Nair"/>
    <n v="3"/>
    <n v="12000"/>
    <n v="8500"/>
    <n v="0.21"/>
    <n v="28440"/>
    <n v="25500"/>
    <n v="2940"/>
    <x v="0"/>
    <s v="Cancelled"/>
  </r>
  <r>
    <s v="ORD0798"/>
    <s v="CUST0798"/>
    <x v="140"/>
    <s v="Amit Kumar"/>
    <s v="Warangal"/>
    <s v="Telangana"/>
    <x v="1"/>
    <x v="3"/>
    <s v="Electronics"/>
    <s v="Neha Gupta"/>
    <n v="5"/>
    <n v="25000"/>
    <n v="20000"/>
    <n v="0.1"/>
    <n v="112500"/>
    <n v="100000"/>
    <n v="12500"/>
    <x v="2"/>
    <s v="Cancelled"/>
  </r>
  <r>
    <s v="ORD0799"/>
    <s v="CUST0799"/>
    <x v="16"/>
    <s v="Kavya Reddy"/>
    <s v="Jaipur"/>
    <s v="Rajasthan"/>
    <x v="2"/>
    <x v="9"/>
    <s v="Accessories"/>
    <s v="Pooja Das"/>
    <n v="4"/>
    <n v="800"/>
    <n v="450"/>
    <n v="0.26"/>
    <n v="2368"/>
    <n v="1800"/>
    <n v="568"/>
    <x v="1"/>
    <s v="In Transit"/>
  </r>
  <r>
    <s v="ORD0800"/>
    <s v="CUST0800"/>
    <x v="414"/>
    <s v="Karan Joshi"/>
    <s v="Chennai"/>
    <s v="Tamil Nadu"/>
    <x v="1"/>
    <x v="2"/>
    <s v="Electronics"/>
    <s v="Neha Gupta"/>
    <n v="4"/>
    <n v="35000"/>
    <n v="28000"/>
    <n v="0.26"/>
    <n v="103600"/>
    <n v="112000"/>
    <n v="-8400"/>
    <x v="1"/>
    <s v="Returned"/>
  </r>
  <r>
    <s v="ORD0801"/>
    <s v="CUST0801"/>
    <x v="476"/>
    <s v="Arjun Mehta"/>
    <s v="Hyderabad"/>
    <s v="Telangana"/>
    <x v="1"/>
    <x v="6"/>
    <s v="Accessories"/>
    <s v="Rahul Verma"/>
    <n v="7"/>
    <n v="3000"/>
    <n v="1800"/>
    <n v="0.26"/>
    <n v="15540"/>
    <n v="12600"/>
    <n v="2940"/>
    <x v="1"/>
    <s v="In Transit"/>
  </r>
  <r>
    <s v="ORD0802"/>
    <s v="CUST0802"/>
    <x v="377"/>
    <s v="Rahul Sharma"/>
    <s v="New Delhi"/>
    <s v="Delhi"/>
    <x v="2"/>
    <x v="9"/>
    <s v="Accessories"/>
    <s v="Rahul Verma"/>
    <n v="3"/>
    <n v="800"/>
    <n v="450"/>
    <n v="0.21"/>
    <n v="1896"/>
    <n v="1350"/>
    <n v="546"/>
    <x v="1"/>
    <s v="Delivered"/>
  </r>
  <r>
    <s v="ORD0803"/>
    <s v="CUST0803"/>
    <x v="438"/>
    <s v="Pooja Das"/>
    <s v="Bengaluru"/>
    <s v="Karnataka"/>
    <x v="1"/>
    <x v="2"/>
    <s v="Electronics"/>
    <s v="Amit Sharma"/>
    <n v="9"/>
    <n v="35000"/>
    <n v="28000"/>
    <n v="0.08"/>
    <n v="289800"/>
    <n v="252000"/>
    <n v="37800"/>
    <x v="0"/>
    <s v="Delivered"/>
  </r>
  <r>
    <s v="ORD0804"/>
    <s v="CUST0804"/>
    <x v="477"/>
    <s v="Amit Kumar"/>
    <s v="Coimbatore"/>
    <s v="Tamil Nadu"/>
    <x v="1"/>
    <x v="2"/>
    <s v="Electronics"/>
    <s v="Karan Singh"/>
    <n v="4"/>
    <n v="35000"/>
    <n v="28000"/>
    <n v="0.05"/>
    <n v="133000"/>
    <n v="112000"/>
    <n v="21000"/>
    <x v="1"/>
    <s v="Cancelled"/>
  </r>
  <r>
    <s v="ORD0805"/>
    <s v="CUST0805"/>
    <x v="280"/>
    <s v="Vikram Singh"/>
    <s v="Ahmedabad"/>
    <s v="Gujarat"/>
    <x v="0"/>
    <x v="7"/>
    <s v="Electronics"/>
    <s v="Pooja Das"/>
    <n v="9"/>
    <n v="65000"/>
    <n v="52000"/>
    <n v="0.22"/>
    <n v="456300"/>
    <n v="468000"/>
    <n v="-11700"/>
    <x v="4"/>
    <s v="Returned"/>
  </r>
  <r>
    <s v="ORD0806"/>
    <s v="CUST0806"/>
    <x v="478"/>
    <s v="Priya Patel"/>
    <s v="Kolkata"/>
    <s v="West Bengal"/>
    <x v="3"/>
    <x v="0"/>
    <s v="Office"/>
    <s v="Anjali Mehta"/>
    <n v="1"/>
    <n v="18000"/>
    <n v="14000"/>
    <n v="0.26"/>
    <n v="13320"/>
    <n v="14000"/>
    <n v="-680"/>
    <x v="3"/>
    <s v="Delivered"/>
  </r>
  <r>
    <s v="ORD0807"/>
    <s v="CUST0807"/>
    <x v="192"/>
    <s v="Karan Joshi"/>
    <s v="Ahmedabad"/>
    <s v="Gujarat"/>
    <x v="0"/>
    <x v="4"/>
    <s v="Wearables"/>
    <s v="Amit Sharma"/>
    <n v="8"/>
    <n v="12000"/>
    <n v="8500"/>
    <n v="0.01"/>
    <n v="95040"/>
    <n v="68000"/>
    <n v="27040"/>
    <x v="3"/>
    <s v="Cancelled"/>
  </r>
  <r>
    <s v="ORD0808"/>
    <s v="CUST0808"/>
    <x v="300"/>
    <s v="Rohan Kulkarni"/>
    <s v="Bengaluru"/>
    <s v="Karnataka"/>
    <x v="1"/>
    <x v="7"/>
    <s v="Electronics"/>
    <s v="Pooja Das"/>
    <n v="3"/>
    <n v="65000"/>
    <n v="52000"/>
    <n v="0.16"/>
    <n v="163800"/>
    <n v="156000"/>
    <n v="7800"/>
    <x v="0"/>
    <s v="Cancelled"/>
  </r>
  <r>
    <s v="ORD0809"/>
    <s v="CUST0809"/>
    <x v="479"/>
    <s v="Suresh Iyer"/>
    <s v="Chennai"/>
    <s v="Tamil Nadu"/>
    <x v="1"/>
    <x v="0"/>
    <s v="Office"/>
    <s v="Vikram Joshi"/>
    <n v="8"/>
    <n v="18000"/>
    <n v="14000"/>
    <n v="0.18"/>
    <n v="118080.00000000001"/>
    <n v="112000"/>
    <n v="6080.0000000000146"/>
    <x v="4"/>
    <s v="In Transit"/>
  </r>
  <r>
    <s v="ORD0810"/>
    <s v="CUST0810"/>
    <x v="72"/>
    <s v="Karan Joshi"/>
    <s v="Warangal"/>
    <s v="Telangana"/>
    <x v="1"/>
    <x v="1"/>
    <s v="Accessories"/>
    <s v="Amit Sharma"/>
    <n v="10"/>
    <n v="1500"/>
    <n v="900"/>
    <n v="0.2"/>
    <n v="12000"/>
    <n v="9000"/>
    <n v="3000"/>
    <x v="2"/>
    <s v="Cancelled"/>
  </r>
  <r>
    <s v="ORD0811"/>
    <s v="CUST0811"/>
    <x v="204"/>
    <s v="Pooja Das"/>
    <s v="Hyderabad"/>
    <s v="Telangana"/>
    <x v="1"/>
    <x v="3"/>
    <s v="Electronics"/>
    <s v="Rahul Verma"/>
    <n v="5"/>
    <n v="25000"/>
    <n v="20000"/>
    <n v="0.04"/>
    <n v="120000"/>
    <n v="100000"/>
    <n v="20000"/>
    <x v="0"/>
    <s v="Returned"/>
  </r>
  <r>
    <s v="ORD0812"/>
    <s v="CUST0812"/>
    <x v="44"/>
    <s v="Divya Menon"/>
    <s v="Coimbatore"/>
    <s v="Tamil Nadu"/>
    <x v="1"/>
    <x v="5"/>
    <s v="Electronics"/>
    <s v="Amit Sharma"/>
    <n v="9"/>
    <n v="5000"/>
    <n v="3200"/>
    <n v="0.27"/>
    <n v="32850"/>
    <n v="28800"/>
    <n v="4050"/>
    <x v="2"/>
    <s v="Returned"/>
  </r>
  <r>
    <s v="ORD0813"/>
    <s v="CUST0813"/>
    <x v="80"/>
    <s v="Aisha Khan"/>
    <s v="Mysuru"/>
    <s v="Karnataka"/>
    <x v="1"/>
    <x v="7"/>
    <s v="Electronics"/>
    <s v="Karan Singh"/>
    <n v="3"/>
    <n v="65000"/>
    <n v="52000"/>
    <n v="0.15"/>
    <n v="165750"/>
    <n v="156000"/>
    <n v="9750"/>
    <x v="0"/>
    <s v="Delivered"/>
  </r>
  <r>
    <s v="ORD0814"/>
    <s v="CUST0814"/>
    <x v="477"/>
    <s v="Deepika Roy"/>
    <s v="Kolkata"/>
    <s v="West Bengal"/>
    <x v="3"/>
    <x v="4"/>
    <s v="Wearables"/>
    <s v="Amit Sharma"/>
    <n v="10"/>
    <n v="12000"/>
    <n v="8500"/>
    <n v="0.25"/>
    <n v="90000"/>
    <n v="85000"/>
    <n v="5000"/>
    <x v="1"/>
    <s v="Delivered"/>
  </r>
  <r>
    <s v="ORD0815"/>
    <s v="CUST0815"/>
    <x v="290"/>
    <s v="Anjali Rao"/>
    <s v="Kolkata"/>
    <s v="West Bengal"/>
    <x v="3"/>
    <x v="7"/>
    <s v="Electronics"/>
    <s v="Pooja Das"/>
    <n v="5"/>
    <n v="65000"/>
    <n v="52000"/>
    <n v="0.03"/>
    <n v="315250"/>
    <n v="260000"/>
    <n v="55250"/>
    <x v="0"/>
    <s v="Cancelled"/>
  </r>
  <r>
    <s v="ORD0816"/>
    <s v="CUST0816"/>
    <x v="444"/>
    <s v="Aisha Khan"/>
    <s v="Coimbatore"/>
    <s v="Tamil Nadu"/>
    <x v="1"/>
    <x v="6"/>
    <s v="Accessories"/>
    <s v="Vikram Joshi"/>
    <n v="7"/>
    <n v="3000"/>
    <n v="1800"/>
    <n v="0.11"/>
    <n v="18690"/>
    <n v="12600"/>
    <n v="6090"/>
    <x v="4"/>
    <s v="In Transit"/>
  </r>
  <r>
    <s v="ORD0817"/>
    <s v="CUST0817"/>
    <x v="468"/>
    <s v="Rahul Sharma"/>
    <s v="Chennai"/>
    <s v="Tamil Nadu"/>
    <x v="1"/>
    <x v="5"/>
    <s v="Electronics"/>
    <s v="Arjun Rao"/>
    <n v="4"/>
    <n v="5000"/>
    <n v="3200"/>
    <n v="0.09"/>
    <n v="18200"/>
    <n v="12800"/>
    <n v="5400"/>
    <x v="3"/>
    <s v="In Transit"/>
  </r>
  <r>
    <s v="ORD0818"/>
    <s v="CUST0818"/>
    <x v="480"/>
    <s v="Aisha Khan"/>
    <s v="Mysuru"/>
    <s v="Karnataka"/>
    <x v="1"/>
    <x v="2"/>
    <s v="Electronics"/>
    <s v="Priya Nair"/>
    <n v="4"/>
    <n v="35000"/>
    <n v="28000"/>
    <n v="0.21"/>
    <n v="110600"/>
    <n v="112000"/>
    <n v="-1400"/>
    <x v="2"/>
    <s v="Returned"/>
  </r>
  <r>
    <s v="ORD0819"/>
    <s v="CUST0819"/>
    <x v="481"/>
    <s v="Vikram Singh"/>
    <s v="Jaipur"/>
    <s v="Rajasthan"/>
    <x v="2"/>
    <x v="6"/>
    <s v="Accessories"/>
    <s v="Vikram Joshi"/>
    <n v="10"/>
    <n v="3000"/>
    <n v="1800"/>
    <n v="0.27"/>
    <n v="21900"/>
    <n v="18000"/>
    <n v="3900"/>
    <x v="2"/>
    <s v="Returned"/>
  </r>
  <r>
    <s v="ORD0820"/>
    <s v="CUST0820"/>
    <x v="482"/>
    <s v="Meera Shah"/>
    <s v="Kolkata"/>
    <s v="West Bengal"/>
    <x v="3"/>
    <x v="6"/>
    <s v="Accessories"/>
    <s v="Amit Sharma"/>
    <n v="9"/>
    <n v="3000"/>
    <n v="1800"/>
    <n v="7.0000000000000007E-2"/>
    <n v="25110"/>
    <n v="16200"/>
    <n v="8910"/>
    <x v="2"/>
    <s v="In Transit"/>
  </r>
  <r>
    <s v="ORD0821"/>
    <s v="CUST0821"/>
    <x v="375"/>
    <s v="Arjun Mehta"/>
    <s v="Chennai"/>
    <s v="Tamil Nadu"/>
    <x v="1"/>
    <x v="0"/>
    <s v="Office"/>
    <s v="Arjun Rao"/>
    <n v="5"/>
    <n v="18000"/>
    <n v="14000"/>
    <n v="0.3"/>
    <n v="62999.999999999993"/>
    <n v="70000"/>
    <n v="-7000.0000000000073"/>
    <x v="3"/>
    <s v="Returned"/>
  </r>
  <r>
    <s v="ORD0822"/>
    <s v="CUST0822"/>
    <x v="483"/>
    <s v="Arjun Mehta"/>
    <s v="New Delhi"/>
    <s v="Delhi"/>
    <x v="2"/>
    <x v="8"/>
    <s v="Office"/>
    <s v="Arjun Rao"/>
    <n v="10"/>
    <n v="15000"/>
    <n v="11500"/>
    <n v="0.17"/>
    <n v="124500"/>
    <n v="115000"/>
    <n v="9500"/>
    <x v="0"/>
    <s v="In Transit"/>
  </r>
  <r>
    <s v="ORD0823"/>
    <s v="CUST0823"/>
    <x v="156"/>
    <s v="Vikram Singh"/>
    <s v="Hyderabad"/>
    <s v="Telangana"/>
    <x v="1"/>
    <x v="8"/>
    <s v="Office"/>
    <s v="Rahul Verma"/>
    <n v="6"/>
    <n v="15000"/>
    <n v="11500"/>
    <n v="0.2"/>
    <n v="72000"/>
    <n v="69000"/>
    <n v="3000"/>
    <x v="3"/>
    <s v="Delivered"/>
  </r>
  <r>
    <s v="ORD0824"/>
    <s v="CUST0824"/>
    <x v="418"/>
    <s v="Amit Kumar"/>
    <s v="Pune"/>
    <s v="Maharashtra"/>
    <x v="0"/>
    <x v="5"/>
    <s v="Electronics"/>
    <s v="Neha Gupta"/>
    <n v="10"/>
    <n v="5000"/>
    <n v="3200"/>
    <n v="0.24"/>
    <n v="38000"/>
    <n v="32000"/>
    <n v="6000"/>
    <x v="0"/>
    <s v="In Transit"/>
  </r>
  <r>
    <s v="ORD0825"/>
    <s v="CUST0825"/>
    <x v="484"/>
    <s v="Nikhil Jain"/>
    <s v="Surat"/>
    <s v="Gujarat"/>
    <x v="0"/>
    <x v="2"/>
    <s v="Electronics"/>
    <s v="Priya Nair"/>
    <n v="7"/>
    <n v="35000"/>
    <n v="28000"/>
    <n v="0.25"/>
    <n v="183750"/>
    <n v="196000"/>
    <n v="-12250"/>
    <x v="2"/>
    <s v="Returned"/>
  </r>
  <r>
    <s v="ORD0826"/>
    <s v="CUST0826"/>
    <x v="351"/>
    <s v="Suresh Iyer"/>
    <s v="Kolkata"/>
    <s v="West Bengal"/>
    <x v="3"/>
    <x v="5"/>
    <s v="Electronics"/>
    <s v="Karan Singh"/>
    <n v="1"/>
    <n v="5000"/>
    <n v="3200"/>
    <n v="0.03"/>
    <n v="4850"/>
    <n v="3200"/>
    <n v="1650"/>
    <x v="1"/>
    <s v="Delivered"/>
  </r>
  <r>
    <s v="ORD0827"/>
    <s v="CUST0827"/>
    <x v="127"/>
    <s v="Sneha Nair"/>
    <s v="New Delhi"/>
    <s v="Delhi"/>
    <x v="2"/>
    <x v="9"/>
    <s v="Accessories"/>
    <s v="Arjun Rao"/>
    <n v="7"/>
    <n v="800"/>
    <n v="450"/>
    <n v="0.2"/>
    <n v="4480"/>
    <n v="3150"/>
    <n v="1330"/>
    <x v="3"/>
    <s v="Delivered"/>
  </r>
  <r>
    <s v="ORD0828"/>
    <s v="CUST0828"/>
    <x v="125"/>
    <s v="Rohan Kulkarni"/>
    <s v="Coimbatore"/>
    <s v="Tamil Nadu"/>
    <x v="1"/>
    <x v="3"/>
    <s v="Electronics"/>
    <s v="Karan Singh"/>
    <n v="6"/>
    <n v="25000"/>
    <n v="20000"/>
    <n v="0.2"/>
    <n v="120000"/>
    <n v="120000"/>
    <n v="0"/>
    <x v="3"/>
    <s v="Cancelled"/>
  </r>
  <r>
    <s v="ORD0829"/>
    <s v="CUST0829"/>
    <x v="485"/>
    <s v="Kavya Reddy"/>
    <s v="Warangal"/>
    <s v="Telangana"/>
    <x v="1"/>
    <x v="0"/>
    <s v="Office"/>
    <s v="Rahul Verma"/>
    <n v="2"/>
    <n v="18000"/>
    <n v="14000"/>
    <n v="0.06"/>
    <n v="33840"/>
    <n v="28000"/>
    <n v="5840"/>
    <x v="2"/>
    <s v="Cancelled"/>
  </r>
  <r>
    <s v="ORD0830"/>
    <s v="CUST0830"/>
    <x v="486"/>
    <s v="Karan Joshi"/>
    <s v="Bengaluru"/>
    <s v="Karnataka"/>
    <x v="1"/>
    <x v="2"/>
    <s v="Electronics"/>
    <s v="Vikram Joshi"/>
    <n v="5"/>
    <n v="35000"/>
    <n v="28000"/>
    <n v="0.3"/>
    <n v="122499.99999999999"/>
    <n v="140000"/>
    <n v="-17500.000000000015"/>
    <x v="3"/>
    <s v="In Transit"/>
  </r>
  <r>
    <s v="ORD0831"/>
    <s v="CUST0831"/>
    <x v="432"/>
    <s v="Deepika Roy"/>
    <s v="Coimbatore"/>
    <s v="Tamil Nadu"/>
    <x v="1"/>
    <x v="8"/>
    <s v="Office"/>
    <s v="Karan Singh"/>
    <n v="1"/>
    <n v="15000"/>
    <n v="11500"/>
    <n v="0.14000000000000001"/>
    <n v="12900"/>
    <n v="11500"/>
    <n v="1400"/>
    <x v="3"/>
    <s v="Delivered"/>
  </r>
  <r>
    <s v="ORD0832"/>
    <s v="CUST0832"/>
    <x v="167"/>
    <s v="Pooja Das"/>
    <s v="Chennai"/>
    <s v="Tamil Nadu"/>
    <x v="1"/>
    <x v="4"/>
    <s v="Wearables"/>
    <s v="Anjali Mehta"/>
    <n v="9"/>
    <n v="12000"/>
    <n v="8500"/>
    <n v="0.24"/>
    <n v="82080"/>
    <n v="76500"/>
    <n v="5580"/>
    <x v="3"/>
    <s v="Returned"/>
  </r>
  <r>
    <s v="ORD0833"/>
    <s v="CUST0833"/>
    <x v="137"/>
    <s v="Amit Kumar"/>
    <s v="Hyderabad"/>
    <s v="Telangana"/>
    <x v="1"/>
    <x v="0"/>
    <s v="Office"/>
    <s v="Rahul Verma"/>
    <n v="8"/>
    <n v="18000"/>
    <n v="14000"/>
    <n v="0.04"/>
    <n v="138240"/>
    <n v="112000"/>
    <n v="26240"/>
    <x v="2"/>
    <s v="Delivered"/>
  </r>
  <r>
    <s v="ORD0834"/>
    <s v="CUST0834"/>
    <x v="448"/>
    <s v="Rahul Sharma"/>
    <s v="Ahmedabad"/>
    <s v="Gujarat"/>
    <x v="0"/>
    <x v="2"/>
    <s v="Electronics"/>
    <s v="Anjali Mehta"/>
    <n v="2"/>
    <n v="35000"/>
    <n v="28000"/>
    <n v="0.11"/>
    <n v="62300"/>
    <n v="56000"/>
    <n v="6300"/>
    <x v="2"/>
    <s v="Returned"/>
  </r>
  <r>
    <s v="ORD0835"/>
    <s v="CUST0835"/>
    <x v="487"/>
    <s v="Arjun Mehta"/>
    <s v="Mysuru"/>
    <s v="Karnataka"/>
    <x v="1"/>
    <x v="8"/>
    <s v="Office"/>
    <s v="Vikram Joshi"/>
    <n v="7"/>
    <n v="15000"/>
    <n v="11500"/>
    <n v="0.21"/>
    <n v="82950"/>
    <n v="80500"/>
    <n v="2450"/>
    <x v="1"/>
    <s v="In Transit"/>
  </r>
  <r>
    <s v="ORD0836"/>
    <s v="CUST0836"/>
    <x v="293"/>
    <s v="Rahul Sharma"/>
    <s v="Coimbatore"/>
    <s v="Tamil Nadu"/>
    <x v="1"/>
    <x v="5"/>
    <s v="Electronics"/>
    <s v="Karan Singh"/>
    <n v="7"/>
    <n v="5000"/>
    <n v="3200"/>
    <n v="0.25"/>
    <n v="26250"/>
    <n v="22400"/>
    <n v="3850"/>
    <x v="1"/>
    <s v="Cancelled"/>
  </r>
  <r>
    <s v="ORD0837"/>
    <s v="CUST0837"/>
    <x v="263"/>
    <s v="Aditya Mishra"/>
    <s v="Hyderabad"/>
    <s v="Telangana"/>
    <x v="1"/>
    <x v="6"/>
    <s v="Accessories"/>
    <s v="Vikram Joshi"/>
    <n v="2"/>
    <n v="3000"/>
    <n v="1800"/>
    <n v="0.17"/>
    <n v="4980"/>
    <n v="3600"/>
    <n v="1380"/>
    <x v="2"/>
    <s v="In Transit"/>
  </r>
  <r>
    <s v="ORD0838"/>
    <s v="CUST0838"/>
    <x v="430"/>
    <s v="Pooja Das"/>
    <s v="Kolkata"/>
    <s v="West Bengal"/>
    <x v="3"/>
    <x v="9"/>
    <s v="Accessories"/>
    <s v="Rahul Verma"/>
    <n v="1"/>
    <n v="800"/>
    <n v="450"/>
    <n v="0.14000000000000001"/>
    <n v="688"/>
    <n v="450"/>
    <n v="238"/>
    <x v="0"/>
    <s v="Returned"/>
  </r>
  <r>
    <s v="ORD0839"/>
    <s v="CUST0839"/>
    <x v="100"/>
    <s v="Kavya Reddy"/>
    <s v="Mumbai"/>
    <s v="Maharashtra"/>
    <x v="0"/>
    <x v="1"/>
    <s v="Accessories"/>
    <s v="Amit Sharma"/>
    <n v="8"/>
    <n v="1500"/>
    <n v="900"/>
    <n v="0.16"/>
    <n v="10080"/>
    <n v="7200"/>
    <n v="2880"/>
    <x v="4"/>
    <s v="Returned"/>
  </r>
  <r>
    <s v="ORD0840"/>
    <s v="CUST0840"/>
    <x v="391"/>
    <s v="Vikram Singh"/>
    <s v="Ahmedabad"/>
    <s v="Gujarat"/>
    <x v="0"/>
    <x v="8"/>
    <s v="Office"/>
    <s v="Arjun Rao"/>
    <n v="10"/>
    <n v="15000"/>
    <n v="11500"/>
    <n v="0.17"/>
    <n v="124500"/>
    <n v="115000"/>
    <n v="9500"/>
    <x v="4"/>
    <s v="In Transit"/>
  </r>
  <r>
    <s v="ORD0841"/>
    <s v="CUST0841"/>
    <x v="132"/>
    <s v="Deepika Roy"/>
    <s v="Mysuru"/>
    <s v="Karnataka"/>
    <x v="1"/>
    <x v="8"/>
    <s v="Office"/>
    <s v="Neha Gupta"/>
    <n v="2"/>
    <n v="15000"/>
    <n v="11500"/>
    <n v="0.03"/>
    <n v="29100"/>
    <n v="23000"/>
    <n v="6100"/>
    <x v="2"/>
    <s v="In Transit"/>
  </r>
  <r>
    <s v="ORD0842"/>
    <s v="CUST0842"/>
    <x v="18"/>
    <s v="Aisha Khan"/>
    <s v="Jaipur"/>
    <s v="Rajasthan"/>
    <x v="2"/>
    <x v="3"/>
    <s v="Electronics"/>
    <s v="Pooja Das"/>
    <n v="3"/>
    <n v="25000"/>
    <n v="20000"/>
    <n v="0.3"/>
    <n v="52500"/>
    <n v="60000"/>
    <n v="-7500"/>
    <x v="3"/>
    <s v="Delivered"/>
  </r>
  <r>
    <s v="ORD0843"/>
    <s v="CUST0843"/>
    <x v="488"/>
    <s v="Pooja Das"/>
    <s v="Chennai"/>
    <s v="Tamil Nadu"/>
    <x v="1"/>
    <x v="1"/>
    <s v="Accessories"/>
    <s v="Anjali Mehta"/>
    <n v="5"/>
    <n v="1500"/>
    <n v="900"/>
    <n v="0.13"/>
    <n v="6525"/>
    <n v="4500"/>
    <n v="2025"/>
    <x v="3"/>
    <s v="Returned"/>
  </r>
  <r>
    <s v="ORD0844"/>
    <s v="CUST0844"/>
    <x v="489"/>
    <s v="Divya Menon"/>
    <s v="Hyderabad"/>
    <s v="Telangana"/>
    <x v="1"/>
    <x v="3"/>
    <s v="Electronics"/>
    <s v="Karan Singh"/>
    <n v="2"/>
    <n v="25000"/>
    <n v="20000"/>
    <n v="0.27"/>
    <n v="36500"/>
    <n v="40000"/>
    <n v="-3500"/>
    <x v="1"/>
    <s v="Cancelled"/>
  </r>
  <r>
    <s v="ORD0845"/>
    <s v="CUST0845"/>
    <x v="46"/>
    <s v="Divya Menon"/>
    <s v="Kolkata"/>
    <s v="West Bengal"/>
    <x v="3"/>
    <x v="5"/>
    <s v="Electronics"/>
    <s v="Sneha Patil"/>
    <n v="10"/>
    <n v="5000"/>
    <n v="3200"/>
    <n v="7.0000000000000007E-2"/>
    <n v="46500"/>
    <n v="32000"/>
    <n v="14500"/>
    <x v="2"/>
    <s v="Cancelled"/>
  </r>
  <r>
    <s v="ORD0846"/>
    <s v="CUST0846"/>
    <x v="2"/>
    <s v="Arjun Mehta"/>
    <s v="Jaipur"/>
    <s v="Rajasthan"/>
    <x v="2"/>
    <x v="5"/>
    <s v="Electronics"/>
    <s v="Sneha Patil"/>
    <n v="9"/>
    <n v="5000"/>
    <n v="3200"/>
    <n v="0.05"/>
    <n v="42750"/>
    <n v="28800"/>
    <n v="13950"/>
    <x v="2"/>
    <s v="In Transit"/>
  </r>
  <r>
    <s v="ORD0847"/>
    <s v="CUST0847"/>
    <x v="490"/>
    <s v="Rahul Sharma"/>
    <s v="Jaipur"/>
    <s v="Rajasthan"/>
    <x v="2"/>
    <x v="2"/>
    <s v="Electronics"/>
    <s v="Priya Nair"/>
    <n v="6"/>
    <n v="35000"/>
    <n v="28000"/>
    <n v="0.01"/>
    <n v="207900"/>
    <n v="168000"/>
    <n v="39900"/>
    <x v="3"/>
    <s v="In Transit"/>
  </r>
  <r>
    <s v="ORD0848"/>
    <s v="CUST0848"/>
    <x v="76"/>
    <s v="Aisha Khan"/>
    <s v="Jaipur"/>
    <s v="Rajasthan"/>
    <x v="2"/>
    <x v="3"/>
    <s v="Electronics"/>
    <s v="Priya Nair"/>
    <n v="4"/>
    <n v="25000"/>
    <n v="20000"/>
    <n v="0.24"/>
    <n v="76000"/>
    <n v="80000"/>
    <n v="-4000"/>
    <x v="2"/>
    <s v="Returned"/>
  </r>
  <r>
    <s v="ORD0849"/>
    <s v="CUST0849"/>
    <x v="222"/>
    <s v="Anjali Rao"/>
    <s v="Mumbai"/>
    <s v="Maharashtra"/>
    <x v="0"/>
    <x v="3"/>
    <s v="Electronics"/>
    <s v="Pooja Das"/>
    <n v="1"/>
    <n v="25000"/>
    <n v="20000"/>
    <n v="0.28000000000000003"/>
    <n v="18000"/>
    <n v="20000"/>
    <n v="-2000"/>
    <x v="1"/>
    <s v="Cancelled"/>
  </r>
  <r>
    <s v="ORD0850"/>
    <s v="CUST0850"/>
    <x v="228"/>
    <s v="Amit Kumar"/>
    <s v="Mysuru"/>
    <s v="Karnataka"/>
    <x v="1"/>
    <x v="8"/>
    <s v="Office"/>
    <s v="Amit Sharma"/>
    <n v="4"/>
    <n v="15000"/>
    <n v="11500"/>
    <n v="0.22"/>
    <n v="46800"/>
    <n v="46000"/>
    <n v="800"/>
    <x v="1"/>
    <s v="Returned"/>
  </r>
  <r>
    <s v="ORD0851"/>
    <s v="CUST0851"/>
    <x v="270"/>
    <s v="Rohit Verma"/>
    <s v="Jaipur"/>
    <s v="Rajasthan"/>
    <x v="2"/>
    <x v="6"/>
    <s v="Accessories"/>
    <s v="Rahul Verma"/>
    <n v="5"/>
    <n v="3000"/>
    <n v="1800"/>
    <n v="0"/>
    <n v="15000"/>
    <n v="9000"/>
    <n v="6000"/>
    <x v="1"/>
    <s v="Delivered"/>
  </r>
  <r>
    <s v="ORD0852"/>
    <s v="CUST0852"/>
    <x v="173"/>
    <s v="Pooja Das"/>
    <s v="Chennai"/>
    <s v="Tamil Nadu"/>
    <x v="1"/>
    <x v="3"/>
    <s v="Electronics"/>
    <s v="Priya Nair"/>
    <n v="3"/>
    <n v="25000"/>
    <n v="20000"/>
    <n v="0.06"/>
    <n v="70500"/>
    <n v="60000"/>
    <n v="10500"/>
    <x v="0"/>
    <s v="Returned"/>
  </r>
  <r>
    <s v="ORD0853"/>
    <s v="CUST0853"/>
    <x v="91"/>
    <s v="Amit Kumar"/>
    <s v="Mumbai"/>
    <s v="Maharashtra"/>
    <x v="0"/>
    <x v="6"/>
    <s v="Accessories"/>
    <s v="Anjali Mehta"/>
    <n v="1"/>
    <n v="3000"/>
    <n v="1800"/>
    <n v="0.22"/>
    <n v="2340"/>
    <n v="1800"/>
    <n v="540"/>
    <x v="0"/>
    <s v="Cancelled"/>
  </r>
  <r>
    <s v="ORD0854"/>
    <s v="CUST0854"/>
    <x v="102"/>
    <s v="Sneha Nair"/>
    <s v="Warangal"/>
    <s v="Telangana"/>
    <x v="1"/>
    <x v="6"/>
    <s v="Accessories"/>
    <s v="Priya Nair"/>
    <n v="5"/>
    <n v="3000"/>
    <n v="1800"/>
    <n v="0.08"/>
    <n v="13800"/>
    <n v="9000"/>
    <n v="4800"/>
    <x v="4"/>
    <s v="Returned"/>
  </r>
  <r>
    <s v="ORD0855"/>
    <s v="CUST0855"/>
    <x v="22"/>
    <s v="Rohit Verma"/>
    <s v="Mumbai"/>
    <s v="Maharashtra"/>
    <x v="0"/>
    <x v="9"/>
    <s v="Accessories"/>
    <s v="Pooja Das"/>
    <n v="2"/>
    <n v="800"/>
    <n v="450"/>
    <n v="0.13"/>
    <n v="1392"/>
    <n v="900"/>
    <n v="492"/>
    <x v="3"/>
    <s v="Cancelled"/>
  </r>
  <r>
    <s v="ORD0856"/>
    <s v="CUST0856"/>
    <x v="491"/>
    <s v="Sneha Nair"/>
    <s v="Coimbatore"/>
    <s v="Tamil Nadu"/>
    <x v="1"/>
    <x v="2"/>
    <s v="Electronics"/>
    <s v="Anjali Mehta"/>
    <n v="5"/>
    <n v="35000"/>
    <n v="28000"/>
    <n v="0.01"/>
    <n v="173250"/>
    <n v="140000"/>
    <n v="33250"/>
    <x v="2"/>
    <s v="Cancelled"/>
  </r>
  <r>
    <s v="ORD0857"/>
    <s v="CUST0857"/>
    <x v="387"/>
    <s v="Deepika Roy"/>
    <s v="Ahmedabad"/>
    <s v="Gujarat"/>
    <x v="0"/>
    <x v="6"/>
    <s v="Accessories"/>
    <s v="Priya Nair"/>
    <n v="2"/>
    <n v="3000"/>
    <n v="1800"/>
    <n v="0.12"/>
    <n v="5280"/>
    <n v="3600"/>
    <n v="1680"/>
    <x v="3"/>
    <s v="Cancelled"/>
  </r>
  <r>
    <s v="ORD0858"/>
    <s v="CUST0858"/>
    <x v="296"/>
    <s v="Aditya Mishra"/>
    <s v="Surat"/>
    <s v="Gujarat"/>
    <x v="0"/>
    <x v="0"/>
    <s v="Office"/>
    <s v="Rahul Verma"/>
    <n v="6"/>
    <n v="18000"/>
    <n v="14000"/>
    <n v="0.13"/>
    <n v="93960"/>
    <n v="84000"/>
    <n v="9960"/>
    <x v="0"/>
    <s v="In Transit"/>
  </r>
  <r>
    <s v="ORD0859"/>
    <s v="CUST0859"/>
    <x v="230"/>
    <s v="Aditya Mishra"/>
    <s v="Coimbatore"/>
    <s v="Tamil Nadu"/>
    <x v="1"/>
    <x v="1"/>
    <s v="Accessories"/>
    <s v="Arjun Rao"/>
    <n v="6"/>
    <n v="1500"/>
    <n v="900"/>
    <n v="0.2"/>
    <n v="7200"/>
    <n v="5400"/>
    <n v="1800"/>
    <x v="0"/>
    <s v="Returned"/>
  </r>
  <r>
    <s v="ORD0860"/>
    <s v="CUST0860"/>
    <x v="492"/>
    <s v="Meera Shah"/>
    <s v="Kolkata"/>
    <s v="West Bengal"/>
    <x v="3"/>
    <x v="3"/>
    <s v="Electronics"/>
    <s v="Vikram Joshi"/>
    <n v="2"/>
    <n v="25000"/>
    <n v="20000"/>
    <n v="0.01"/>
    <n v="49500"/>
    <n v="40000"/>
    <n v="9500"/>
    <x v="1"/>
    <s v="In Transit"/>
  </r>
  <r>
    <s v="ORD0861"/>
    <s v="CUST0861"/>
    <x v="462"/>
    <s v="Pooja Das"/>
    <s v="Hyderabad"/>
    <s v="Telangana"/>
    <x v="1"/>
    <x v="3"/>
    <s v="Electronics"/>
    <s v="Anjali Mehta"/>
    <n v="4"/>
    <n v="25000"/>
    <n v="20000"/>
    <n v="0"/>
    <n v="100000"/>
    <n v="80000"/>
    <n v="20000"/>
    <x v="0"/>
    <s v="Cancelled"/>
  </r>
  <r>
    <s v="ORD0862"/>
    <s v="CUST0862"/>
    <x v="493"/>
    <s v="Nikhil Jain"/>
    <s v="Kolkata"/>
    <s v="West Bengal"/>
    <x v="3"/>
    <x v="9"/>
    <s v="Accessories"/>
    <s v="Amit Sharma"/>
    <n v="8"/>
    <n v="800"/>
    <n v="450"/>
    <n v="0.03"/>
    <n v="6208"/>
    <n v="3600"/>
    <n v="2608"/>
    <x v="1"/>
    <s v="In Transit"/>
  </r>
  <r>
    <s v="ORD0863"/>
    <s v="CUST0863"/>
    <x v="494"/>
    <s v="Rahul Sharma"/>
    <s v="Jaipur"/>
    <s v="Rajasthan"/>
    <x v="2"/>
    <x v="6"/>
    <s v="Accessories"/>
    <s v="Rahul Verma"/>
    <n v="1"/>
    <n v="3000"/>
    <n v="1800"/>
    <n v="0.02"/>
    <n v="2940"/>
    <n v="1800"/>
    <n v="1140"/>
    <x v="2"/>
    <s v="Cancelled"/>
  </r>
  <r>
    <s v="ORD0864"/>
    <s v="CUST0864"/>
    <x v="348"/>
    <s v="Vikram Singh"/>
    <s v="Hyderabad"/>
    <s v="Telangana"/>
    <x v="1"/>
    <x v="6"/>
    <s v="Accessories"/>
    <s v="Pooja Das"/>
    <n v="5"/>
    <n v="3000"/>
    <n v="1800"/>
    <n v="0.23"/>
    <n v="11550"/>
    <n v="9000"/>
    <n v="2550"/>
    <x v="4"/>
    <s v="Delivered"/>
  </r>
  <r>
    <s v="ORD0865"/>
    <s v="CUST0865"/>
    <x v="212"/>
    <s v="Divya Menon"/>
    <s v="Mysuru"/>
    <s v="Karnataka"/>
    <x v="1"/>
    <x v="5"/>
    <s v="Electronics"/>
    <s v="Anjali Mehta"/>
    <n v="1"/>
    <n v="5000"/>
    <n v="3200"/>
    <n v="0.06"/>
    <n v="4700"/>
    <n v="3200"/>
    <n v="1500"/>
    <x v="0"/>
    <s v="Cancelled"/>
  </r>
  <r>
    <s v="ORD0866"/>
    <s v="CUST0866"/>
    <x v="452"/>
    <s v="Karan Joshi"/>
    <s v="Pune"/>
    <s v="Maharashtra"/>
    <x v="0"/>
    <x v="9"/>
    <s v="Accessories"/>
    <s v="Pooja Das"/>
    <n v="4"/>
    <n v="800"/>
    <n v="450"/>
    <n v="0.28000000000000003"/>
    <n v="2304"/>
    <n v="1800"/>
    <n v="504"/>
    <x v="3"/>
    <s v="Returned"/>
  </r>
  <r>
    <s v="ORD0867"/>
    <s v="CUST0867"/>
    <x v="340"/>
    <s v="Rahul Sharma"/>
    <s v="Chennai"/>
    <s v="Tamil Nadu"/>
    <x v="1"/>
    <x v="7"/>
    <s v="Electronics"/>
    <s v="Sneha Patil"/>
    <n v="1"/>
    <n v="65000"/>
    <n v="52000"/>
    <n v="0.21"/>
    <n v="51350"/>
    <n v="52000"/>
    <n v="-650"/>
    <x v="1"/>
    <s v="Delivered"/>
  </r>
  <r>
    <s v="ORD0868"/>
    <s v="CUST0868"/>
    <x v="97"/>
    <s v="Karan Joshi"/>
    <s v="Mysuru"/>
    <s v="Karnataka"/>
    <x v="1"/>
    <x v="4"/>
    <s v="Wearables"/>
    <s v="Anjali Mehta"/>
    <n v="7"/>
    <n v="12000"/>
    <n v="8500"/>
    <n v="0.15"/>
    <n v="71400"/>
    <n v="59500"/>
    <n v="11900"/>
    <x v="0"/>
    <s v="Delivered"/>
  </r>
  <r>
    <s v="ORD0869"/>
    <s v="CUST0869"/>
    <x v="495"/>
    <s v="Vikram Singh"/>
    <s v="Chennai"/>
    <s v="Tamil Nadu"/>
    <x v="1"/>
    <x v="4"/>
    <s v="Wearables"/>
    <s v="Vikram Joshi"/>
    <n v="4"/>
    <n v="12000"/>
    <n v="8500"/>
    <n v="7.0000000000000007E-2"/>
    <n v="44640"/>
    <n v="34000"/>
    <n v="10640"/>
    <x v="0"/>
    <s v="Returned"/>
  </r>
  <r>
    <s v="ORD0870"/>
    <s v="CUST0870"/>
    <x v="71"/>
    <s v="Rohan Kulkarni"/>
    <s v="Surat"/>
    <s v="Gujarat"/>
    <x v="0"/>
    <x v="4"/>
    <s v="Wearables"/>
    <s v="Arjun Rao"/>
    <n v="3"/>
    <n v="12000"/>
    <n v="8500"/>
    <n v="0.24"/>
    <n v="27360"/>
    <n v="25500"/>
    <n v="1860"/>
    <x v="3"/>
    <s v="Cancelled"/>
  </r>
  <r>
    <s v="ORD0871"/>
    <s v="CUST0871"/>
    <x v="269"/>
    <s v="Aisha Khan"/>
    <s v="Surat"/>
    <s v="Gujarat"/>
    <x v="0"/>
    <x v="1"/>
    <s v="Accessories"/>
    <s v="Priya Nair"/>
    <n v="6"/>
    <n v="1500"/>
    <n v="900"/>
    <n v="0.21"/>
    <n v="7110"/>
    <n v="5400"/>
    <n v="1710"/>
    <x v="3"/>
    <s v="Delivered"/>
  </r>
  <r>
    <s v="ORD0872"/>
    <s v="CUST0872"/>
    <x v="496"/>
    <s v="Divya Menon"/>
    <s v="Mysuru"/>
    <s v="Karnataka"/>
    <x v="1"/>
    <x v="6"/>
    <s v="Accessories"/>
    <s v="Pooja Das"/>
    <n v="4"/>
    <n v="3000"/>
    <n v="1800"/>
    <n v="0.23"/>
    <n v="9240"/>
    <n v="7200"/>
    <n v="2040"/>
    <x v="3"/>
    <s v="Returned"/>
  </r>
  <r>
    <s v="ORD0873"/>
    <s v="CUST0873"/>
    <x v="497"/>
    <s v="Rahul Sharma"/>
    <s v="Pune"/>
    <s v="Maharashtra"/>
    <x v="0"/>
    <x v="4"/>
    <s v="Wearables"/>
    <s v="Pooja Das"/>
    <n v="1"/>
    <n v="12000"/>
    <n v="8500"/>
    <n v="0.02"/>
    <n v="11760"/>
    <n v="8500"/>
    <n v="3260"/>
    <x v="3"/>
    <s v="In Transit"/>
  </r>
  <r>
    <s v="ORD0874"/>
    <s v="CUST0874"/>
    <x v="85"/>
    <s v="Neha Gupta"/>
    <s v="Hyderabad"/>
    <s v="Telangana"/>
    <x v="1"/>
    <x v="6"/>
    <s v="Accessories"/>
    <s v="Priya Nair"/>
    <n v="4"/>
    <n v="3000"/>
    <n v="1800"/>
    <n v="0.16"/>
    <n v="10080"/>
    <n v="7200"/>
    <n v="2880"/>
    <x v="4"/>
    <s v="Delivered"/>
  </r>
  <r>
    <s v="ORD0875"/>
    <s v="CUST0875"/>
    <x v="46"/>
    <s v="Suresh Iyer"/>
    <s v="Surat"/>
    <s v="Gujarat"/>
    <x v="0"/>
    <x v="5"/>
    <s v="Electronics"/>
    <s v="Pooja Das"/>
    <n v="6"/>
    <n v="5000"/>
    <n v="3200"/>
    <n v="0.12"/>
    <n v="26400"/>
    <n v="19200"/>
    <n v="7200"/>
    <x v="3"/>
    <s v="In Transit"/>
  </r>
  <r>
    <s v="ORD0876"/>
    <s v="CUST0876"/>
    <x v="427"/>
    <s v="Suresh Iyer"/>
    <s v="Warangal"/>
    <s v="Telangana"/>
    <x v="1"/>
    <x v="5"/>
    <s v="Electronics"/>
    <s v="Amit Sharma"/>
    <n v="1"/>
    <n v="5000"/>
    <n v="3200"/>
    <n v="0.17"/>
    <n v="4150"/>
    <n v="3200"/>
    <n v="950"/>
    <x v="1"/>
    <s v="In Transit"/>
  </r>
  <r>
    <s v="ORD0877"/>
    <s v="CUST0877"/>
    <x v="325"/>
    <s v="Arjun Mehta"/>
    <s v="Mumbai"/>
    <s v="Maharashtra"/>
    <x v="0"/>
    <x v="3"/>
    <s v="Electronics"/>
    <s v="Anjali Mehta"/>
    <n v="4"/>
    <n v="25000"/>
    <n v="20000"/>
    <n v="0.28999999999999998"/>
    <n v="71000"/>
    <n v="80000"/>
    <n v="-9000"/>
    <x v="4"/>
    <s v="Returned"/>
  </r>
  <r>
    <s v="ORD0878"/>
    <s v="CUST0878"/>
    <x v="485"/>
    <s v="Deepika Roy"/>
    <s v="Hyderabad"/>
    <s v="Telangana"/>
    <x v="1"/>
    <x v="6"/>
    <s v="Accessories"/>
    <s v="Karan Singh"/>
    <n v="8"/>
    <n v="3000"/>
    <n v="1800"/>
    <n v="0.28999999999999998"/>
    <n v="17040"/>
    <n v="14400"/>
    <n v="2640"/>
    <x v="4"/>
    <s v="Delivered"/>
  </r>
  <r>
    <s v="ORD0879"/>
    <s v="CUST0879"/>
    <x v="498"/>
    <s v="Arjun Mehta"/>
    <s v="Coimbatore"/>
    <s v="Tamil Nadu"/>
    <x v="1"/>
    <x v="1"/>
    <s v="Accessories"/>
    <s v="Karan Singh"/>
    <n v="3"/>
    <n v="1500"/>
    <n v="900"/>
    <n v="0.15"/>
    <n v="3825"/>
    <n v="2700"/>
    <n v="1125"/>
    <x v="3"/>
    <s v="Returned"/>
  </r>
  <r>
    <s v="ORD0880"/>
    <s v="CUST0880"/>
    <x v="87"/>
    <s v="Amit Kumar"/>
    <s v="Jaipur"/>
    <s v="Rajasthan"/>
    <x v="2"/>
    <x v="2"/>
    <s v="Electronics"/>
    <s v="Rahul Verma"/>
    <n v="6"/>
    <n v="35000"/>
    <n v="28000"/>
    <n v="0.05"/>
    <n v="199500"/>
    <n v="168000"/>
    <n v="31500"/>
    <x v="3"/>
    <s v="Cancelled"/>
  </r>
  <r>
    <s v="ORD0881"/>
    <s v="CUST0881"/>
    <x v="333"/>
    <s v="Rohan Kulkarni"/>
    <s v="Coimbatore"/>
    <s v="Tamil Nadu"/>
    <x v="1"/>
    <x v="1"/>
    <s v="Accessories"/>
    <s v="Rahul Verma"/>
    <n v="2"/>
    <n v="1500"/>
    <n v="900"/>
    <n v="0.04"/>
    <n v="2880"/>
    <n v="1800"/>
    <n v="1080"/>
    <x v="0"/>
    <s v="Delivered"/>
  </r>
  <r>
    <s v="ORD0882"/>
    <s v="CUST0882"/>
    <x v="215"/>
    <s v="Anjali Rao"/>
    <s v="Coimbatore"/>
    <s v="Tamil Nadu"/>
    <x v="1"/>
    <x v="7"/>
    <s v="Electronics"/>
    <s v="Karan Singh"/>
    <n v="10"/>
    <n v="65000"/>
    <n v="52000"/>
    <n v="0.27"/>
    <n v="474500"/>
    <n v="520000"/>
    <n v="-45500"/>
    <x v="0"/>
    <s v="Cancelled"/>
  </r>
  <r>
    <s v="ORD0883"/>
    <s v="CUST0883"/>
    <x v="154"/>
    <s v="Rohit Verma"/>
    <s v="Coimbatore"/>
    <s v="Tamil Nadu"/>
    <x v="1"/>
    <x v="9"/>
    <s v="Accessories"/>
    <s v="Sneha Patil"/>
    <n v="6"/>
    <n v="800"/>
    <n v="450"/>
    <n v="0.08"/>
    <n v="4416"/>
    <n v="2700"/>
    <n v="1716"/>
    <x v="0"/>
    <s v="In Transit"/>
  </r>
  <r>
    <s v="ORD0884"/>
    <s v="CUST0884"/>
    <x v="332"/>
    <s v="Meera Shah"/>
    <s v="Jaipur"/>
    <s v="Rajasthan"/>
    <x v="2"/>
    <x v="3"/>
    <s v="Electronics"/>
    <s v="Arjun Rao"/>
    <n v="10"/>
    <n v="25000"/>
    <n v="20000"/>
    <n v="0.02"/>
    <n v="245000"/>
    <n v="200000"/>
    <n v="45000"/>
    <x v="4"/>
    <s v="In Transit"/>
  </r>
  <r>
    <s v="ORD0885"/>
    <s v="CUST0885"/>
    <x v="260"/>
    <s v="Suresh Iyer"/>
    <s v="New Delhi"/>
    <s v="Delhi"/>
    <x v="2"/>
    <x v="8"/>
    <s v="Office"/>
    <s v="Amit Sharma"/>
    <n v="8"/>
    <n v="15000"/>
    <n v="11500"/>
    <n v="0.21"/>
    <n v="94800"/>
    <n v="92000"/>
    <n v="2800"/>
    <x v="2"/>
    <s v="Cancelled"/>
  </r>
  <r>
    <s v="ORD0886"/>
    <s v="CUST0886"/>
    <x v="151"/>
    <s v="Rohan Kulkarni"/>
    <s v="Jaipur"/>
    <s v="Rajasthan"/>
    <x v="2"/>
    <x v="9"/>
    <s v="Accessories"/>
    <s v="Priya Nair"/>
    <n v="3"/>
    <n v="800"/>
    <n v="450"/>
    <n v="0.18"/>
    <n v="1968.0000000000002"/>
    <n v="1350"/>
    <n v="618.00000000000023"/>
    <x v="0"/>
    <s v="Returned"/>
  </r>
  <r>
    <s v="ORD0887"/>
    <s v="CUST0887"/>
    <x v="400"/>
    <s v="Neha Gupta"/>
    <s v="Pune"/>
    <s v="Maharashtra"/>
    <x v="0"/>
    <x v="8"/>
    <s v="Office"/>
    <s v="Vikram Joshi"/>
    <n v="10"/>
    <n v="15000"/>
    <n v="11500"/>
    <n v="0.05"/>
    <n v="142500"/>
    <n v="115000"/>
    <n v="27500"/>
    <x v="2"/>
    <s v="Returned"/>
  </r>
  <r>
    <s v="ORD0888"/>
    <s v="CUST0888"/>
    <x v="14"/>
    <s v="Amit Kumar"/>
    <s v="Mysuru"/>
    <s v="Karnataka"/>
    <x v="1"/>
    <x v="4"/>
    <s v="Wearables"/>
    <s v="Pooja Das"/>
    <n v="9"/>
    <n v="12000"/>
    <n v="8500"/>
    <n v="0.24"/>
    <n v="82080"/>
    <n v="76500"/>
    <n v="5580"/>
    <x v="4"/>
    <s v="In Transit"/>
  </r>
  <r>
    <s v="ORD0889"/>
    <s v="CUST0889"/>
    <x v="477"/>
    <s v="Rohit Verma"/>
    <s v="Chennai"/>
    <s v="Tamil Nadu"/>
    <x v="1"/>
    <x v="8"/>
    <s v="Office"/>
    <s v="Priya Nair"/>
    <n v="10"/>
    <n v="15000"/>
    <n v="11500"/>
    <n v="0.12"/>
    <n v="132000"/>
    <n v="115000"/>
    <n v="17000"/>
    <x v="0"/>
    <s v="Cancelled"/>
  </r>
  <r>
    <s v="ORD0890"/>
    <s v="CUST0890"/>
    <x v="353"/>
    <s v="Vikram Singh"/>
    <s v="Surat"/>
    <s v="Gujarat"/>
    <x v="0"/>
    <x v="7"/>
    <s v="Electronics"/>
    <s v="Rahul Verma"/>
    <n v="5"/>
    <n v="65000"/>
    <n v="52000"/>
    <n v="0.04"/>
    <n v="312000"/>
    <n v="260000"/>
    <n v="52000"/>
    <x v="0"/>
    <s v="In Transit"/>
  </r>
  <r>
    <s v="ORD0891"/>
    <s v="CUST0891"/>
    <x v="499"/>
    <s v="Arjun Mehta"/>
    <s v="Ahmedabad"/>
    <s v="Gujarat"/>
    <x v="0"/>
    <x v="5"/>
    <s v="Electronics"/>
    <s v="Rahul Verma"/>
    <n v="10"/>
    <n v="5000"/>
    <n v="3200"/>
    <n v="0.18"/>
    <n v="41000"/>
    <n v="32000"/>
    <n v="9000"/>
    <x v="3"/>
    <s v="In Transit"/>
  </r>
  <r>
    <s v="ORD0892"/>
    <s v="CUST0892"/>
    <x v="459"/>
    <s v="Nikhil Jain"/>
    <s v="Warangal"/>
    <s v="Telangana"/>
    <x v="1"/>
    <x v="8"/>
    <s v="Office"/>
    <s v="Amit Sharma"/>
    <n v="5"/>
    <n v="15000"/>
    <n v="11500"/>
    <n v="0.12"/>
    <n v="66000"/>
    <n v="57500"/>
    <n v="8500"/>
    <x v="1"/>
    <s v="Delivered"/>
  </r>
  <r>
    <s v="ORD0893"/>
    <s v="CUST0893"/>
    <x v="447"/>
    <s v="Amit Kumar"/>
    <s v="Ahmedabad"/>
    <s v="Gujarat"/>
    <x v="0"/>
    <x v="7"/>
    <s v="Electronics"/>
    <s v="Karan Singh"/>
    <n v="1"/>
    <n v="65000"/>
    <n v="52000"/>
    <n v="7.0000000000000007E-2"/>
    <n v="60449.999999999993"/>
    <n v="52000"/>
    <n v="8449.9999999999927"/>
    <x v="4"/>
    <s v="Delivered"/>
  </r>
  <r>
    <s v="ORD0894"/>
    <s v="CUST0894"/>
    <x v="23"/>
    <s v="Aditya Mishra"/>
    <s v="Chennai"/>
    <s v="Tamil Nadu"/>
    <x v="1"/>
    <x v="4"/>
    <s v="Wearables"/>
    <s v="Arjun Rao"/>
    <n v="4"/>
    <n v="12000"/>
    <n v="8500"/>
    <n v="0.12"/>
    <n v="42240"/>
    <n v="34000"/>
    <n v="8240"/>
    <x v="3"/>
    <s v="Cancelled"/>
  </r>
  <r>
    <s v="ORD0895"/>
    <s v="CUST0895"/>
    <x v="500"/>
    <s v="Neha Gupta"/>
    <s v="Surat"/>
    <s v="Gujarat"/>
    <x v="0"/>
    <x v="8"/>
    <s v="Office"/>
    <s v="Vikram Joshi"/>
    <n v="5"/>
    <n v="15000"/>
    <n v="11500"/>
    <n v="0.05"/>
    <n v="71250"/>
    <n v="57500"/>
    <n v="13750"/>
    <x v="1"/>
    <s v="Returned"/>
  </r>
  <r>
    <s v="ORD0896"/>
    <s v="CUST0896"/>
    <x v="226"/>
    <s v="Sneha Nair"/>
    <s v="Warangal"/>
    <s v="Telangana"/>
    <x v="1"/>
    <x v="0"/>
    <s v="Office"/>
    <s v="Anjali Mehta"/>
    <n v="1"/>
    <n v="18000"/>
    <n v="14000"/>
    <n v="0.28000000000000003"/>
    <n v="12960"/>
    <n v="14000"/>
    <n v="-1040"/>
    <x v="0"/>
    <s v="Returned"/>
  </r>
  <r>
    <s v="ORD0897"/>
    <s v="CUST0897"/>
    <x v="369"/>
    <s v="Rohan Kulkarni"/>
    <s v="Mysuru"/>
    <s v="Karnataka"/>
    <x v="1"/>
    <x v="7"/>
    <s v="Electronics"/>
    <s v="Vikram Joshi"/>
    <n v="4"/>
    <n v="65000"/>
    <n v="52000"/>
    <n v="0.12"/>
    <n v="228800"/>
    <n v="208000"/>
    <n v="20800"/>
    <x v="2"/>
    <s v="Delivered"/>
  </r>
  <r>
    <s v="ORD0898"/>
    <s v="CUST0898"/>
    <x v="237"/>
    <s v="Aisha Khan"/>
    <s v="Mysuru"/>
    <s v="Karnataka"/>
    <x v="1"/>
    <x v="7"/>
    <s v="Electronics"/>
    <s v="Karan Singh"/>
    <n v="7"/>
    <n v="65000"/>
    <n v="52000"/>
    <n v="0.11"/>
    <n v="404950"/>
    <n v="364000"/>
    <n v="40950"/>
    <x v="1"/>
    <s v="Cancelled"/>
  </r>
  <r>
    <s v="ORD0899"/>
    <s v="CUST0899"/>
    <x v="48"/>
    <s v="Priya Patel"/>
    <s v="Hyderabad"/>
    <s v="Telangana"/>
    <x v="1"/>
    <x v="5"/>
    <s v="Electronics"/>
    <s v="Anjali Mehta"/>
    <n v="3"/>
    <n v="5000"/>
    <n v="3200"/>
    <n v="0.17"/>
    <n v="12450"/>
    <n v="9600"/>
    <n v="2850"/>
    <x v="2"/>
    <s v="In Transit"/>
  </r>
  <r>
    <s v="ORD0900"/>
    <s v="CUST0900"/>
    <x v="46"/>
    <s v="Aditya Mishra"/>
    <s v="Surat"/>
    <s v="Gujarat"/>
    <x v="0"/>
    <x v="1"/>
    <s v="Accessories"/>
    <s v="Sneha Patil"/>
    <n v="4"/>
    <n v="1500"/>
    <n v="900"/>
    <n v="0.17"/>
    <n v="4980"/>
    <n v="3600"/>
    <n v="1380"/>
    <x v="3"/>
    <s v="Delivered"/>
  </r>
  <r>
    <s v="ORD0901"/>
    <s v="CUST0901"/>
    <x v="329"/>
    <s v="Meera Shah"/>
    <s v="Pune"/>
    <s v="Maharashtra"/>
    <x v="0"/>
    <x v="1"/>
    <s v="Accessories"/>
    <s v="Pooja Das"/>
    <n v="7"/>
    <n v="1500"/>
    <n v="900"/>
    <n v="0.09"/>
    <n v="9555"/>
    <n v="6300"/>
    <n v="3255"/>
    <x v="4"/>
    <s v="Returned"/>
  </r>
  <r>
    <s v="ORD0902"/>
    <s v="CUST0902"/>
    <x v="303"/>
    <s v="Aditya Mishra"/>
    <s v="Jaipur"/>
    <s v="Rajasthan"/>
    <x v="2"/>
    <x v="6"/>
    <s v="Accessories"/>
    <s v="Priya Nair"/>
    <n v="4"/>
    <n v="3000"/>
    <n v="1800"/>
    <n v="0.01"/>
    <n v="11880"/>
    <n v="7200"/>
    <n v="4680"/>
    <x v="4"/>
    <s v="Delivered"/>
  </r>
  <r>
    <s v="ORD0903"/>
    <s v="CUST0903"/>
    <x v="501"/>
    <s v="Divya Menon"/>
    <s v="Surat"/>
    <s v="Gujarat"/>
    <x v="0"/>
    <x v="3"/>
    <s v="Electronics"/>
    <s v="Pooja Das"/>
    <n v="8"/>
    <n v="25000"/>
    <n v="20000"/>
    <n v="0.09"/>
    <n v="182000"/>
    <n v="160000"/>
    <n v="22000"/>
    <x v="3"/>
    <s v="Cancelled"/>
  </r>
  <r>
    <s v="ORD0904"/>
    <s v="CUST0904"/>
    <x v="273"/>
    <s v="Divya Menon"/>
    <s v="New Delhi"/>
    <s v="Delhi"/>
    <x v="2"/>
    <x v="0"/>
    <s v="Office"/>
    <s v="Priya Nair"/>
    <n v="6"/>
    <n v="18000"/>
    <n v="14000"/>
    <n v="0.23"/>
    <n v="83160"/>
    <n v="84000"/>
    <n v="-840"/>
    <x v="2"/>
    <s v="In Transit"/>
  </r>
  <r>
    <s v="ORD0905"/>
    <s v="CUST0905"/>
    <x v="426"/>
    <s v="Pooja Das"/>
    <s v="Kolkata"/>
    <s v="West Bengal"/>
    <x v="3"/>
    <x v="9"/>
    <s v="Accessories"/>
    <s v="Amit Sharma"/>
    <n v="8"/>
    <n v="800"/>
    <n v="450"/>
    <n v="0.01"/>
    <n v="6336"/>
    <n v="3600"/>
    <n v="2736"/>
    <x v="0"/>
    <s v="Cancelled"/>
  </r>
  <r>
    <s v="ORD0906"/>
    <s v="CUST0906"/>
    <x v="379"/>
    <s v="Arjun Mehta"/>
    <s v="Kolkata"/>
    <s v="West Bengal"/>
    <x v="3"/>
    <x v="1"/>
    <s v="Accessories"/>
    <s v="Sneha Patil"/>
    <n v="10"/>
    <n v="1500"/>
    <n v="900"/>
    <n v="0.06"/>
    <n v="14100"/>
    <n v="9000"/>
    <n v="5100"/>
    <x v="3"/>
    <s v="Cancelled"/>
  </r>
  <r>
    <s v="ORD0907"/>
    <s v="CUST0907"/>
    <x v="502"/>
    <s v="Neha Gupta"/>
    <s v="Surat"/>
    <s v="Gujarat"/>
    <x v="0"/>
    <x v="1"/>
    <s v="Accessories"/>
    <s v="Neha Gupta"/>
    <n v="3"/>
    <n v="1500"/>
    <n v="900"/>
    <n v="0.14000000000000001"/>
    <n v="3870"/>
    <n v="2700"/>
    <n v="1170"/>
    <x v="0"/>
    <s v="Delivered"/>
  </r>
  <r>
    <s v="ORD0908"/>
    <s v="CUST0908"/>
    <x v="503"/>
    <s v="Rahul Sharma"/>
    <s v="Mumbai"/>
    <s v="Maharashtra"/>
    <x v="0"/>
    <x v="4"/>
    <s v="Wearables"/>
    <s v="Amit Sharma"/>
    <n v="7"/>
    <n v="12000"/>
    <n v="8500"/>
    <n v="0.03"/>
    <n v="81480"/>
    <n v="59500"/>
    <n v="21980"/>
    <x v="4"/>
    <s v="Cancelled"/>
  </r>
  <r>
    <s v="ORD0909"/>
    <s v="CUST0909"/>
    <x v="401"/>
    <s v="Vikram Singh"/>
    <s v="Ahmedabad"/>
    <s v="Gujarat"/>
    <x v="0"/>
    <x v="1"/>
    <s v="Accessories"/>
    <s v="Amit Sharma"/>
    <n v="7"/>
    <n v="1500"/>
    <n v="900"/>
    <n v="0.05"/>
    <n v="9975"/>
    <n v="6300"/>
    <n v="3675"/>
    <x v="0"/>
    <s v="Delivered"/>
  </r>
  <r>
    <s v="ORD0910"/>
    <s v="CUST0910"/>
    <x v="504"/>
    <s v="Divya Menon"/>
    <s v="Chennai"/>
    <s v="Tamil Nadu"/>
    <x v="1"/>
    <x v="9"/>
    <s v="Accessories"/>
    <s v="Pooja Das"/>
    <n v="9"/>
    <n v="800"/>
    <n v="450"/>
    <n v="0.15"/>
    <n v="6120"/>
    <n v="4050"/>
    <n v="2070"/>
    <x v="0"/>
    <s v="Cancelled"/>
  </r>
  <r>
    <s v="ORD0911"/>
    <s v="CUST0911"/>
    <x v="163"/>
    <s v="Rohit Verma"/>
    <s v="Jaipur"/>
    <s v="Rajasthan"/>
    <x v="2"/>
    <x v="9"/>
    <s v="Accessories"/>
    <s v="Pooja Das"/>
    <n v="4"/>
    <n v="800"/>
    <n v="450"/>
    <n v="0.16"/>
    <n v="2688"/>
    <n v="1800"/>
    <n v="888"/>
    <x v="4"/>
    <s v="Cancelled"/>
  </r>
  <r>
    <s v="ORD0912"/>
    <s v="CUST0912"/>
    <x v="84"/>
    <s v="Suresh Iyer"/>
    <s v="Mumbai"/>
    <s v="Maharashtra"/>
    <x v="0"/>
    <x v="6"/>
    <s v="Accessories"/>
    <s v="Vikram Joshi"/>
    <n v="2"/>
    <n v="3000"/>
    <n v="1800"/>
    <n v="0.24"/>
    <n v="4560"/>
    <n v="3600"/>
    <n v="960"/>
    <x v="3"/>
    <s v="Returned"/>
  </r>
  <r>
    <s v="ORD0913"/>
    <s v="CUST0913"/>
    <x v="505"/>
    <s v="Arjun Mehta"/>
    <s v="Pune"/>
    <s v="Maharashtra"/>
    <x v="0"/>
    <x v="5"/>
    <s v="Electronics"/>
    <s v="Karan Singh"/>
    <n v="5"/>
    <n v="5000"/>
    <n v="3200"/>
    <n v="0.03"/>
    <n v="24250"/>
    <n v="16000"/>
    <n v="8250"/>
    <x v="3"/>
    <s v="In Transit"/>
  </r>
  <r>
    <s v="ORD0914"/>
    <s v="CUST0914"/>
    <x v="380"/>
    <s v="Sneha Nair"/>
    <s v="Kolkata"/>
    <s v="West Bengal"/>
    <x v="3"/>
    <x v="6"/>
    <s v="Accessories"/>
    <s v="Karan Singh"/>
    <n v="9"/>
    <n v="3000"/>
    <n v="1800"/>
    <n v="0.24"/>
    <n v="20520"/>
    <n v="16200"/>
    <n v="4320"/>
    <x v="0"/>
    <s v="Returned"/>
  </r>
  <r>
    <s v="ORD0915"/>
    <s v="CUST0915"/>
    <x v="506"/>
    <s v="Aisha Khan"/>
    <s v="Pune"/>
    <s v="Maharashtra"/>
    <x v="0"/>
    <x v="5"/>
    <s v="Electronics"/>
    <s v="Priya Nair"/>
    <n v="10"/>
    <n v="5000"/>
    <n v="3200"/>
    <n v="0.02"/>
    <n v="49000"/>
    <n v="32000"/>
    <n v="17000"/>
    <x v="1"/>
    <s v="In Transit"/>
  </r>
  <r>
    <s v="ORD0916"/>
    <s v="CUST0916"/>
    <x v="357"/>
    <s v="Priya Patel"/>
    <s v="Kolkata"/>
    <s v="West Bengal"/>
    <x v="3"/>
    <x v="7"/>
    <s v="Electronics"/>
    <s v="Priya Nair"/>
    <n v="2"/>
    <n v="65000"/>
    <n v="52000"/>
    <n v="0.16"/>
    <n v="109200"/>
    <n v="104000"/>
    <n v="5200"/>
    <x v="3"/>
    <s v="Delivered"/>
  </r>
  <r>
    <s v="ORD0917"/>
    <s v="CUST0917"/>
    <x v="420"/>
    <s v="Rohan Kulkarni"/>
    <s v="Hyderabad"/>
    <s v="Telangana"/>
    <x v="1"/>
    <x v="6"/>
    <s v="Accessories"/>
    <s v="Priya Nair"/>
    <n v="5"/>
    <n v="3000"/>
    <n v="1800"/>
    <n v="0.19"/>
    <n v="12150"/>
    <n v="9000"/>
    <n v="3150"/>
    <x v="4"/>
    <s v="Cancelled"/>
  </r>
  <r>
    <s v="ORD0918"/>
    <s v="CUST0918"/>
    <x v="51"/>
    <s v="Sneha Nair"/>
    <s v="Jaipur"/>
    <s v="Rajasthan"/>
    <x v="2"/>
    <x v="0"/>
    <s v="Office"/>
    <s v="Pooja Das"/>
    <n v="5"/>
    <n v="18000"/>
    <n v="14000"/>
    <n v="0.13"/>
    <n v="78300"/>
    <n v="70000"/>
    <n v="8300"/>
    <x v="3"/>
    <s v="Returned"/>
  </r>
  <r>
    <s v="ORD0919"/>
    <s v="CUST0919"/>
    <x v="355"/>
    <s v="Rohit Verma"/>
    <s v="Pune"/>
    <s v="Maharashtra"/>
    <x v="0"/>
    <x v="0"/>
    <s v="Office"/>
    <s v="Priya Nair"/>
    <n v="8"/>
    <n v="18000"/>
    <n v="14000"/>
    <n v="0.3"/>
    <n v="100800"/>
    <n v="112000"/>
    <n v="-11200"/>
    <x v="2"/>
    <s v="Delivered"/>
  </r>
  <r>
    <s v="ORD0920"/>
    <s v="CUST0920"/>
    <x v="288"/>
    <s v="Karan Joshi"/>
    <s v="Ahmedabad"/>
    <s v="Gujarat"/>
    <x v="0"/>
    <x v="5"/>
    <s v="Electronics"/>
    <s v="Karan Singh"/>
    <n v="3"/>
    <n v="5000"/>
    <n v="3200"/>
    <n v="0.12"/>
    <n v="13200"/>
    <n v="9600"/>
    <n v="3600"/>
    <x v="1"/>
    <s v="Cancelled"/>
  </r>
  <r>
    <s v="ORD0921"/>
    <s v="CUST0921"/>
    <x v="468"/>
    <s v="Vikram Singh"/>
    <s v="Kolkata"/>
    <s v="West Bengal"/>
    <x v="3"/>
    <x v="6"/>
    <s v="Accessories"/>
    <s v="Neha Gupta"/>
    <n v="3"/>
    <n v="3000"/>
    <n v="1800"/>
    <n v="0.28999999999999998"/>
    <n v="6390"/>
    <n v="5400"/>
    <n v="990"/>
    <x v="3"/>
    <s v="Cancelled"/>
  </r>
  <r>
    <s v="ORD0922"/>
    <s v="CUST0922"/>
    <x v="411"/>
    <s v="Divya Menon"/>
    <s v="Mysuru"/>
    <s v="Karnataka"/>
    <x v="1"/>
    <x v="6"/>
    <s v="Accessories"/>
    <s v="Arjun Rao"/>
    <n v="3"/>
    <n v="3000"/>
    <n v="1800"/>
    <n v="0.13"/>
    <n v="7830"/>
    <n v="5400"/>
    <n v="2430"/>
    <x v="4"/>
    <s v="In Transit"/>
  </r>
  <r>
    <s v="ORD0923"/>
    <s v="CUST0923"/>
    <x v="372"/>
    <s v="Amit Kumar"/>
    <s v="Bengaluru"/>
    <s v="Karnataka"/>
    <x v="1"/>
    <x v="6"/>
    <s v="Accessories"/>
    <s v="Pooja Das"/>
    <n v="5"/>
    <n v="3000"/>
    <n v="1800"/>
    <n v="0.05"/>
    <n v="14250"/>
    <n v="9000"/>
    <n v="5250"/>
    <x v="4"/>
    <s v="In Transit"/>
  </r>
  <r>
    <s v="ORD0924"/>
    <s v="CUST0924"/>
    <x v="331"/>
    <s v="Anjali Rao"/>
    <s v="Mumbai"/>
    <s v="Maharashtra"/>
    <x v="0"/>
    <x v="8"/>
    <s v="Office"/>
    <s v="Anjali Mehta"/>
    <n v="9"/>
    <n v="15000"/>
    <n v="11500"/>
    <n v="0.18"/>
    <n v="110700.00000000001"/>
    <n v="103500"/>
    <n v="7200.0000000000146"/>
    <x v="3"/>
    <s v="Returned"/>
  </r>
  <r>
    <s v="ORD0925"/>
    <s v="CUST0925"/>
    <x v="64"/>
    <s v="Deepika Roy"/>
    <s v="New Delhi"/>
    <s v="Delhi"/>
    <x v="2"/>
    <x v="6"/>
    <s v="Accessories"/>
    <s v="Anjali Mehta"/>
    <n v="2"/>
    <n v="3000"/>
    <n v="1800"/>
    <n v="7.0000000000000007E-2"/>
    <n v="5580"/>
    <n v="3600"/>
    <n v="1980"/>
    <x v="1"/>
    <s v="Delivered"/>
  </r>
  <r>
    <s v="ORD0926"/>
    <s v="CUST0926"/>
    <x v="197"/>
    <s v="Rohit Verma"/>
    <s v="Kolkata"/>
    <s v="West Bengal"/>
    <x v="3"/>
    <x v="0"/>
    <s v="Office"/>
    <s v="Anjali Mehta"/>
    <n v="7"/>
    <n v="18000"/>
    <n v="14000"/>
    <n v="0.06"/>
    <n v="118440"/>
    <n v="98000"/>
    <n v="20440"/>
    <x v="0"/>
    <s v="Returned"/>
  </r>
  <r>
    <s v="ORD0927"/>
    <s v="CUST0927"/>
    <x v="383"/>
    <s v="Rahul Sharma"/>
    <s v="Warangal"/>
    <s v="Telangana"/>
    <x v="1"/>
    <x v="6"/>
    <s v="Accessories"/>
    <s v="Neha Gupta"/>
    <n v="6"/>
    <n v="3000"/>
    <n v="1800"/>
    <n v="0.1"/>
    <n v="16200"/>
    <n v="10800"/>
    <n v="5400"/>
    <x v="1"/>
    <s v="Delivered"/>
  </r>
  <r>
    <s v="ORD0928"/>
    <s v="CUST0928"/>
    <x v="463"/>
    <s v="Vikram Singh"/>
    <s v="Hyderabad"/>
    <s v="Telangana"/>
    <x v="1"/>
    <x v="5"/>
    <s v="Electronics"/>
    <s v="Neha Gupta"/>
    <n v="8"/>
    <n v="5000"/>
    <n v="3200"/>
    <n v="0.19"/>
    <n v="32400.000000000004"/>
    <n v="25600"/>
    <n v="6800.0000000000036"/>
    <x v="0"/>
    <s v="In Transit"/>
  </r>
  <r>
    <s v="ORD0929"/>
    <s v="CUST0929"/>
    <x v="255"/>
    <s v="Rohan Kulkarni"/>
    <s v="Mysuru"/>
    <s v="Karnataka"/>
    <x v="1"/>
    <x v="4"/>
    <s v="Wearables"/>
    <s v="Sneha Patil"/>
    <n v="4"/>
    <n v="12000"/>
    <n v="8500"/>
    <n v="0.02"/>
    <n v="47040"/>
    <n v="34000"/>
    <n v="13040"/>
    <x v="2"/>
    <s v="In Transit"/>
  </r>
  <r>
    <s v="ORD0930"/>
    <s v="CUST0930"/>
    <x v="38"/>
    <s v="Meera Shah"/>
    <s v="Ahmedabad"/>
    <s v="Gujarat"/>
    <x v="0"/>
    <x v="3"/>
    <s v="Electronics"/>
    <s v="Anjali Mehta"/>
    <n v="5"/>
    <n v="25000"/>
    <n v="20000"/>
    <n v="0.12"/>
    <n v="110000"/>
    <n v="100000"/>
    <n v="10000"/>
    <x v="0"/>
    <s v="Returned"/>
  </r>
  <r>
    <s v="ORD0931"/>
    <s v="CUST0931"/>
    <x v="507"/>
    <s v="Aditya Mishra"/>
    <s v="Coimbatore"/>
    <s v="Tamil Nadu"/>
    <x v="1"/>
    <x v="6"/>
    <s v="Accessories"/>
    <s v="Karan Singh"/>
    <n v="6"/>
    <n v="3000"/>
    <n v="1800"/>
    <n v="0.14000000000000001"/>
    <n v="15480"/>
    <n v="10800"/>
    <n v="4680"/>
    <x v="3"/>
    <s v="In Transit"/>
  </r>
  <r>
    <s v="ORD0932"/>
    <s v="CUST0932"/>
    <x v="508"/>
    <s v="Rohan Kulkarni"/>
    <s v="Coimbatore"/>
    <s v="Tamil Nadu"/>
    <x v="1"/>
    <x v="7"/>
    <s v="Electronics"/>
    <s v="Karan Singh"/>
    <n v="10"/>
    <n v="65000"/>
    <n v="52000"/>
    <n v="0.23"/>
    <n v="500500"/>
    <n v="520000"/>
    <n v="-19500"/>
    <x v="4"/>
    <s v="Delivered"/>
  </r>
  <r>
    <s v="ORD0933"/>
    <s v="CUST0933"/>
    <x v="509"/>
    <s v="Divya Menon"/>
    <s v="Pune"/>
    <s v="Maharashtra"/>
    <x v="0"/>
    <x v="3"/>
    <s v="Electronics"/>
    <s v="Sneha Patil"/>
    <n v="6"/>
    <n v="25000"/>
    <n v="20000"/>
    <n v="0.18"/>
    <n v="123000.00000000001"/>
    <n v="120000"/>
    <n v="3000.0000000000146"/>
    <x v="4"/>
    <s v="Cancelled"/>
  </r>
  <r>
    <s v="ORD0934"/>
    <s v="CUST0934"/>
    <x v="237"/>
    <s v="Kavya Reddy"/>
    <s v="Mumbai"/>
    <s v="Maharashtra"/>
    <x v="0"/>
    <x v="6"/>
    <s v="Accessories"/>
    <s v="Amit Sharma"/>
    <n v="8"/>
    <n v="3000"/>
    <n v="1800"/>
    <n v="0.04"/>
    <n v="23040"/>
    <n v="14400"/>
    <n v="8640"/>
    <x v="0"/>
    <s v="Delivered"/>
  </r>
  <r>
    <s v="ORD0935"/>
    <s v="CUST0935"/>
    <x v="510"/>
    <s v="Sneha Nair"/>
    <s v="New Delhi"/>
    <s v="Delhi"/>
    <x v="2"/>
    <x v="2"/>
    <s v="Electronics"/>
    <s v="Karan Singh"/>
    <n v="2"/>
    <n v="35000"/>
    <n v="28000"/>
    <n v="0.06"/>
    <n v="65800"/>
    <n v="56000"/>
    <n v="9800"/>
    <x v="0"/>
    <s v="Cancelled"/>
  </r>
  <r>
    <s v="ORD0936"/>
    <s v="CUST0936"/>
    <x v="220"/>
    <s v="Neha Gupta"/>
    <s v="Coimbatore"/>
    <s v="Tamil Nadu"/>
    <x v="1"/>
    <x v="6"/>
    <s v="Accessories"/>
    <s v="Amit Sharma"/>
    <n v="9"/>
    <n v="3000"/>
    <n v="1800"/>
    <n v="0.27"/>
    <n v="19710"/>
    <n v="16200"/>
    <n v="3510"/>
    <x v="3"/>
    <s v="Cancelled"/>
  </r>
  <r>
    <s v="ORD0937"/>
    <s v="CUST0937"/>
    <x v="104"/>
    <s v="Deepika Roy"/>
    <s v="Ahmedabad"/>
    <s v="Gujarat"/>
    <x v="0"/>
    <x v="5"/>
    <s v="Electronics"/>
    <s v="Karan Singh"/>
    <n v="4"/>
    <n v="5000"/>
    <n v="3200"/>
    <n v="0.03"/>
    <n v="19400"/>
    <n v="12800"/>
    <n v="6600"/>
    <x v="2"/>
    <s v="Cancelled"/>
  </r>
  <r>
    <s v="ORD0938"/>
    <s v="CUST0938"/>
    <x v="64"/>
    <s v="Rahul Sharma"/>
    <s v="Chennai"/>
    <s v="Tamil Nadu"/>
    <x v="1"/>
    <x v="3"/>
    <s v="Electronics"/>
    <s v="Amit Sharma"/>
    <n v="9"/>
    <n v="25000"/>
    <n v="20000"/>
    <n v="0.09"/>
    <n v="204750"/>
    <n v="180000"/>
    <n v="24750"/>
    <x v="3"/>
    <s v="Delivered"/>
  </r>
  <r>
    <s v="ORD0939"/>
    <s v="CUST0939"/>
    <x v="511"/>
    <s v="Aditya Mishra"/>
    <s v="Chennai"/>
    <s v="Tamil Nadu"/>
    <x v="1"/>
    <x v="1"/>
    <s v="Accessories"/>
    <s v="Karan Singh"/>
    <n v="9"/>
    <n v="1500"/>
    <n v="900"/>
    <n v="0.12"/>
    <n v="11880"/>
    <n v="8100"/>
    <n v="3780"/>
    <x v="0"/>
    <s v="Delivered"/>
  </r>
  <r>
    <s v="ORD0940"/>
    <s v="CUST0940"/>
    <x v="245"/>
    <s v="Meera Shah"/>
    <s v="New Delhi"/>
    <s v="Delhi"/>
    <x v="2"/>
    <x v="5"/>
    <s v="Electronics"/>
    <s v="Neha Gupta"/>
    <n v="4"/>
    <n v="5000"/>
    <n v="3200"/>
    <n v="0.28999999999999998"/>
    <n v="14200"/>
    <n v="12800"/>
    <n v="1400"/>
    <x v="1"/>
    <s v="Delivered"/>
  </r>
  <r>
    <s v="ORD0941"/>
    <s v="CUST0941"/>
    <x v="477"/>
    <s v="Neha Gupta"/>
    <s v="Bengaluru"/>
    <s v="Karnataka"/>
    <x v="1"/>
    <x v="9"/>
    <s v="Accessories"/>
    <s v="Neha Gupta"/>
    <n v="8"/>
    <n v="800"/>
    <n v="450"/>
    <n v="0.06"/>
    <n v="6016"/>
    <n v="3600"/>
    <n v="2416"/>
    <x v="0"/>
    <s v="Returned"/>
  </r>
  <r>
    <s v="ORD0942"/>
    <s v="CUST0942"/>
    <x v="133"/>
    <s v="Pooja Das"/>
    <s v="Bengaluru"/>
    <s v="Karnataka"/>
    <x v="1"/>
    <x v="7"/>
    <s v="Electronics"/>
    <s v="Anjali Mehta"/>
    <n v="4"/>
    <n v="65000"/>
    <n v="52000"/>
    <n v="0.28000000000000003"/>
    <n v="187200"/>
    <n v="208000"/>
    <n v="-20800"/>
    <x v="2"/>
    <s v="Delivered"/>
  </r>
  <r>
    <s v="ORD0943"/>
    <s v="CUST0943"/>
    <x v="427"/>
    <s v="Sneha Nair"/>
    <s v="Pune"/>
    <s v="Maharashtra"/>
    <x v="0"/>
    <x v="4"/>
    <s v="Wearables"/>
    <s v="Anjali Mehta"/>
    <n v="10"/>
    <n v="12000"/>
    <n v="8500"/>
    <n v="0"/>
    <n v="120000"/>
    <n v="85000"/>
    <n v="35000"/>
    <x v="3"/>
    <s v="Returned"/>
  </r>
  <r>
    <s v="ORD0944"/>
    <s v="CUST0944"/>
    <x v="365"/>
    <s v="Pooja Das"/>
    <s v="Pune"/>
    <s v="Maharashtra"/>
    <x v="0"/>
    <x v="4"/>
    <s v="Wearables"/>
    <s v="Pooja Das"/>
    <n v="9"/>
    <n v="12000"/>
    <n v="8500"/>
    <n v="0.28999999999999998"/>
    <n v="76680"/>
    <n v="76500"/>
    <n v="180"/>
    <x v="4"/>
    <s v="In Transit"/>
  </r>
  <r>
    <s v="ORD0945"/>
    <s v="CUST0945"/>
    <x v="194"/>
    <s v="Aditya Mishra"/>
    <s v="Surat"/>
    <s v="Gujarat"/>
    <x v="0"/>
    <x v="9"/>
    <s v="Accessories"/>
    <s v="Neha Gupta"/>
    <n v="3"/>
    <n v="800"/>
    <n v="450"/>
    <n v="0.13"/>
    <n v="2088"/>
    <n v="1350"/>
    <n v="738"/>
    <x v="1"/>
    <s v="Cancelled"/>
  </r>
  <r>
    <s v="ORD0946"/>
    <s v="CUST0946"/>
    <x v="425"/>
    <s v="Suresh Iyer"/>
    <s v="Ahmedabad"/>
    <s v="Gujarat"/>
    <x v="0"/>
    <x v="3"/>
    <s v="Electronics"/>
    <s v="Vikram Joshi"/>
    <n v="5"/>
    <n v="25000"/>
    <n v="20000"/>
    <n v="0.04"/>
    <n v="120000"/>
    <n v="100000"/>
    <n v="20000"/>
    <x v="1"/>
    <s v="Returned"/>
  </r>
  <r>
    <s v="ORD0947"/>
    <s v="CUST0947"/>
    <x v="512"/>
    <s v="Rohit Verma"/>
    <s v="New Delhi"/>
    <s v="Delhi"/>
    <x v="2"/>
    <x v="8"/>
    <s v="Office"/>
    <s v="Karan Singh"/>
    <n v="10"/>
    <n v="15000"/>
    <n v="11500"/>
    <n v="0.18"/>
    <n v="123000.00000000001"/>
    <n v="115000"/>
    <n v="8000.0000000000146"/>
    <x v="0"/>
    <s v="Returned"/>
  </r>
  <r>
    <s v="ORD0948"/>
    <s v="CUST0948"/>
    <x v="513"/>
    <s v="Meera Shah"/>
    <s v="Chennai"/>
    <s v="Tamil Nadu"/>
    <x v="1"/>
    <x v="5"/>
    <s v="Electronics"/>
    <s v="Amit Sharma"/>
    <n v="1"/>
    <n v="5000"/>
    <n v="3200"/>
    <n v="0.28000000000000003"/>
    <n v="3600"/>
    <n v="3200"/>
    <n v="400"/>
    <x v="1"/>
    <s v="Returned"/>
  </r>
  <r>
    <s v="ORD0949"/>
    <s v="CUST0949"/>
    <x v="415"/>
    <s v="Deepika Roy"/>
    <s v="Coimbatore"/>
    <s v="Tamil Nadu"/>
    <x v="1"/>
    <x v="2"/>
    <s v="Electronics"/>
    <s v="Anjali Mehta"/>
    <n v="9"/>
    <n v="35000"/>
    <n v="28000"/>
    <n v="0.08"/>
    <n v="289800"/>
    <n v="252000"/>
    <n v="37800"/>
    <x v="3"/>
    <s v="Cancelled"/>
  </r>
  <r>
    <s v="ORD0950"/>
    <s v="CUST0950"/>
    <x v="507"/>
    <s v="Neha Gupta"/>
    <s v="Ahmedabad"/>
    <s v="Gujarat"/>
    <x v="0"/>
    <x v="0"/>
    <s v="Office"/>
    <s v="Sneha Patil"/>
    <n v="7"/>
    <n v="18000"/>
    <n v="14000"/>
    <n v="0.25"/>
    <n v="94500"/>
    <n v="98000"/>
    <n v="-3500"/>
    <x v="2"/>
    <s v="Delivered"/>
  </r>
  <r>
    <s v="ORD0951"/>
    <s v="CUST0951"/>
    <x v="514"/>
    <s v="Suresh Iyer"/>
    <s v="Mysuru"/>
    <s v="Karnataka"/>
    <x v="1"/>
    <x v="7"/>
    <s v="Electronics"/>
    <s v="Sneha Patil"/>
    <n v="5"/>
    <n v="65000"/>
    <n v="52000"/>
    <n v="0.18"/>
    <n v="266500"/>
    <n v="260000"/>
    <n v="6500"/>
    <x v="4"/>
    <s v="Delivered"/>
  </r>
  <r>
    <s v="ORD0952"/>
    <s v="CUST0952"/>
    <x v="515"/>
    <s v="Kavya Reddy"/>
    <s v="Mysuru"/>
    <s v="Karnataka"/>
    <x v="1"/>
    <x v="1"/>
    <s v="Accessories"/>
    <s v="Sneha Patil"/>
    <n v="6"/>
    <n v="1500"/>
    <n v="900"/>
    <n v="7.0000000000000007E-2"/>
    <n v="8370"/>
    <n v="5400"/>
    <n v="2970"/>
    <x v="2"/>
    <s v="Cancelled"/>
  </r>
  <r>
    <s v="ORD0953"/>
    <s v="CUST0953"/>
    <x v="0"/>
    <s v="Aisha Khan"/>
    <s v="Kolkata"/>
    <s v="West Bengal"/>
    <x v="3"/>
    <x v="4"/>
    <s v="Wearables"/>
    <s v="Pooja Das"/>
    <n v="6"/>
    <n v="12000"/>
    <n v="8500"/>
    <n v="0.16"/>
    <n v="60480"/>
    <n v="51000"/>
    <n v="9480"/>
    <x v="4"/>
    <s v="Delivered"/>
  </r>
  <r>
    <s v="ORD0954"/>
    <s v="CUST0954"/>
    <x v="27"/>
    <s v="Meera Shah"/>
    <s v="Jaipur"/>
    <s v="Rajasthan"/>
    <x v="2"/>
    <x v="8"/>
    <s v="Office"/>
    <s v="Anjali Mehta"/>
    <n v="4"/>
    <n v="15000"/>
    <n v="11500"/>
    <n v="0.15"/>
    <n v="51000"/>
    <n v="46000"/>
    <n v="5000"/>
    <x v="1"/>
    <s v="In Transit"/>
  </r>
  <r>
    <s v="ORD0955"/>
    <s v="CUST0955"/>
    <x v="516"/>
    <s v="Vikram Singh"/>
    <s v="Mumbai"/>
    <s v="Maharashtra"/>
    <x v="0"/>
    <x v="5"/>
    <s v="Electronics"/>
    <s v="Pooja Das"/>
    <n v="3"/>
    <n v="5000"/>
    <n v="3200"/>
    <n v="0.13"/>
    <n v="13050"/>
    <n v="9600"/>
    <n v="3450"/>
    <x v="3"/>
    <s v="Delivered"/>
  </r>
  <r>
    <s v="ORD0956"/>
    <s v="CUST0956"/>
    <x v="187"/>
    <s v="Rahul Sharma"/>
    <s v="Pune"/>
    <s v="Maharashtra"/>
    <x v="0"/>
    <x v="2"/>
    <s v="Electronics"/>
    <s v="Priya Nair"/>
    <n v="1"/>
    <n v="35000"/>
    <n v="28000"/>
    <n v="7.0000000000000007E-2"/>
    <n v="32549.999999999996"/>
    <n v="28000"/>
    <n v="4549.9999999999964"/>
    <x v="0"/>
    <s v="In Transit"/>
  </r>
  <r>
    <s v="ORD0957"/>
    <s v="CUST0957"/>
    <x v="517"/>
    <s v="Pooja Das"/>
    <s v="Ahmedabad"/>
    <s v="Gujarat"/>
    <x v="0"/>
    <x v="5"/>
    <s v="Electronics"/>
    <s v="Karan Singh"/>
    <n v="6"/>
    <n v="5000"/>
    <n v="3200"/>
    <n v="0.26"/>
    <n v="22200"/>
    <n v="19200"/>
    <n v="3000"/>
    <x v="1"/>
    <s v="Cancelled"/>
  </r>
  <r>
    <s v="ORD0958"/>
    <s v="CUST0958"/>
    <x v="321"/>
    <s v="Kavya Reddy"/>
    <s v="Mysuru"/>
    <s v="Karnataka"/>
    <x v="1"/>
    <x v="9"/>
    <s v="Accessories"/>
    <s v="Karan Singh"/>
    <n v="8"/>
    <n v="800"/>
    <n v="450"/>
    <n v="0.26"/>
    <n v="4736"/>
    <n v="3600"/>
    <n v="1136"/>
    <x v="3"/>
    <s v="In Transit"/>
  </r>
  <r>
    <s v="ORD0959"/>
    <s v="CUST0959"/>
    <x v="190"/>
    <s v="Nikhil Jain"/>
    <s v="Pune"/>
    <s v="Maharashtra"/>
    <x v="0"/>
    <x v="5"/>
    <s v="Electronics"/>
    <s v="Anjali Mehta"/>
    <n v="8"/>
    <n v="5000"/>
    <n v="3200"/>
    <n v="0.2"/>
    <n v="32000"/>
    <n v="25600"/>
    <n v="6400"/>
    <x v="4"/>
    <s v="Cancelled"/>
  </r>
  <r>
    <s v="ORD0960"/>
    <s v="CUST0960"/>
    <x v="389"/>
    <s v="Aditya Mishra"/>
    <s v="New Delhi"/>
    <s v="Delhi"/>
    <x v="2"/>
    <x v="9"/>
    <s v="Accessories"/>
    <s v="Rahul Verma"/>
    <n v="4"/>
    <n v="800"/>
    <n v="450"/>
    <n v="0.2"/>
    <n v="2560"/>
    <n v="1800"/>
    <n v="760"/>
    <x v="3"/>
    <s v="In Transit"/>
  </r>
  <r>
    <s v="ORD0961"/>
    <s v="CUST0961"/>
    <x v="518"/>
    <s v="Priya Patel"/>
    <s v="Coimbatore"/>
    <s v="Tamil Nadu"/>
    <x v="1"/>
    <x v="9"/>
    <s v="Accessories"/>
    <s v="Arjun Rao"/>
    <n v="5"/>
    <n v="800"/>
    <n v="450"/>
    <n v="0.19"/>
    <n v="3240"/>
    <n v="2250"/>
    <n v="990"/>
    <x v="2"/>
    <s v="Delivered"/>
  </r>
  <r>
    <s v="ORD0962"/>
    <s v="CUST0962"/>
    <x v="91"/>
    <s v="Rohit Verma"/>
    <s v="Bengaluru"/>
    <s v="Karnataka"/>
    <x v="1"/>
    <x v="5"/>
    <s v="Electronics"/>
    <s v="Pooja Das"/>
    <n v="1"/>
    <n v="5000"/>
    <n v="3200"/>
    <n v="0.1"/>
    <n v="4500"/>
    <n v="3200"/>
    <n v="1300"/>
    <x v="4"/>
    <s v="Returned"/>
  </r>
  <r>
    <s v="ORD0963"/>
    <s v="CUST0963"/>
    <x v="126"/>
    <s v="Deepika Roy"/>
    <s v="Chennai"/>
    <s v="Tamil Nadu"/>
    <x v="1"/>
    <x v="0"/>
    <s v="Office"/>
    <s v="Rahul Verma"/>
    <n v="10"/>
    <n v="18000"/>
    <n v="14000"/>
    <n v="0.21"/>
    <n v="142200"/>
    <n v="140000"/>
    <n v="2200"/>
    <x v="1"/>
    <s v="Delivered"/>
  </r>
  <r>
    <s v="ORD0964"/>
    <s v="CUST0964"/>
    <x v="519"/>
    <s v="Priya Patel"/>
    <s v="Surat"/>
    <s v="Gujarat"/>
    <x v="0"/>
    <x v="1"/>
    <s v="Accessories"/>
    <s v="Anjali Mehta"/>
    <n v="10"/>
    <n v="1500"/>
    <n v="900"/>
    <n v="0.03"/>
    <n v="14550"/>
    <n v="9000"/>
    <n v="5550"/>
    <x v="0"/>
    <s v="In Transit"/>
  </r>
  <r>
    <s v="ORD0965"/>
    <s v="CUST0965"/>
    <x v="179"/>
    <s v="Aisha Khan"/>
    <s v="Surat"/>
    <s v="Gujarat"/>
    <x v="0"/>
    <x v="8"/>
    <s v="Office"/>
    <s v="Vikram Joshi"/>
    <n v="8"/>
    <n v="15000"/>
    <n v="11500"/>
    <n v="0.06"/>
    <n v="112800"/>
    <n v="92000"/>
    <n v="20800"/>
    <x v="3"/>
    <s v="In Transit"/>
  </r>
  <r>
    <s v="ORD0966"/>
    <s v="CUST0966"/>
    <x v="202"/>
    <s v="Amit Kumar"/>
    <s v="Ahmedabad"/>
    <s v="Gujarat"/>
    <x v="0"/>
    <x v="2"/>
    <s v="Electronics"/>
    <s v="Rahul Verma"/>
    <n v="6"/>
    <n v="35000"/>
    <n v="28000"/>
    <n v="0.28999999999999998"/>
    <n v="149100"/>
    <n v="168000"/>
    <n v="-18900"/>
    <x v="2"/>
    <s v="In Transit"/>
  </r>
  <r>
    <s v="ORD0967"/>
    <s v="CUST0967"/>
    <x v="424"/>
    <s v="Aditya Mishra"/>
    <s v="Bengaluru"/>
    <s v="Karnataka"/>
    <x v="1"/>
    <x v="1"/>
    <s v="Accessories"/>
    <s v="Rahul Verma"/>
    <n v="9"/>
    <n v="1500"/>
    <n v="900"/>
    <n v="0.08"/>
    <n v="12420"/>
    <n v="8100"/>
    <n v="4320"/>
    <x v="1"/>
    <s v="Delivered"/>
  </r>
  <r>
    <s v="ORD0968"/>
    <s v="CUST0968"/>
    <x v="193"/>
    <s v="Rohan Kulkarni"/>
    <s v="New Delhi"/>
    <s v="Delhi"/>
    <x v="2"/>
    <x v="6"/>
    <s v="Accessories"/>
    <s v="Anjali Mehta"/>
    <n v="3"/>
    <n v="3000"/>
    <n v="1800"/>
    <n v="0.27"/>
    <n v="6570"/>
    <n v="5400"/>
    <n v="1170"/>
    <x v="1"/>
    <s v="Delivered"/>
  </r>
  <r>
    <s v="ORD0969"/>
    <s v="CUST0969"/>
    <x v="520"/>
    <s v="Vikram Singh"/>
    <s v="Pune"/>
    <s v="Maharashtra"/>
    <x v="0"/>
    <x v="0"/>
    <s v="Office"/>
    <s v="Karan Singh"/>
    <n v="5"/>
    <n v="18000"/>
    <n v="14000"/>
    <n v="0.26"/>
    <n v="66600"/>
    <n v="70000"/>
    <n v="-3400"/>
    <x v="3"/>
    <s v="Delivered"/>
  </r>
  <r>
    <s v="ORD0970"/>
    <s v="CUST0970"/>
    <x v="521"/>
    <s v="Nikhil Jain"/>
    <s v="Bengaluru"/>
    <s v="Karnataka"/>
    <x v="1"/>
    <x v="8"/>
    <s v="Office"/>
    <s v="Anjali Mehta"/>
    <n v="3"/>
    <n v="15000"/>
    <n v="11500"/>
    <n v="0.08"/>
    <n v="41400"/>
    <n v="34500"/>
    <n v="6900"/>
    <x v="1"/>
    <s v="Delivered"/>
  </r>
  <r>
    <s v="ORD0971"/>
    <s v="CUST0971"/>
    <x v="522"/>
    <s v="Suresh Iyer"/>
    <s v="Ahmedabad"/>
    <s v="Gujarat"/>
    <x v="0"/>
    <x v="1"/>
    <s v="Accessories"/>
    <s v="Karan Singh"/>
    <n v="9"/>
    <n v="1500"/>
    <n v="900"/>
    <n v="0.08"/>
    <n v="12420"/>
    <n v="8100"/>
    <n v="4320"/>
    <x v="1"/>
    <s v="Returned"/>
  </r>
  <r>
    <s v="ORD0972"/>
    <s v="CUST0972"/>
    <x v="334"/>
    <s v="Karan Joshi"/>
    <s v="Surat"/>
    <s v="Gujarat"/>
    <x v="0"/>
    <x v="9"/>
    <s v="Accessories"/>
    <s v="Vikram Joshi"/>
    <n v="6"/>
    <n v="800"/>
    <n v="450"/>
    <n v="0.1"/>
    <n v="4320"/>
    <n v="2700"/>
    <n v="1620"/>
    <x v="0"/>
    <s v="In Transit"/>
  </r>
  <r>
    <s v="ORD0973"/>
    <s v="CUST0973"/>
    <x v="210"/>
    <s v="Meera Shah"/>
    <s v="Warangal"/>
    <s v="Telangana"/>
    <x v="1"/>
    <x v="2"/>
    <s v="Electronics"/>
    <s v="Rahul Verma"/>
    <n v="2"/>
    <n v="35000"/>
    <n v="28000"/>
    <n v="0.16"/>
    <n v="58800"/>
    <n v="56000"/>
    <n v="2800"/>
    <x v="2"/>
    <s v="In Transit"/>
  </r>
  <r>
    <s v="ORD0974"/>
    <s v="CUST0974"/>
    <x v="513"/>
    <s v="Nikhil Jain"/>
    <s v="Mysuru"/>
    <s v="Karnataka"/>
    <x v="1"/>
    <x v="7"/>
    <s v="Electronics"/>
    <s v="Neha Gupta"/>
    <n v="1"/>
    <n v="65000"/>
    <n v="52000"/>
    <n v="0.09"/>
    <n v="59150"/>
    <n v="52000"/>
    <n v="7150"/>
    <x v="4"/>
    <s v="Returned"/>
  </r>
  <r>
    <s v="ORD0975"/>
    <s v="CUST0975"/>
    <x v="523"/>
    <s v="Aisha Khan"/>
    <s v="Chennai"/>
    <s v="Tamil Nadu"/>
    <x v="1"/>
    <x v="8"/>
    <s v="Office"/>
    <s v="Karan Singh"/>
    <n v="4"/>
    <n v="15000"/>
    <n v="11500"/>
    <n v="0.22"/>
    <n v="46800"/>
    <n v="46000"/>
    <n v="800"/>
    <x v="4"/>
    <s v="In Transit"/>
  </r>
  <r>
    <s v="ORD0976"/>
    <s v="CUST0976"/>
    <x v="455"/>
    <s v="Divya Menon"/>
    <s v="Bengaluru"/>
    <s v="Karnataka"/>
    <x v="1"/>
    <x v="8"/>
    <s v="Office"/>
    <s v="Karan Singh"/>
    <n v="6"/>
    <n v="15000"/>
    <n v="11500"/>
    <n v="0.24"/>
    <n v="68400"/>
    <n v="69000"/>
    <n v="-600"/>
    <x v="2"/>
    <s v="In Transit"/>
  </r>
  <r>
    <s v="ORD0977"/>
    <s v="CUST0977"/>
    <x v="193"/>
    <s v="Rahul Sharma"/>
    <s v="Hyderabad"/>
    <s v="Telangana"/>
    <x v="1"/>
    <x v="4"/>
    <s v="Wearables"/>
    <s v="Amit Sharma"/>
    <n v="9"/>
    <n v="12000"/>
    <n v="8500"/>
    <n v="0.01"/>
    <n v="106920"/>
    <n v="76500"/>
    <n v="30420"/>
    <x v="1"/>
    <s v="Cancelled"/>
  </r>
  <r>
    <s v="ORD0978"/>
    <s v="CUST0978"/>
    <x v="524"/>
    <s v="Aditya Mishra"/>
    <s v="Kolkata"/>
    <s v="West Bengal"/>
    <x v="3"/>
    <x v="3"/>
    <s v="Electronics"/>
    <s v="Anjali Mehta"/>
    <n v="7"/>
    <n v="25000"/>
    <n v="20000"/>
    <n v="0.22"/>
    <n v="136500"/>
    <n v="140000"/>
    <n v="-3500"/>
    <x v="2"/>
    <s v="In Transit"/>
  </r>
  <r>
    <s v="ORD0979"/>
    <s v="CUST0979"/>
    <x v="489"/>
    <s v="Vikram Singh"/>
    <s v="Mysuru"/>
    <s v="Karnataka"/>
    <x v="1"/>
    <x v="3"/>
    <s v="Electronics"/>
    <s v="Pooja Das"/>
    <n v="2"/>
    <n v="25000"/>
    <n v="20000"/>
    <n v="0.24"/>
    <n v="38000"/>
    <n v="40000"/>
    <n v="-2000"/>
    <x v="4"/>
    <s v="Returned"/>
  </r>
  <r>
    <s v="ORD0980"/>
    <s v="CUST0980"/>
    <x v="192"/>
    <s v="Vikram Singh"/>
    <s v="Warangal"/>
    <s v="Telangana"/>
    <x v="1"/>
    <x v="2"/>
    <s v="Electronics"/>
    <s v="Anjali Mehta"/>
    <n v="10"/>
    <n v="35000"/>
    <n v="28000"/>
    <n v="7.0000000000000007E-2"/>
    <n v="325500"/>
    <n v="280000"/>
    <n v="45500"/>
    <x v="2"/>
    <s v="Delivered"/>
  </r>
  <r>
    <s v="ORD0981"/>
    <s v="CUST0981"/>
    <x v="414"/>
    <s v="Rohan Kulkarni"/>
    <s v="Hyderabad"/>
    <s v="Telangana"/>
    <x v="1"/>
    <x v="8"/>
    <s v="Office"/>
    <s v="Karan Singh"/>
    <n v="10"/>
    <n v="15000"/>
    <n v="11500"/>
    <n v="0.12"/>
    <n v="132000"/>
    <n v="115000"/>
    <n v="17000"/>
    <x v="2"/>
    <s v="In Transit"/>
  </r>
  <r>
    <s v="ORD0982"/>
    <s v="CUST0982"/>
    <x v="409"/>
    <s v="Vikram Singh"/>
    <s v="Pune"/>
    <s v="Maharashtra"/>
    <x v="0"/>
    <x v="5"/>
    <s v="Electronics"/>
    <s v="Amit Sharma"/>
    <n v="2"/>
    <n v="5000"/>
    <n v="3200"/>
    <n v="0.12"/>
    <n v="8800"/>
    <n v="6400"/>
    <n v="2400"/>
    <x v="4"/>
    <s v="Cancelled"/>
  </r>
  <r>
    <s v="ORD0983"/>
    <s v="CUST0983"/>
    <x v="507"/>
    <s v="Vikram Singh"/>
    <s v="Pune"/>
    <s v="Maharashtra"/>
    <x v="0"/>
    <x v="7"/>
    <s v="Electronics"/>
    <s v="Vikram Joshi"/>
    <n v="2"/>
    <n v="65000"/>
    <n v="52000"/>
    <n v="0.28000000000000003"/>
    <n v="93600"/>
    <n v="104000"/>
    <n v="-10400"/>
    <x v="0"/>
    <s v="In Transit"/>
  </r>
  <r>
    <s v="ORD0984"/>
    <s v="CUST0984"/>
    <x v="85"/>
    <s v="Arjun Mehta"/>
    <s v="Pune"/>
    <s v="Maharashtra"/>
    <x v="0"/>
    <x v="9"/>
    <s v="Accessories"/>
    <s v="Vikram Joshi"/>
    <n v="3"/>
    <n v="800"/>
    <n v="450"/>
    <n v="0"/>
    <n v="2400"/>
    <n v="1350"/>
    <n v="1050"/>
    <x v="3"/>
    <s v="Cancelled"/>
  </r>
  <r>
    <s v="ORD0985"/>
    <s v="CUST0985"/>
    <x v="332"/>
    <s v="Priya Patel"/>
    <s v="Mysuru"/>
    <s v="Karnataka"/>
    <x v="1"/>
    <x v="9"/>
    <s v="Accessories"/>
    <s v="Pooja Das"/>
    <n v="10"/>
    <n v="800"/>
    <n v="450"/>
    <n v="0.12"/>
    <n v="7040"/>
    <n v="4500"/>
    <n v="2540"/>
    <x v="0"/>
    <s v="Returned"/>
  </r>
  <r>
    <s v="ORD0986"/>
    <s v="CUST0986"/>
    <x v="409"/>
    <s v="Arjun Mehta"/>
    <s v="Hyderabad"/>
    <s v="Telangana"/>
    <x v="1"/>
    <x v="8"/>
    <s v="Office"/>
    <s v="Anjali Mehta"/>
    <n v="6"/>
    <n v="15000"/>
    <n v="11500"/>
    <n v="0"/>
    <n v="90000"/>
    <n v="69000"/>
    <n v="21000"/>
    <x v="2"/>
    <s v="Cancelled"/>
  </r>
  <r>
    <s v="ORD0987"/>
    <s v="CUST0987"/>
    <x v="355"/>
    <s v="Vikram Singh"/>
    <s v="Surat"/>
    <s v="Gujarat"/>
    <x v="0"/>
    <x v="1"/>
    <s v="Accessories"/>
    <s v="Priya Nair"/>
    <n v="7"/>
    <n v="1500"/>
    <n v="900"/>
    <n v="0.05"/>
    <n v="9975"/>
    <n v="6300"/>
    <n v="3675"/>
    <x v="0"/>
    <s v="Returned"/>
  </r>
  <r>
    <s v="ORD0988"/>
    <s v="CUST0988"/>
    <x v="95"/>
    <s v="Pooja Das"/>
    <s v="Pune"/>
    <s v="Maharashtra"/>
    <x v="0"/>
    <x v="3"/>
    <s v="Electronics"/>
    <s v="Arjun Rao"/>
    <n v="7"/>
    <n v="25000"/>
    <n v="20000"/>
    <n v="0.27"/>
    <n v="127750"/>
    <n v="140000"/>
    <n v="-12250"/>
    <x v="2"/>
    <s v="In Transit"/>
  </r>
  <r>
    <s v="ORD0989"/>
    <s v="CUST0989"/>
    <x v="356"/>
    <s v="Rohan Kulkarni"/>
    <s v="Jaipur"/>
    <s v="Rajasthan"/>
    <x v="2"/>
    <x v="7"/>
    <s v="Electronics"/>
    <s v="Pooja Das"/>
    <n v="9"/>
    <n v="65000"/>
    <n v="52000"/>
    <n v="0.15"/>
    <n v="497250"/>
    <n v="468000"/>
    <n v="29250"/>
    <x v="1"/>
    <s v="In Transit"/>
  </r>
  <r>
    <s v="ORD0990"/>
    <s v="CUST0990"/>
    <x v="525"/>
    <s v="Amit Kumar"/>
    <s v="Jaipur"/>
    <s v="Rajasthan"/>
    <x v="2"/>
    <x v="6"/>
    <s v="Accessories"/>
    <s v="Vikram Joshi"/>
    <n v="5"/>
    <n v="3000"/>
    <n v="1800"/>
    <n v="0.3"/>
    <n v="10500"/>
    <n v="9000"/>
    <n v="1500"/>
    <x v="3"/>
    <s v="In Transit"/>
  </r>
  <r>
    <s v="ORD0991"/>
    <s v="CUST0991"/>
    <x v="223"/>
    <s v="Priya Patel"/>
    <s v="Mysuru"/>
    <s v="Karnataka"/>
    <x v="1"/>
    <x v="8"/>
    <s v="Office"/>
    <s v="Pooja Das"/>
    <n v="9"/>
    <n v="15000"/>
    <n v="11500"/>
    <n v="0"/>
    <n v="135000"/>
    <n v="103500"/>
    <n v="31500"/>
    <x v="4"/>
    <s v="Cancelled"/>
  </r>
  <r>
    <s v="ORD0992"/>
    <s v="CUST0992"/>
    <x v="234"/>
    <s v="Aditya Mishra"/>
    <s v="Coimbatore"/>
    <s v="Tamil Nadu"/>
    <x v="1"/>
    <x v="7"/>
    <s v="Electronics"/>
    <s v="Pooja Das"/>
    <n v="1"/>
    <n v="65000"/>
    <n v="52000"/>
    <n v="0.06"/>
    <n v="61100"/>
    <n v="52000"/>
    <n v="9100"/>
    <x v="4"/>
    <s v="Returned"/>
  </r>
  <r>
    <s v="ORD0993"/>
    <s v="CUST0993"/>
    <x v="34"/>
    <s v="Rohit Verma"/>
    <s v="Kolkata"/>
    <s v="West Bengal"/>
    <x v="3"/>
    <x v="3"/>
    <s v="Electronics"/>
    <s v="Amit Sharma"/>
    <n v="9"/>
    <n v="25000"/>
    <n v="20000"/>
    <n v="0.14000000000000001"/>
    <n v="193500"/>
    <n v="180000"/>
    <n v="13500"/>
    <x v="0"/>
    <s v="Delivered"/>
  </r>
  <r>
    <s v="ORD0994"/>
    <s v="CUST0994"/>
    <x v="266"/>
    <s v="Pooja Das"/>
    <s v="Ahmedabad"/>
    <s v="Gujarat"/>
    <x v="0"/>
    <x v="1"/>
    <s v="Accessories"/>
    <s v="Arjun Rao"/>
    <n v="10"/>
    <n v="1500"/>
    <n v="900"/>
    <n v="0.06"/>
    <n v="14100"/>
    <n v="9000"/>
    <n v="5100"/>
    <x v="0"/>
    <s v="In Transit"/>
  </r>
  <r>
    <s v="ORD0995"/>
    <s v="CUST0995"/>
    <x v="512"/>
    <s v="Karan Joshi"/>
    <s v="Mumbai"/>
    <s v="Maharashtra"/>
    <x v="0"/>
    <x v="9"/>
    <s v="Accessories"/>
    <s v="Neha Gupta"/>
    <n v="9"/>
    <n v="800"/>
    <n v="450"/>
    <n v="0.03"/>
    <n v="6984"/>
    <n v="4050"/>
    <n v="2934"/>
    <x v="3"/>
    <s v="Returned"/>
  </r>
  <r>
    <s v="ORD0996"/>
    <s v="CUST0996"/>
    <x v="419"/>
    <s v="Sneha Nair"/>
    <s v="Coimbatore"/>
    <s v="Tamil Nadu"/>
    <x v="1"/>
    <x v="2"/>
    <s v="Electronics"/>
    <s v="Priya Nair"/>
    <n v="5"/>
    <n v="35000"/>
    <n v="28000"/>
    <n v="0.05"/>
    <n v="166250"/>
    <n v="140000"/>
    <n v="26250"/>
    <x v="3"/>
    <s v="Returned"/>
  </r>
  <r>
    <s v="ORD0997"/>
    <s v="CUST0997"/>
    <x v="517"/>
    <s v="Karan Joshi"/>
    <s v="Mysuru"/>
    <s v="Karnataka"/>
    <x v="1"/>
    <x v="3"/>
    <s v="Electronics"/>
    <s v="Anjali Mehta"/>
    <n v="3"/>
    <n v="25000"/>
    <n v="20000"/>
    <n v="0.14000000000000001"/>
    <n v="64500"/>
    <n v="60000"/>
    <n v="4500"/>
    <x v="4"/>
    <s v="In Transit"/>
  </r>
  <r>
    <s v="ORD0998"/>
    <s v="CUST0998"/>
    <x v="33"/>
    <s v="Neha Gupta"/>
    <s v="Pune"/>
    <s v="Maharashtra"/>
    <x v="0"/>
    <x v="6"/>
    <s v="Accessories"/>
    <s v="Vikram Joshi"/>
    <n v="8"/>
    <n v="3000"/>
    <n v="1800"/>
    <n v="0.02"/>
    <n v="23520"/>
    <n v="14400"/>
    <n v="9120"/>
    <x v="4"/>
    <s v="In Transit"/>
  </r>
  <r>
    <s v="ORD0999"/>
    <s v="CUST0999"/>
    <x v="526"/>
    <s v="Rohit Verma"/>
    <s v="Ahmedabad"/>
    <s v="Gujarat"/>
    <x v="0"/>
    <x v="4"/>
    <s v="Wearables"/>
    <s v="Vikram Joshi"/>
    <n v="9"/>
    <n v="12000"/>
    <n v="8500"/>
    <n v="0.04"/>
    <n v="103680"/>
    <n v="76500"/>
    <n v="27180"/>
    <x v="2"/>
    <s v="Returned"/>
  </r>
  <r>
    <s v="ORD1000"/>
    <s v="CUST1000"/>
    <x v="46"/>
    <s v="Pooja Das"/>
    <s v="Ahmedabad"/>
    <s v="Gujarat"/>
    <x v="0"/>
    <x v="7"/>
    <s v="Electronics"/>
    <s v="Anjali Mehta"/>
    <n v="8"/>
    <n v="65000"/>
    <n v="52000"/>
    <n v="0.27"/>
    <n v="379600"/>
    <n v="416000"/>
    <n v="-36400"/>
    <x v="2"/>
    <s v="Cancelled"/>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ORD0001"/>
    <s v="CUST0001"/>
    <d v="2025-10-13T00:00:00"/>
    <s v="Nikhil Jain"/>
    <s v="Surat"/>
    <s v="Gujarat"/>
    <s v="West"/>
    <s v="Monitor"/>
    <s v="Office"/>
    <s v="Arjun Rao"/>
    <n v="5"/>
    <n v="18000"/>
    <n v="14000"/>
    <n v="0.04"/>
    <n v="86400"/>
    <n v="70000"/>
    <n v="16400"/>
    <s v="Credit Card"/>
    <x v="0"/>
  </r>
  <r>
    <s v="ORD0002"/>
    <s v="CUST0002"/>
    <d v="2025-06-04T00:00:00"/>
    <s v="Divya Menon"/>
    <s v="Mumbai"/>
    <s v="Maharashtra"/>
    <s v="West"/>
    <s v="Keyboard"/>
    <s v="Accessories"/>
    <s v="Arjun Rao"/>
    <n v="3"/>
    <n v="1500"/>
    <n v="900"/>
    <n v="0.08"/>
    <n v="4140"/>
    <n v="2700"/>
    <n v="1440"/>
    <s v="Debit Card"/>
    <x v="1"/>
  </r>
  <r>
    <s v="ORD0003"/>
    <s v="CUST0003"/>
    <d v="2025-12-19T00:00:00"/>
    <s v="Sneha Nair"/>
    <s v="Mysuru"/>
    <s v="Karnataka"/>
    <s v="South"/>
    <s v="Smartphone"/>
    <s v="Electronics"/>
    <s v="Arjun Rao"/>
    <n v="3"/>
    <n v="35000"/>
    <n v="28000"/>
    <n v="0.22"/>
    <n v="81900"/>
    <n v="84000"/>
    <n v="-2100"/>
    <s v="Net Banking"/>
    <x v="1"/>
  </r>
  <r>
    <s v="ORD0004"/>
    <s v="CUST0004"/>
    <d v="2025-03-22T00:00:00"/>
    <s v="Arjun Mehta"/>
    <s v="Jaipur"/>
    <s v="Rajasthan"/>
    <s v="North"/>
    <s v="Tablet"/>
    <s v="Electronics"/>
    <s v="Neha Gupta"/>
    <n v="1"/>
    <n v="25000"/>
    <n v="20000"/>
    <n v="0.28999999999999998"/>
    <n v="17750"/>
    <n v="20000"/>
    <n v="-2250"/>
    <s v="Credit Card"/>
    <x v="2"/>
  </r>
  <r>
    <s v="ORD0005"/>
    <s v="CUST0005"/>
    <d v="2024-03-20T00:00:00"/>
    <s v="Deepika Roy"/>
    <s v="Bengaluru"/>
    <s v="Karnataka"/>
    <s v="South"/>
    <s v="Smartwatch"/>
    <s v="Wearables"/>
    <s v="Neha Gupta"/>
    <n v="6"/>
    <n v="12000"/>
    <n v="8500"/>
    <n v="0.21"/>
    <n v="56880"/>
    <n v="51000"/>
    <n v="5880"/>
    <s v="UPI"/>
    <x v="2"/>
  </r>
  <r>
    <s v="ORD0006"/>
    <s v="CUST0006"/>
    <d v="2024-02-21T00:00:00"/>
    <s v="Priya Patel"/>
    <s v="Pune"/>
    <s v="Maharashtra"/>
    <s v="West"/>
    <s v="Smartwatch"/>
    <s v="Wearables"/>
    <s v="Pooja Das"/>
    <n v="6"/>
    <n v="12000"/>
    <n v="8500"/>
    <n v="7.0000000000000007E-2"/>
    <n v="66960"/>
    <n v="51000"/>
    <n v="15960"/>
    <s v="Net Banking"/>
    <x v="3"/>
  </r>
  <r>
    <s v="ORD0007"/>
    <s v="CUST0007"/>
    <d v="2025-07-15T00:00:00"/>
    <s v="Vikram Singh"/>
    <s v="Coimbatore"/>
    <s v="Tamil Nadu"/>
    <s v="South"/>
    <s v="Tablet"/>
    <s v="Electronics"/>
    <s v="Rahul Verma"/>
    <n v="10"/>
    <n v="25000"/>
    <n v="20000"/>
    <n v="0.27"/>
    <n v="182500"/>
    <n v="200000"/>
    <n v="-17500"/>
    <s v="UPI"/>
    <x v="1"/>
  </r>
  <r>
    <s v="ORD0008"/>
    <s v="CUST0008"/>
    <d v="2025-03-24T00:00:00"/>
    <s v="Rohit Verma"/>
    <s v="Hyderabad"/>
    <s v="Telangana"/>
    <s v="South"/>
    <s v="Smartwatch"/>
    <s v="Wearables"/>
    <s v="Sneha Patil"/>
    <n v="7"/>
    <n v="12000"/>
    <n v="8500"/>
    <n v="0.13"/>
    <n v="73080"/>
    <n v="59500"/>
    <n v="13580"/>
    <s v="Debit Card"/>
    <x v="0"/>
  </r>
  <r>
    <s v="ORD0009"/>
    <s v="CUST0009"/>
    <d v="2025-11-14T00:00:00"/>
    <s v="Anjali Rao"/>
    <s v="Jaipur"/>
    <s v="Rajasthan"/>
    <s v="North"/>
    <s v="Speaker"/>
    <s v="Electronics"/>
    <s v="Amit Sharma"/>
    <n v="9"/>
    <n v="5000"/>
    <n v="3200"/>
    <n v="7.0000000000000007E-2"/>
    <n v="41850"/>
    <n v="28800"/>
    <n v="13050"/>
    <s v="Cash"/>
    <x v="1"/>
  </r>
  <r>
    <s v="ORD0010"/>
    <s v="CUST0010"/>
    <d v="2024-07-02T00:00:00"/>
    <s v="Rohan Kulkarni"/>
    <s v="New Delhi"/>
    <s v="Delhi"/>
    <s v="North"/>
    <s v="Keyboard"/>
    <s v="Accessories"/>
    <s v="Sneha Patil"/>
    <n v="8"/>
    <n v="1500"/>
    <n v="900"/>
    <n v="0"/>
    <n v="12000"/>
    <n v="7200"/>
    <n v="4800"/>
    <s v="Net Banking"/>
    <x v="2"/>
  </r>
  <r>
    <s v="ORD0011"/>
    <s v="CUST0011"/>
    <d v="2025-11-30T00:00:00"/>
    <s v="Anjali Rao"/>
    <s v="Jaipur"/>
    <s v="Rajasthan"/>
    <s v="North"/>
    <s v="Smartphone"/>
    <s v="Electronics"/>
    <s v="Rahul Verma"/>
    <n v="8"/>
    <n v="35000"/>
    <n v="28000"/>
    <n v="0.26"/>
    <n v="207200"/>
    <n v="224000"/>
    <n v="-16800"/>
    <s v="Credit Card"/>
    <x v="3"/>
  </r>
  <r>
    <s v="ORD0012"/>
    <s v="CUST0012"/>
    <d v="2024-06-06T00:00:00"/>
    <s v="Karan Joshi"/>
    <s v="Pune"/>
    <s v="Maharashtra"/>
    <s v="West"/>
    <s v="Headphones"/>
    <s v="Accessories"/>
    <s v="Arjun Rao"/>
    <n v="7"/>
    <n v="3000"/>
    <n v="1800"/>
    <n v="0.08"/>
    <n v="19320"/>
    <n v="12600"/>
    <n v="6720"/>
    <s v="UPI"/>
    <x v="1"/>
  </r>
  <r>
    <s v="ORD0013"/>
    <s v="CUST0013"/>
    <d v="2025-01-20T00:00:00"/>
    <s v="Rohan Kulkarni"/>
    <s v="Jaipur"/>
    <s v="Rajasthan"/>
    <s v="North"/>
    <s v="Laptop"/>
    <s v="Electronics"/>
    <s v="Amit Sharma"/>
    <n v="9"/>
    <n v="65000"/>
    <n v="52000"/>
    <n v="0.19"/>
    <n v="473850.00000000006"/>
    <n v="468000"/>
    <n v="5850.0000000000582"/>
    <s v="Net Banking"/>
    <x v="2"/>
  </r>
  <r>
    <s v="ORD0014"/>
    <s v="CUST0014"/>
    <d v="2025-03-05T00:00:00"/>
    <s v="Amit Kumar"/>
    <s v="Kolkata"/>
    <s v="West Bengal"/>
    <s v="East"/>
    <s v="Headphones"/>
    <s v="Accessories"/>
    <s v="Arjun Rao"/>
    <n v="1"/>
    <n v="3000"/>
    <n v="1800"/>
    <n v="0.17"/>
    <n v="2490"/>
    <n v="1800"/>
    <n v="690"/>
    <s v="Credit Card"/>
    <x v="0"/>
  </r>
  <r>
    <s v="ORD0015"/>
    <s v="CUST0015"/>
    <d v="2024-12-29T00:00:00"/>
    <s v="Divya Menon"/>
    <s v="Kolkata"/>
    <s v="West Bengal"/>
    <s v="East"/>
    <s v="Headphones"/>
    <s v="Accessories"/>
    <s v="Karan Singh"/>
    <n v="7"/>
    <n v="3000"/>
    <n v="1800"/>
    <n v="0.22"/>
    <n v="16380"/>
    <n v="12600"/>
    <n v="3780"/>
    <s v="Cash"/>
    <x v="1"/>
  </r>
  <r>
    <s v="ORD0016"/>
    <s v="CUST0016"/>
    <d v="2025-03-12T00:00:00"/>
    <s v="Vikram Singh"/>
    <s v="Warangal"/>
    <s v="Telangana"/>
    <s v="South"/>
    <s v="Tablet"/>
    <s v="Electronics"/>
    <s v="Priya Nair"/>
    <n v="4"/>
    <n v="25000"/>
    <n v="20000"/>
    <n v="0.15"/>
    <n v="85000"/>
    <n v="80000"/>
    <n v="5000"/>
    <s v="Net Banking"/>
    <x v="2"/>
  </r>
  <r>
    <s v="ORD0017"/>
    <s v="CUST0017"/>
    <d v="2025-04-28T00:00:00"/>
    <s v="Kavya Reddy"/>
    <s v="Mumbai"/>
    <s v="Maharashtra"/>
    <s v="West"/>
    <s v="Printer"/>
    <s v="Office"/>
    <s v="Sneha Patil"/>
    <n v="6"/>
    <n v="15000"/>
    <n v="11500"/>
    <n v="0.22"/>
    <n v="70200"/>
    <n v="69000"/>
    <n v="1200"/>
    <s v="Credit Card"/>
    <x v="2"/>
  </r>
  <r>
    <s v="ORD0018"/>
    <s v="CUST0018"/>
    <d v="2024-04-24T00:00:00"/>
    <s v="Neha Gupta"/>
    <s v="Pune"/>
    <s v="Maharashtra"/>
    <s v="West"/>
    <s v="Speaker"/>
    <s v="Electronics"/>
    <s v="Rahul Verma"/>
    <n v="10"/>
    <n v="5000"/>
    <n v="3200"/>
    <n v="0.21"/>
    <n v="39500"/>
    <n v="32000"/>
    <n v="7500"/>
    <s v="Cash"/>
    <x v="3"/>
  </r>
  <r>
    <s v="ORD0019"/>
    <s v="CUST0019"/>
    <d v="2024-02-09T00:00:00"/>
    <s v="Karan Joshi"/>
    <s v="Mysuru"/>
    <s v="Karnataka"/>
    <s v="South"/>
    <s v="Keyboard"/>
    <s v="Accessories"/>
    <s v="Arjun Rao"/>
    <n v="10"/>
    <n v="1500"/>
    <n v="900"/>
    <n v="0.04"/>
    <n v="14400"/>
    <n v="9000"/>
    <n v="5400"/>
    <s v="Cash"/>
    <x v="2"/>
  </r>
  <r>
    <s v="ORD0020"/>
    <s v="CUST0020"/>
    <d v="2024-06-22T00:00:00"/>
    <s v="Anjali Rao"/>
    <s v="Mysuru"/>
    <s v="Karnataka"/>
    <s v="South"/>
    <s v="Headphones"/>
    <s v="Accessories"/>
    <s v="Arjun Rao"/>
    <n v="5"/>
    <n v="3000"/>
    <n v="1800"/>
    <n v="0.04"/>
    <n v="14400"/>
    <n v="9000"/>
    <n v="5400"/>
    <s v="UPI"/>
    <x v="0"/>
  </r>
  <r>
    <s v="ORD0021"/>
    <s v="CUST0021"/>
    <d v="2024-09-09T00:00:00"/>
    <s v="Pooja Das"/>
    <s v="Ahmedabad"/>
    <s v="Gujarat"/>
    <s v="West"/>
    <s v="Smartwatch"/>
    <s v="Wearables"/>
    <s v="Sneha Patil"/>
    <n v="9"/>
    <n v="12000"/>
    <n v="8500"/>
    <n v="0.03"/>
    <n v="104760"/>
    <n v="76500"/>
    <n v="28260"/>
    <s v="Credit Card"/>
    <x v="0"/>
  </r>
  <r>
    <s v="ORD0022"/>
    <s v="CUST0022"/>
    <d v="2024-08-09T00:00:00"/>
    <s v="Rahul Sharma"/>
    <s v="Warangal"/>
    <s v="Telangana"/>
    <s v="South"/>
    <s v="Printer"/>
    <s v="Office"/>
    <s v="Rahul Verma"/>
    <n v="7"/>
    <n v="15000"/>
    <n v="11500"/>
    <n v="0.06"/>
    <n v="98700"/>
    <n v="80500"/>
    <n v="18200"/>
    <s v="Debit Card"/>
    <x v="0"/>
  </r>
  <r>
    <s v="ORD0023"/>
    <s v="CUST0023"/>
    <d v="2024-02-05T00:00:00"/>
    <s v="Priya Patel"/>
    <s v="Kolkata"/>
    <s v="West Bengal"/>
    <s v="East"/>
    <s v="Smartwatch"/>
    <s v="Wearables"/>
    <s v="Rahul Verma"/>
    <n v="10"/>
    <n v="12000"/>
    <n v="8500"/>
    <n v="0.21"/>
    <n v="94800"/>
    <n v="85000"/>
    <n v="9800"/>
    <s v="Debit Card"/>
    <x v="3"/>
  </r>
  <r>
    <s v="ORD0024"/>
    <s v="CUST0024"/>
    <d v="2024-01-31T00:00:00"/>
    <s v="Neha Gupta"/>
    <s v="Kolkata"/>
    <s v="West Bengal"/>
    <s v="East"/>
    <s v="Headphones"/>
    <s v="Accessories"/>
    <s v="Amit Sharma"/>
    <n v="10"/>
    <n v="3000"/>
    <n v="1800"/>
    <n v="7.0000000000000007E-2"/>
    <n v="27899.999999999996"/>
    <n v="18000"/>
    <n v="9899.9999999999964"/>
    <s v="Debit Card"/>
    <x v="2"/>
  </r>
  <r>
    <s v="ORD0025"/>
    <s v="CUST0025"/>
    <d v="2024-02-06T00:00:00"/>
    <s v="Neha Gupta"/>
    <s v="Chennai"/>
    <s v="Tamil Nadu"/>
    <s v="South"/>
    <s v="Printer"/>
    <s v="Office"/>
    <s v="Sneha Patil"/>
    <n v="4"/>
    <n v="15000"/>
    <n v="11500"/>
    <n v="0.13"/>
    <n v="52200"/>
    <n v="46000"/>
    <n v="6200"/>
    <s v="Credit Card"/>
    <x v="3"/>
  </r>
  <r>
    <s v="ORD0026"/>
    <s v="CUST0026"/>
    <d v="2025-12-23T00:00:00"/>
    <s v="Priya Patel"/>
    <s v="Chennai"/>
    <s v="Tamil Nadu"/>
    <s v="South"/>
    <s v="Tablet"/>
    <s v="Electronics"/>
    <s v="Anjali Mehta"/>
    <n v="8"/>
    <n v="25000"/>
    <n v="20000"/>
    <n v="0.22"/>
    <n v="156000"/>
    <n v="160000"/>
    <n v="-4000"/>
    <s v="Net Banking"/>
    <x v="3"/>
  </r>
  <r>
    <s v="ORD0027"/>
    <s v="CUST0027"/>
    <d v="2024-02-28T00:00:00"/>
    <s v="Rahul Sharma"/>
    <s v="Chennai"/>
    <s v="Tamil Nadu"/>
    <s v="South"/>
    <s v="Laptop"/>
    <s v="Electronics"/>
    <s v="Neha Gupta"/>
    <n v="9"/>
    <n v="65000"/>
    <n v="52000"/>
    <n v="0.19"/>
    <n v="473850.00000000006"/>
    <n v="468000"/>
    <n v="5850.0000000000582"/>
    <s v="Debit Card"/>
    <x v="0"/>
  </r>
  <r>
    <s v="ORD0028"/>
    <s v="CUST0028"/>
    <d v="2025-01-10T00:00:00"/>
    <s v="Vikram Singh"/>
    <s v="Hyderabad"/>
    <s v="Telangana"/>
    <s v="South"/>
    <s v="Monitor"/>
    <s v="Office"/>
    <s v="Anjali Mehta"/>
    <n v="6"/>
    <n v="18000"/>
    <n v="14000"/>
    <n v="0.08"/>
    <n v="99360"/>
    <n v="84000"/>
    <n v="15360"/>
    <s v="Cash"/>
    <x v="3"/>
  </r>
  <r>
    <s v="ORD0029"/>
    <s v="CUST0029"/>
    <d v="2025-10-14T00:00:00"/>
    <s v="Priya Patel"/>
    <s v="Hyderabad"/>
    <s v="Telangana"/>
    <s v="South"/>
    <s v="Laptop"/>
    <s v="Electronics"/>
    <s v="Rahul Verma"/>
    <n v="7"/>
    <n v="65000"/>
    <n v="52000"/>
    <n v="0.13"/>
    <n v="395850"/>
    <n v="364000"/>
    <n v="31850"/>
    <s v="Credit Card"/>
    <x v="0"/>
  </r>
  <r>
    <s v="ORD0030"/>
    <s v="CUST0030"/>
    <d v="2025-11-25T00:00:00"/>
    <s v="Meera Shah"/>
    <s v="Chennai"/>
    <s v="Tamil Nadu"/>
    <s v="South"/>
    <s v="Smartwatch"/>
    <s v="Wearables"/>
    <s v="Neha Gupta"/>
    <n v="5"/>
    <n v="12000"/>
    <n v="8500"/>
    <n v="0.14000000000000001"/>
    <n v="51600"/>
    <n v="42500"/>
    <n v="9100"/>
    <s v="Debit Card"/>
    <x v="1"/>
  </r>
  <r>
    <s v="ORD0031"/>
    <s v="CUST0031"/>
    <d v="2025-05-13T00:00:00"/>
    <s v="Priya Patel"/>
    <s v="Jaipur"/>
    <s v="Rajasthan"/>
    <s v="North"/>
    <s v="Headphones"/>
    <s v="Accessories"/>
    <s v="Amit Sharma"/>
    <n v="9"/>
    <n v="3000"/>
    <n v="1800"/>
    <n v="0.03"/>
    <n v="26190"/>
    <n v="16200"/>
    <n v="9990"/>
    <s v="Debit Card"/>
    <x v="0"/>
  </r>
  <r>
    <s v="ORD0032"/>
    <s v="CUST0032"/>
    <d v="2024-02-19T00:00:00"/>
    <s v="Neha Gupta"/>
    <s v="Pune"/>
    <s v="Maharashtra"/>
    <s v="West"/>
    <s v="Smartphone"/>
    <s v="Electronics"/>
    <s v="Priya Nair"/>
    <n v="8"/>
    <n v="35000"/>
    <n v="28000"/>
    <n v="0.09"/>
    <n v="254800"/>
    <n v="224000"/>
    <n v="30800"/>
    <s v="Net Banking"/>
    <x v="1"/>
  </r>
  <r>
    <s v="ORD0033"/>
    <s v="CUST0033"/>
    <d v="2025-09-12T00:00:00"/>
    <s v="Sneha Nair"/>
    <s v="Ahmedabad"/>
    <s v="Gujarat"/>
    <s v="West"/>
    <s v="Tablet"/>
    <s v="Electronics"/>
    <s v="Arjun Rao"/>
    <n v="7"/>
    <n v="25000"/>
    <n v="20000"/>
    <n v="0.17"/>
    <n v="145250"/>
    <n v="140000"/>
    <n v="5250"/>
    <s v="UPI"/>
    <x v="1"/>
  </r>
  <r>
    <s v="ORD0034"/>
    <s v="CUST0034"/>
    <d v="2024-09-18T00:00:00"/>
    <s v="Deepika Roy"/>
    <s v="New Delhi"/>
    <s v="Delhi"/>
    <s v="North"/>
    <s v="Printer"/>
    <s v="Office"/>
    <s v="Rahul Verma"/>
    <n v="10"/>
    <n v="15000"/>
    <n v="11500"/>
    <n v="0.12"/>
    <n v="132000"/>
    <n v="115000"/>
    <n v="17000"/>
    <s v="Debit Card"/>
    <x v="0"/>
  </r>
  <r>
    <s v="ORD0035"/>
    <s v="CUST0035"/>
    <d v="2024-08-12T00:00:00"/>
    <s v="Rahul Sharma"/>
    <s v="Hyderabad"/>
    <s v="Telangana"/>
    <s v="South"/>
    <s v="Headphones"/>
    <s v="Accessories"/>
    <s v="Arjun Rao"/>
    <n v="9"/>
    <n v="3000"/>
    <n v="1800"/>
    <n v="0.25"/>
    <n v="20250"/>
    <n v="16200"/>
    <n v="4050"/>
    <s v="Net Banking"/>
    <x v="3"/>
  </r>
  <r>
    <s v="ORD0036"/>
    <s v="CUST0036"/>
    <d v="2025-04-17T00:00:00"/>
    <s v="Rohit Verma"/>
    <s v="Kolkata"/>
    <s v="West Bengal"/>
    <s v="East"/>
    <s v="Tablet"/>
    <s v="Electronics"/>
    <s v="Neha Gupta"/>
    <n v="2"/>
    <n v="25000"/>
    <n v="20000"/>
    <n v="0.27"/>
    <n v="36500"/>
    <n v="40000"/>
    <n v="-3500"/>
    <s v="Debit Card"/>
    <x v="2"/>
  </r>
  <r>
    <s v="ORD0037"/>
    <s v="CUST0037"/>
    <d v="2024-08-09T00:00:00"/>
    <s v="Aisha Khan"/>
    <s v="Coimbatore"/>
    <s v="Tamil Nadu"/>
    <s v="South"/>
    <s v="Monitor"/>
    <s v="Office"/>
    <s v="Neha Gupta"/>
    <n v="10"/>
    <n v="18000"/>
    <n v="14000"/>
    <n v="0.01"/>
    <n v="178200"/>
    <n v="140000"/>
    <n v="38200"/>
    <s v="Debit Card"/>
    <x v="1"/>
  </r>
  <r>
    <s v="ORD0038"/>
    <s v="CUST0038"/>
    <d v="2025-08-28T00:00:00"/>
    <s v="Sneha Nair"/>
    <s v="Chennai"/>
    <s v="Tamil Nadu"/>
    <s v="South"/>
    <s v="Speaker"/>
    <s v="Electronics"/>
    <s v="Karan Singh"/>
    <n v="1"/>
    <n v="5000"/>
    <n v="3200"/>
    <n v="0.27"/>
    <n v="3650"/>
    <n v="3200"/>
    <n v="450"/>
    <s v="Cash"/>
    <x v="3"/>
  </r>
  <r>
    <s v="ORD0039"/>
    <s v="CUST0039"/>
    <d v="2025-11-19T00:00:00"/>
    <s v="Aditya Mishra"/>
    <s v="Mumbai"/>
    <s v="Maharashtra"/>
    <s v="West"/>
    <s v="Tablet"/>
    <s v="Electronics"/>
    <s v="Priya Nair"/>
    <n v="5"/>
    <n v="25000"/>
    <n v="20000"/>
    <n v="0.21"/>
    <n v="98750"/>
    <n v="100000"/>
    <n v="-1250"/>
    <s v="Net Banking"/>
    <x v="0"/>
  </r>
  <r>
    <s v="ORD0040"/>
    <s v="CUST0040"/>
    <d v="2024-04-22T00:00:00"/>
    <s v="Deepika Roy"/>
    <s v="Ahmedabad"/>
    <s v="Gujarat"/>
    <s v="West"/>
    <s v="Headphones"/>
    <s v="Accessories"/>
    <s v="Rahul Verma"/>
    <n v="5"/>
    <n v="3000"/>
    <n v="1800"/>
    <n v="0.24"/>
    <n v="11400"/>
    <n v="9000"/>
    <n v="2400"/>
    <s v="UPI"/>
    <x v="2"/>
  </r>
  <r>
    <s v="ORD0041"/>
    <s v="CUST0041"/>
    <d v="2024-08-09T00:00:00"/>
    <s v="Kavya Reddy"/>
    <s v="Ahmedabad"/>
    <s v="Gujarat"/>
    <s v="West"/>
    <s v="Headphones"/>
    <s v="Accessories"/>
    <s v="Pooja Das"/>
    <n v="1"/>
    <n v="3000"/>
    <n v="1800"/>
    <n v="0.28999999999999998"/>
    <n v="2130"/>
    <n v="1800"/>
    <n v="330"/>
    <s v="Credit Card"/>
    <x v="1"/>
  </r>
  <r>
    <s v="ORD0042"/>
    <s v="CUST0042"/>
    <d v="2025-12-13T00:00:00"/>
    <s v="Karan Joshi"/>
    <s v="Hyderabad"/>
    <s v="Telangana"/>
    <s v="South"/>
    <s v="Printer"/>
    <s v="Office"/>
    <s v="Neha Gupta"/>
    <n v="5"/>
    <n v="15000"/>
    <n v="11500"/>
    <n v="0.24"/>
    <n v="57000"/>
    <n v="57500"/>
    <n v="-500"/>
    <s v="Cash"/>
    <x v="2"/>
  </r>
  <r>
    <s v="ORD0043"/>
    <s v="CUST0043"/>
    <d v="2024-02-27T00:00:00"/>
    <s v="Sneha Nair"/>
    <s v="Kolkata"/>
    <s v="West Bengal"/>
    <s v="East"/>
    <s v="Speaker"/>
    <s v="Electronics"/>
    <s v="Arjun Rao"/>
    <n v="1"/>
    <n v="5000"/>
    <n v="3200"/>
    <n v="0.16"/>
    <n v="4200"/>
    <n v="3200"/>
    <n v="1000"/>
    <s v="Cash"/>
    <x v="2"/>
  </r>
  <r>
    <s v="ORD0044"/>
    <s v="CUST0044"/>
    <d v="2024-05-21T00:00:00"/>
    <s v="Aditya Mishra"/>
    <s v="Pune"/>
    <s v="Maharashtra"/>
    <s v="West"/>
    <s v="Keyboard"/>
    <s v="Accessories"/>
    <s v="Priya Nair"/>
    <n v="1"/>
    <n v="1500"/>
    <n v="900"/>
    <n v="0.17"/>
    <n v="1245"/>
    <n v="900"/>
    <n v="345"/>
    <s v="UPI"/>
    <x v="0"/>
  </r>
  <r>
    <s v="ORD0045"/>
    <s v="CUST0045"/>
    <d v="2025-04-05T00:00:00"/>
    <s v="Karan Joshi"/>
    <s v="Bengaluru"/>
    <s v="Karnataka"/>
    <s v="South"/>
    <s v="Printer"/>
    <s v="Office"/>
    <s v="Karan Singh"/>
    <n v="3"/>
    <n v="15000"/>
    <n v="11500"/>
    <n v="0.05"/>
    <n v="42750"/>
    <n v="34500"/>
    <n v="8250"/>
    <s v="Credit Card"/>
    <x v="2"/>
  </r>
  <r>
    <s v="ORD0046"/>
    <s v="CUST0046"/>
    <d v="2025-03-27T00:00:00"/>
    <s v="Suresh Iyer"/>
    <s v="Coimbatore"/>
    <s v="Tamil Nadu"/>
    <s v="South"/>
    <s v="Mouse"/>
    <s v="Accessories"/>
    <s v="Neha Gupta"/>
    <n v="7"/>
    <n v="800"/>
    <n v="450"/>
    <n v="0.16"/>
    <n v="4704"/>
    <n v="3150"/>
    <n v="1554"/>
    <s v="UPI"/>
    <x v="0"/>
  </r>
  <r>
    <s v="ORD0047"/>
    <s v="CUST0047"/>
    <d v="2025-08-18T00:00:00"/>
    <s v="Karan Joshi"/>
    <s v="Surat"/>
    <s v="Gujarat"/>
    <s v="West"/>
    <s v="Smartwatch"/>
    <s v="Wearables"/>
    <s v="Priya Nair"/>
    <n v="2"/>
    <n v="12000"/>
    <n v="8500"/>
    <n v="0.27"/>
    <n v="17520"/>
    <n v="17000"/>
    <n v="520"/>
    <s v="Cash"/>
    <x v="3"/>
  </r>
  <r>
    <s v="ORD0048"/>
    <s v="CUST0048"/>
    <d v="2025-07-07T00:00:00"/>
    <s v="Deepika Roy"/>
    <s v="Surat"/>
    <s v="Gujarat"/>
    <s v="West"/>
    <s v="Monitor"/>
    <s v="Office"/>
    <s v="Pooja Das"/>
    <n v="3"/>
    <n v="18000"/>
    <n v="14000"/>
    <n v="0.15"/>
    <n v="45900"/>
    <n v="42000"/>
    <n v="3900"/>
    <s v="Net Banking"/>
    <x v="2"/>
  </r>
  <r>
    <s v="ORD0049"/>
    <s v="CUST0049"/>
    <d v="2025-10-26T00:00:00"/>
    <s v="Karan Joshi"/>
    <s v="Bengaluru"/>
    <s v="Karnataka"/>
    <s v="South"/>
    <s v="Smartphone"/>
    <s v="Electronics"/>
    <s v="Sneha Patil"/>
    <n v="8"/>
    <n v="35000"/>
    <n v="28000"/>
    <n v="7.0000000000000007E-2"/>
    <n v="260399.99999999997"/>
    <n v="224000"/>
    <n v="36399.999999999971"/>
    <s v="UPI"/>
    <x v="0"/>
  </r>
  <r>
    <s v="ORD0050"/>
    <s v="CUST0050"/>
    <d v="2025-11-15T00:00:00"/>
    <s v="Vikram Singh"/>
    <s v="Kolkata"/>
    <s v="West Bengal"/>
    <s v="East"/>
    <s v="Monitor"/>
    <s v="Office"/>
    <s v="Amit Sharma"/>
    <n v="5"/>
    <n v="18000"/>
    <n v="14000"/>
    <n v="0.19"/>
    <n v="72900"/>
    <n v="70000"/>
    <n v="2900"/>
    <s v="Net Banking"/>
    <x v="0"/>
  </r>
  <r>
    <s v="ORD0051"/>
    <s v="CUST0051"/>
    <d v="2024-05-27T00:00:00"/>
    <s v="Kavya Reddy"/>
    <s v="Mysuru"/>
    <s v="Karnataka"/>
    <s v="South"/>
    <s v="Keyboard"/>
    <s v="Accessories"/>
    <s v="Sneha Patil"/>
    <n v="5"/>
    <n v="1500"/>
    <n v="900"/>
    <n v="0.3"/>
    <n v="5250"/>
    <n v="4500"/>
    <n v="750"/>
    <s v="Credit Card"/>
    <x v="3"/>
  </r>
  <r>
    <s v="ORD0052"/>
    <s v="CUST0052"/>
    <d v="2025-08-18T00:00:00"/>
    <s v="Kavya Reddy"/>
    <s v="Ahmedabad"/>
    <s v="Gujarat"/>
    <s v="West"/>
    <s v="Monitor"/>
    <s v="Office"/>
    <s v="Sneha Patil"/>
    <n v="9"/>
    <n v="18000"/>
    <n v="14000"/>
    <n v="0.06"/>
    <n v="152280"/>
    <n v="126000"/>
    <n v="26280"/>
    <s v="Credit Card"/>
    <x v="2"/>
  </r>
  <r>
    <s v="ORD0053"/>
    <s v="CUST0053"/>
    <d v="2025-06-14T00:00:00"/>
    <s v="Anjali Rao"/>
    <s v="Mysuru"/>
    <s v="Karnataka"/>
    <s v="South"/>
    <s v="Printer"/>
    <s v="Office"/>
    <s v="Arjun Rao"/>
    <n v="4"/>
    <n v="15000"/>
    <n v="11500"/>
    <n v="0.05"/>
    <n v="57000"/>
    <n v="46000"/>
    <n v="11000"/>
    <s v="Cash"/>
    <x v="0"/>
  </r>
  <r>
    <s v="ORD0054"/>
    <s v="CUST0054"/>
    <d v="2024-01-10T00:00:00"/>
    <s v="Aisha Khan"/>
    <s v="Chennai"/>
    <s v="Tamil Nadu"/>
    <s v="South"/>
    <s v="Mouse"/>
    <s v="Accessories"/>
    <s v="Amit Sharma"/>
    <n v="5"/>
    <n v="800"/>
    <n v="450"/>
    <n v="0.23"/>
    <n v="3080"/>
    <n v="2250"/>
    <n v="830"/>
    <s v="Credit Card"/>
    <x v="2"/>
  </r>
  <r>
    <s v="ORD0055"/>
    <s v="CUST0055"/>
    <d v="2024-10-16T00:00:00"/>
    <s v="Rohan Kulkarni"/>
    <s v="New Delhi"/>
    <s v="Delhi"/>
    <s v="North"/>
    <s v="Smartphone"/>
    <s v="Electronics"/>
    <s v="Anjali Mehta"/>
    <n v="5"/>
    <n v="35000"/>
    <n v="28000"/>
    <n v="0.21"/>
    <n v="138250"/>
    <n v="140000"/>
    <n v="-1750"/>
    <s v="Net Banking"/>
    <x v="0"/>
  </r>
  <r>
    <s v="ORD0056"/>
    <s v="CUST0056"/>
    <d v="2024-05-22T00:00:00"/>
    <s v="Deepika Roy"/>
    <s v="Warangal"/>
    <s v="Telangana"/>
    <s v="South"/>
    <s v="Smartwatch"/>
    <s v="Wearables"/>
    <s v="Pooja Das"/>
    <n v="3"/>
    <n v="12000"/>
    <n v="8500"/>
    <n v="0.04"/>
    <n v="34560"/>
    <n v="25500"/>
    <n v="9060"/>
    <s v="Net Banking"/>
    <x v="2"/>
  </r>
  <r>
    <s v="ORD0057"/>
    <s v="CUST0057"/>
    <d v="2024-12-24T00:00:00"/>
    <s v="Vikram Singh"/>
    <s v="Pune"/>
    <s v="Maharashtra"/>
    <s v="West"/>
    <s v="Smartphone"/>
    <s v="Electronics"/>
    <s v="Pooja Das"/>
    <n v="6"/>
    <n v="35000"/>
    <n v="28000"/>
    <n v="0.18"/>
    <n v="172200"/>
    <n v="168000"/>
    <n v="4200"/>
    <s v="Debit Card"/>
    <x v="1"/>
  </r>
  <r>
    <s v="ORD0058"/>
    <s v="CUST0058"/>
    <d v="2025-12-13T00:00:00"/>
    <s v="Divya Menon"/>
    <s v="Bengaluru"/>
    <s v="Karnataka"/>
    <s v="South"/>
    <s v="Smartphone"/>
    <s v="Electronics"/>
    <s v="Pooja Das"/>
    <n v="8"/>
    <n v="35000"/>
    <n v="28000"/>
    <n v="0.11"/>
    <n v="249200"/>
    <n v="224000"/>
    <n v="25200"/>
    <s v="UPI"/>
    <x v="2"/>
  </r>
  <r>
    <s v="ORD0059"/>
    <s v="CUST0059"/>
    <d v="2024-05-22T00:00:00"/>
    <s v="Vikram Singh"/>
    <s v="Warangal"/>
    <s v="Telangana"/>
    <s v="South"/>
    <s v="Monitor"/>
    <s v="Office"/>
    <s v="Arjun Rao"/>
    <n v="4"/>
    <n v="18000"/>
    <n v="14000"/>
    <n v="0.25"/>
    <n v="54000"/>
    <n v="56000"/>
    <n v="-2000"/>
    <s v="UPI"/>
    <x v="3"/>
  </r>
  <r>
    <s v="ORD0060"/>
    <s v="CUST0060"/>
    <d v="2024-07-30T00:00:00"/>
    <s v="Divya Menon"/>
    <s v="Coimbatore"/>
    <s v="Tamil Nadu"/>
    <s v="South"/>
    <s v="Smartphone"/>
    <s v="Electronics"/>
    <s v="Amit Sharma"/>
    <n v="4"/>
    <n v="35000"/>
    <n v="28000"/>
    <n v="0.28999999999999998"/>
    <n v="99400"/>
    <n v="112000"/>
    <n v="-12600"/>
    <s v="Debit Card"/>
    <x v="3"/>
  </r>
  <r>
    <s v="ORD0061"/>
    <s v="CUST0061"/>
    <d v="2024-06-28T00:00:00"/>
    <s v="Neha Gupta"/>
    <s v="Chennai"/>
    <s v="Tamil Nadu"/>
    <s v="South"/>
    <s v="Smartwatch"/>
    <s v="Wearables"/>
    <s v="Karan Singh"/>
    <n v="3"/>
    <n v="12000"/>
    <n v="8500"/>
    <n v="0.06"/>
    <n v="33840"/>
    <n v="25500"/>
    <n v="8340"/>
    <s v="Credit Card"/>
    <x v="0"/>
  </r>
  <r>
    <s v="ORD0062"/>
    <s v="CUST0062"/>
    <d v="2025-12-31T00:00:00"/>
    <s v="Rohan Kulkarni"/>
    <s v="Hyderabad"/>
    <s v="Telangana"/>
    <s v="South"/>
    <s v="Laptop"/>
    <s v="Electronics"/>
    <s v="Vikram Joshi"/>
    <n v="4"/>
    <n v="65000"/>
    <n v="52000"/>
    <n v="0.06"/>
    <n v="244400"/>
    <n v="208000"/>
    <n v="36400"/>
    <s v="Cash"/>
    <x v="2"/>
  </r>
  <r>
    <s v="ORD0063"/>
    <s v="CUST0063"/>
    <d v="2025-09-29T00:00:00"/>
    <s v="Pooja Das"/>
    <s v="Pune"/>
    <s v="Maharashtra"/>
    <s v="West"/>
    <s v="Tablet"/>
    <s v="Electronics"/>
    <s v="Priya Nair"/>
    <n v="8"/>
    <n v="25000"/>
    <n v="20000"/>
    <n v="0.28000000000000003"/>
    <n v="144000"/>
    <n v="160000"/>
    <n v="-16000"/>
    <s v="Credit Card"/>
    <x v="2"/>
  </r>
  <r>
    <s v="ORD0064"/>
    <s v="CUST0064"/>
    <d v="2024-01-20T00:00:00"/>
    <s v="Divya Menon"/>
    <s v="Mysuru"/>
    <s v="Karnataka"/>
    <s v="South"/>
    <s v="Smartphone"/>
    <s v="Electronics"/>
    <s v="Neha Gupta"/>
    <n v="9"/>
    <n v="35000"/>
    <n v="28000"/>
    <n v="0.04"/>
    <n v="302400"/>
    <n v="252000"/>
    <n v="50400"/>
    <s v="Cash"/>
    <x v="2"/>
  </r>
  <r>
    <s v="ORD0065"/>
    <s v="CUST0065"/>
    <d v="2025-06-26T00:00:00"/>
    <s v="Deepika Roy"/>
    <s v="Ahmedabad"/>
    <s v="Gujarat"/>
    <s v="West"/>
    <s v="Monitor"/>
    <s v="Office"/>
    <s v="Neha Gupta"/>
    <n v="4"/>
    <n v="18000"/>
    <n v="14000"/>
    <n v="0.2"/>
    <n v="57600"/>
    <n v="56000"/>
    <n v="1600"/>
    <s v="Net Banking"/>
    <x v="0"/>
  </r>
  <r>
    <s v="ORD0066"/>
    <s v="CUST0066"/>
    <d v="2025-12-21T00:00:00"/>
    <s v="Nikhil Jain"/>
    <s v="Mumbai"/>
    <s v="Maharashtra"/>
    <s v="West"/>
    <s v="Printer"/>
    <s v="Office"/>
    <s v="Amit Sharma"/>
    <n v="8"/>
    <n v="15000"/>
    <n v="11500"/>
    <n v="0.05"/>
    <n v="114000"/>
    <n v="92000"/>
    <n v="22000"/>
    <s v="Net Banking"/>
    <x v="3"/>
  </r>
  <r>
    <s v="ORD0067"/>
    <s v="CUST0067"/>
    <d v="2024-01-22T00:00:00"/>
    <s v="Nikhil Jain"/>
    <s v="Jaipur"/>
    <s v="Rajasthan"/>
    <s v="North"/>
    <s v="Keyboard"/>
    <s v="Accessories"/>
    <s v="Neha Gupta"/>
    <n v="9"/>
    <n v="1500"/>
    <n v="900"/>
    <n v="0.02"/>
    <n v="13230"/>
    <n v="8100"/>
    <n v="5130"/>
    <s v="UPI"/>
    <x v="1"/>
  </r>
  <r>
    <s v="ORD0068"/>
    <s v="CUST0068"/>
    <d v="2025-07-21T00:00:00"/>
    <s v="Aditya Mishra"/>
    <s v="Hyderabad"/>
    <s v="Telangana"/>
    <s v="South"/>
    <s v="Headphones"/>
    <s v="Accessories"/>
    <s v="Amit Sharma"/>
    <n v="5"/>
    <n v="3000"/>
    <n v="1800"/>
    <n v="0.2"/>
    <n v="12000"/>
    <n v="9000"/>
    <n v="3000"/>
    <s v="Cash"/>
    <x v="0"/>
  </r>
  <r>
    <s v="ORD0069"/>
    <s v="CUST0069"/>
    <d v="2025-03-14T00:00:00"/>
    <s v="Rohan Kulkarni"/>
    <s v="Mumbai"/>
    <s v="Maharashtra"/>
    <s v="West"/>
    <s v="Keyboard"/>
    <s v="Accessories"/>
    <s v="Sneha Patil"/>
    <n v="10"/>
    <n v="1500"/>
    <n v="900"/>
    <n v="0.2"/>
    <n v="12000"/>
    <n v="9000"/>
    <n v="3000"/>
    <s v="UPI"/>
    <x v="3"/>
  </r>
  <r>
    <s v="ORD0070"/>
    <s v="CUST0070"/>
    <d v="2024-09-16T00:00:00"/>
    <s v="Aisha Khan"/>
    <s v="Mysuru"/>
    <s v="Karnataka"/>
    <s v="South"/>
    <s v="Headphones"/>
    <s v="Accessories"/>
    <s v="Arjun Rao"/>
    <n v="8"/>
    <n v="3000"/>
    <n v="1800"/>
    <n v="0.17"/>
    <n v="19920"/>
    <n v="14400"/>
    <n v="5520"/>
    <s v="Cash"/>
    <x v="0"/>
  </r>
  <r>
    <s v="ORD0071"/>
    <s v="CUST0071"/>
    <d v="2025-05-24T00:00:00"/>
    <s v="Anjali Rao"/>
    <s v="Bengaluru"/>
    <s v="Karnataka"/>
    <s v="South"/>
    <s v="Headphones"/>
    <s v="Accessories"/>
    <s v="Pooja Das"/>
    <n v="8"/>
    <n v="3000"/>
    <n v="1800"/>
    <n v="0.05"/>
    <n v="22800"/>
    <n v="14400"/>
    <n v="8400"/>
    <s v="Cash"/>
    <x v="0"/>
  </r>
  <r>
    <s v="ORD0072"/>
    <s v="CUST0072"/>
    <d v="2025-03-14T00:00:00"/>
    <s v="Arjun Mehta"/>
    <s v="Hyderabad"/>
    <s v="Telangana"/>
    <s v="South"/>
    <s v="Monitor"/>
    <s v="Office"/>
    <s v="Sneha Patil"/>
    <n v="10"/>
    <n v="18000"/>
    <n v="14000"/>
    <n v="0.18"/>
    <n v="147600"/>
    <n v="140000"/>
    <n v="7600"/>
    <s v="Debit Card"/>
    <x v="3"/>
  </r>
  <r>
    <s v="ORD0073"/>
    <s v="CUST0073"/>
    <d v="2025-04-06T00:00:00"/>
    <s v="Kavya Reddy"/>
    <s v="Hyderabad"/>
    <s v="Telangana"/>
    <s v="South"/>
    <s v="Mouse"/>
    <s v="Accessories"/>
    <s v="Rahul Verma"/>
    <n v="2"/>
    <n v="800"/>
    <n v="450"/>
    <n v="0.03"/>
    <n v="1552"/>
    <n v="900"/>
    <n v="652"/>
    <s v="Credit Card"/>
    <x v="1"/>
  </r>
  <r>
    <s v="ORD0074"/>
    <s v="CUST0074"/>
    <d v="2025-10-17T00:00:00"/>
    <s v="Nikhil Jain"/>
    <s v="New Delhi"/>
    <s v="Delhi"/>
    <s v="North"/>
    <s v="Laptop"/>
    <s v="Electronics"/>
    <s v="Arjun Rao"/>
    <n v="3"/>
    <n v="65000"/>
    <n v="52000"/>
    <n v="0.28999999999999998"/>
    <n v="138450"/>
    <n v="156000"/>
    <n v="-17550"/>
    <s v="Cash"/>
    <x v="2"/>
  </r>
  <r>
    <s v="ORD0075"/>
    <s v="CUST0075"/>
    <d v="2024-12-21T00:00:00"/>
    <s v="Kavya Reddy"/>
    <s v="Coimbatore"/>
    <s v="Tamil Nadu"/>
    <s v="South"/>
    <s v="Keyboard"/>
    <s v="Accessories"/>
    <s v="Neha Gupta"/>
    <n v="1"/>
    <n v="1500"/>
    <n v="900"/>
    <n v="0.25"/>
    <n v="1125"/>
    <n v="900"/>
    <n v="225"/>
    <s v="UPI"/>
    <x v="3"/>
  </r>
  <r>
    <s v="ORD0076"/>
    <s v="CUST0076"/>
    <d v="2024-05-02T00:00:00"/>
    <s v="Suresh Iyer"/>
    <s v="Hyderabad"/>
    <s v="Telangana"/>
    <s v="South"/>
    <s v="Keyboard"/>
    <s v="Accessories"/>
    <s v="Karan Singh"/>
    <n v="8"/>
    <n v="1500"/>
    <n v="900"/>
    <n v="0.1"/>
    <n v="10800"/>
    <n v="7200"/>
    <n v="3600"/>
    <s v="UPI"/>
    <x v="0"/>
  </r>
  <r>
    <s v="ORD0077"/>
    <s v="CUST0077"/>
    <d v="2025-12-18T00:00:00"/>
    <s v="Vikram Singh"/>
    <s v="Kolkata"/>
    <s v="West Bengal"/>
    <s v="East"/>
    <s v="Headphones"/>
    <s v="Accessories"/>
    <s v="Karan Singh"/>
    <n v="6"/>
    <n v="3000"/>
    <n v="1800"/>
    <n v="0.03"/>
    <n v="17460"/>
    <n v="10800"/>
    <n v="6660"/>
    <s v="Debit Card"/>
    <x v="1"/>
  </r>
  <r>
    <s v="ORD0078"/>
    <s v="CUST0078"/>
    <d v="2024-09-22T00:00:00"/>
    <s v="Rohan Kulkarni"/>
    <s v="Surat"/>
    <s v="Gujarat"/>
    <s v="West"/>
    <s v="Printer"/>
    <s v="Office"/>
    <s v="Sneha Patil"/>
    <n v="1"/>
    <n v="15000"/>
    <n v="11500"/>
    <n v="0.02"/>
    <n v="14700"/>
    <n v="11500"/>
    <n v="3200"/>
    <s v="Credit Card"/>
    <x v="0"/>
  </r>
  <r>
    <s v="ORD0079"/>
    <s v="CUST0079"/>
    <d v="2025-09-07T00:00:00"/>
    <s v="Divya Menon"/>
    <s v="Coimbatore"/>
    <s v="Tamil Nadu"/>
    <s v="South"/>
    <s v="Mouse"/>
    <s v="Accessories"/>
    <s v="Vikram Joshi"/>
    <n v="2"/>
    <n v="800"/>
    <n v="450"/>
    <n v="0.06"/>
    <n v="1504"/>
    <n v="900"/>
    <n v="604"/>
    <s v="Cash"/>
    <x v="3"/>
  </r>
  <r>
    <s v="ORD0080"/>
    <s v="CUST0080"/>
    <d v="2025-06-19T00:00:00"/>
    <s v="Priya Patel"/>
    <s v="Coimbatore"/>
    <s v="Tamil Nadu"/>
    <s v="South"/>
    <s v="Printer"/>
    <s v="Office"/>
    <s v="Priya Nair"/>
    <n v="5"/>
    <n v="15000"/>
    <n v="11500"/>
    <n v="0.12"/>
    <n v="66000"/>
    <n v="57500"/>
    <n v="8500"/>
    <s v="Cash"/>
    <x v="3"/>
  </r>
  <r>
    <s v="ORD0081"/>
    <s v="CUST0081"/>
    <d v="2025-06-11T00:00:00"/>
    <s v="Neha Gupta"/>
    <s v="Pune"/>
    <s v="Maharashtra"/>
    <s v="West"/>
    <s v="Smartwatch"/>
    <s v="Wearables"/>
    <s v="Rahul Verma"/>
    <n v="4"/>
    <n v="12000"/>
    <n v="8500"/>
    <n v="0.25"/>
    <n v="36000"/>
    <n v="34000"/>
    <n v="2000"/>
    <s v="UPI"/>
    <x v="3"/>
  </r>
  <r>
    <s v="ORD0082"/>
    <s v="CUST0082"/>
    <d v="2024-10-07T00:00:00"/>
    <s v="Divya Menon"/>
    <s v="Mysuru"/>
    <s v="Karnataka"/>
    <s v="South"/>
    <s v="Mouse"/>
    <s v="Accessories"/>
    <s v="Amit Sharma"/>
    <n v="5"/>
    <n v="800"/>
    <n v="450"/>
    <n v="0.09"/>
    <n v="3640"/>
    <n v="2250"/>
    <n v="1390"/>
    <s v="Net Banking"/>
    <x v="2"/>
  </r>
  <r>
    <s v="ORD0083"/>
    <s v="CUST0083"/>
    <d v="2024-01-14T00:00:00"/>
    <s v="Amit Kumar"/>
    <s v="Hyderabad"/>
    <s v="Telangana"/>
    <s v="South"/>
    <s v="Monitor"/>
    <s v="Office"/>
    <s v="Vikram Joshi"/>
    <n v="4"/>
    <n v="18000"/>
    <n v="14000"/>
    <n v="0.1"/>
    <n v="64800"/>
    <n v="56000"/>
    <n v="8800"/>
    <s v="Debit Card"/>
    <x v="2"/>
  </r>
  <r>
    <s v="ORD0084"/>
    <s v="CUST0084"/>
    <d v="2024-04-11T00:00:00"/>
    <s v="Divya Menon"/>
    <s v="Mysuru"/>
    <s v="Karnataka"/>
    <s v="South"/>
    <s v="Mouse"/>
    <s v="Accessories"/>
    <s v="Anjali Mehta"/>
    <n v="7"/>
    <n v="800"/>
    <n v="450"/>
    <n v="0.14000000000000001"/>
    <n v="4816"/>
    <n v="3150"/>
    <n v="1666"/>
    <s v="Cash"/>
    <x v="1"/>
  </r>
  <r>
    <s v="ORD0085"/>
    <s v="CUST0085"/>
    <d v="2025-11-10T00:00:00"/>
    <s v="Sneha Nair"/>
    <s v="Mumbai"/>
    <s v="Maharashtra"/>
    <s v="West"/>
    <s v="Smartphone"/>
    <s v="Electronics"/>
    <s v="Vikram Joshi"/>
    <n v="4"/>
    <n v="35000"/>
    <n v="28000"/>
    <n v="0.16"/>
    <n v="117600"/>
    <n v="112000"/>
    <n v="5600"/>
    <s v="Net Banking"/>
    <x v="3"/>
  </r>
  <r>
    <s v="ORD0086"/>
    <s v="CUST0086"/>
    <d v="2024-05-12T00:00:00"/>
    <s v="Priya Patel"/>
    <s v="Hyderabad"/>
    <s v="Telangana"/>
    <s v="South"/>
    <s v="Mouse"/>
    <s v="Accessories"/>
    <s v="Amit Sharma"/>
    <n v="9"/>
    <n v="800"/>
    <n v="450"/>
    <n v="0.1"/>
    <n v="6480"/>
    <n v="4050"/>
    <n v="2430"/>
    <s v="Net Banking"/>
    <x v="1"/>
  </r>
  <r>
    <s v="ORD0087"/>
    <s v="CUST0087"/>
    <d v="2024-04-20T00:00:00"/>
    <s v="Divya Menon"/>
    <s v="Hyderabad"/>
    <s v="Telangana"/>
    <s v="South"/>
    <s v="Monitor"/>
    <s v="Office"/>
    <s v="Vikram Joshi"/>
    <n v="3"/>
    <n v="18000"/>
    <n v="14000"/>
    <n v="0.11"/>
    <n v="48060"/>
    <n v="42000"/>
    <n v="6060"/>
    <s v="Credit Card"/>
    <x v="0"/>
  </r>
  <r>
    <s v="ORD0088"/>
    <s v="CUST0088"/>
    <d v="2024-05-10T00:00:00"/>
    <s v="Vikram Singh"/>
    <s v="Hyderabad"/>
    <s v="Telangana"/>
    <s v="South"/>
    <s v="Smartphone"/>
    <s v="Electronics"/>
    <s v="Neha Gupta"/>
    <n v="1"/>
    <n v="35000"/>
    <n v="28000"/>
    <n v="0.01"/>
    <n v="34650"/>
    <n v="28000"/>
    <n v="6650"/>
    <s v="Net Banking"/>
    <x v="1"/>
  </r>
  <r>
    <s v="ORD0089"/>
    <s v="CUST0089"/>
    <d v="2024-08-30T00:00:00"/>
    <s v="Arjun Mehta"/>
    <s v="Warangal"/>
    <s v="Telangana"/>
    <s v="South"/>
    <s v="Mouse"/>
    <s v="Accessories"/>
    <s v="Neha Gupta"/>
    <n v="3"/>
    <n v="800"/>
    <n v="450"/>
    <n v="0.2"/>
    <n v="1920"/>
    <n v="1350"/>
    <n v="570"/>
    <s v="Cash"/>
    <x v="2"/>
  </r>
  <r>
    <s v="ORD0090"/>
    <s v="CUST0090"/>
    <d v="2025-04-03T00:00:00"/>
    <s v="Aditya Mishra"/>
    <s v="Pune"/>
    <s v="Maharashtra"/>
    <s v="West"/>
    <s v="Tablet"/>
    <s v="Electronics"/>
    <s v="Amit Sharma"/>
    <n v="2"/>
    <n v="25000"/>
    <n v="20000"/>
    <n v="0.06"/>
    <n v="47000"/>
    <n v="40000"/>
    <n v="7000"/>
    <s v="Net Banking"/>
    <x v="0"/>
  </r>
  <r>
    <s v="ORD0091"/>
    <s v="CUST0091"/>
    <d v="2025-03-09T00:00:00"/>
    <s v="Aisha Khan"/>
    <s v="Mysuru"/>
    <s v="Karnataka"/>
    <s v="South"/>
    <s v="Keyboard"/>
    <s v="Accessories"/>
    <s v="Pooja Das"/>
    <n v="1"/>
    <n v="1500"/>
    <n v="900"/>
    <n v="0.11"/>
    <n v="1335"/>
    <n v="900"/>
    <n v="435"/>
    <s v="UPI"/>
    <x v="1"/>
  </r>
  <r>
    <s v="ORD0092"/>
    <s v="CUST0092"/>
    <d v="2024-05-17T00:00:00"/>
    <s v="Suresh Iyer"/>
    <s v="Jaipur"/>
    <s v="Rajasthan"/>
    <s v="North"/>
    <s v="Keyboard"/>
    <s v="Accessories"/>
    <s v="Amit Sharma"/>
    <n v="5"/>
    <n v="1500"/>
    <n v="900"/>
    <n v="0.09"/>
    <n v="6825"/>
    <n v="4500"/>
    <n v="2325"/>
    <s v="Cash"/>
    <x v="0"/>
  </r>
  <r>
    <s v="ORD0093"/>
    <s v="CUST0093"/>
    <d v="2024-07-04T00:00:00"/>
    <s v="Kavya Reddy"/>
    <s v="Kolkata"/>
    <s v="West Bengal"/>
    <s v="East"/>
    <s v="Mouse"/>
    <s v="Accessories"/>
    <s v="Vikram Joshi"/>
    <n v="8"/>
    <n v="800"/>
    <n v="450"/>
    <n v="0.21"/>
    <n v="5056"/>
    <n v="3600"/>
    <n v="1456"/>
    <s v="Cash"/>
    <x v="2"/>
  </r>
  <r>
    <s v="ORD0094"/>
    <s v="CUST0094"/>
    <d v="2025-04-16T00:00:00"/>
    <s v="Arjun Mehta"/>
    <s v="Jaipur"/>
    <s v="Rajasthan"/>
    <s v="North"/>
    <s v="Tablet"/>
    <s v="Electronics"/>
    <s v="Neha Gupta"/>
    <n v="1"/>
    <n v="25000"/>
    <n v="20000"/>
    <n v="0.04"/>
    <n v="24000"/>
    <n v="20000"/>
    <n v="4000"/>
    <s v="Debit Card"/>
    <x v="2"/>
  </r>
  <r>
    <s v="ORD0095"/>
    <s v="CUST0095"/>
    <d v="2025-10-24T00:00:00"/>
    <s v="Priya Patel"/>
    <s v="New Delhi"/>
    <s v="Delhi"/>
    <s v="North"/>
    <s v="Speaker"/>
    <s v="Electronics"/>
    <s v="Anjali Mehta"/>
    <n v="6"/>
    <n v="5000"/>
    <n v="3200"/>
    <n v="0.11"/>
    <n v="26700"/>
    <n v="19200"/>
    <n v="7500"/>
    <s v="Credit Card"/>
    <x v="0"/>
  </r>
  <r>
    <s v="ORD0096"/>
    <s v="CUST0096"/>
    <d v="2025-01-12T00:00:00"/>
    <s v="Aisha Khan"/>
    <s v="Pune"/>
    <s v="Maharashtra"/>
    <s v="West"/>
    <s v="Laptop"/>
    <s v="Electronics"/>
    <s v="Arjun Rao"/>
    <n v="9"/>
    <n v="65000"/>
    <n v="52000"/>
    <n v="0.25"/>
    <n v="438750"/>
    <n v="468000"/>
    <n v="-29250"/>
    <s v="Debit Card"/>
    <x v="1"/>
  </r>
  <r>
    <s v="ORD0097"/>
    <s v="CUST0097"/>
    <d v="2025-10-14T00:00:00"/>
    <s v="Pooja Das"/>
    <s v="Kolkata"/>
    <s v="West Bengal"/>
    <s v="East"/>
    <s v="Smartwatch"/>
    <s v="Wearables"/>
    <s v="Priya Nair"/>
    <n v="9"/>
    <n v="12000"/>
    <n v="8500"/>
    <n v="0.25"/>
    <n v="81000"/>
    <n v="76500"/>
    <n v="4500"/>
    <s v="Credit Card"/>
    <x v="3"/>
  </r>
  <r>
    <s v="ORD0098"/>
    <s v="CUST0098"/>
    <d v="2025-09-16T00:00:00"/>
    <s v="Pooja Das"/>
    <s v="Bengaluru"/>
    <s v="Karnataka"/>
    <s v="South"/>
    <s v="Headphones"/>
    <s v="Accessories"/>
    <s v="Pooja Das"/>
    <n v="8"/>
    <n v="3000"/>
    <n v="1800"/>
    <n v="0"/>
    <n v="24000"/>
    <n v="14400"/>
    <n v="9600"/>
    <s v="Net Banking"/>
    <x v="1"/>
  </r>
  <r>
    <s v="ORD0099"/>
    <s v="CUST0099"/>
    <d v="2024-04-04T00:00:00"/>
    <s v="Pooja Das"/>
    <s v="Jaipur"/>
    <s v="Rajasthan"/>
    <s v="North"/>
    <s v="Mouse"/>
    <s v="Accessories"/>
    <s v="Vikram Joshi"/>
    <n v="4"/>
    <n v="800"/>
    <n v="450"/>
    <n v="0.04"/>
    <n v="3072"/>
    <n v="1800"/>
    <n v="1272"/>
    <s v="Debit Card"/>
    <x v="1"/>
  </r>
  <r>
    <s v="ORD0100"/>
    <s v="CUST0100"/>
    <d v="2025-01-29T00:00:00"/>
    <s v="Kavya Reddy"/>
    <s v="Warangal"/>
    <s v="Telangana"/>
    <s v="South"/>
    <s v="Smartwatch"/>
    <s v="Wearables"/>
    <s v="Arjun Rao"/>
    <n v="6"/>
    <n v="12000"/>
    <n v="8500"/>
    <n v="0.17"/>
    <n v="59760"/>
    <n v="51000"/>
    <n v="8760"/>
    <s v="UPI"/>
    <x v="1"/>
  </r>
  <r>
    <s v="ORD0101"/>
    <s v="CUST0101"/>
    <d v="2024-08-19T00:00:00"/>
    <s v="Rohit Verma"/>
    <s v="New Delhi"/>
    <s v="Delhi"/>
    <s v="North"/>
    <s v="Tablet"/>
    <s v="Electronics"/>
    <s v="Anjali Mehta"/>
    <n v="8"/>
    <n v="25000"/>
    <n v="20000"/>
    <n v="0.08"/>
    <n v="184000"/>
    <n v="160000"/>
    <n v="24000"/>
    <s v="UPI"/>
    <x v="2"/>
  </r>
  <r>
    <s v="ORD0102"/>
    <s v="CUST0102"/>
    <d v="2024-01-03T00:00:00"/>
    <s v="Divya Menon"/>
    <s v="Hyderabad"/>
    <s v="Telangana"/>
    <s v="South"/>
    <s v="Keyboard"/>
    <s v="Accessories"/>
    <s v="Pooja Das"/>
    <n v="7"/>
    <n v="1500"/>
    <n v="900"/>
    <n v="0.15"/>
    <n v="8925"/>
    <n v="6300"/>
    <n v="2625"/>
    <s v="Credit Card"/>
    <x v="2"/>
  </r>
  <r>
    <s v="ORD0103"/>
    <s v="CUST0103"/>
    <d v="2024-11-17T00:00:00"/>
    <s v="Priya Patel"/>
    <s v="Pune"/>
    <s v="Maharashtra"/>
    <s v="West"/>
    <s v="Printer"/>
    <s v="Office"/>
    <s v="Priya Nair"/>
    <n v="6"/>
    <n v="15000"/>
    <n v="11500"/>
    <n v="0.11"/>
    <n v="80100"/>
    <n v="69000"/>
    <n v="11100"/>
    <s v="Credit Card"/>
    <x v="2"/>
  </r>
  <r>
    <s v="ORD0104"/>
    <s v="CUST0104"/>
    <d v="2025-01-25T00:00:00"/>
    <s v="Meera Shah"/>
    <s v="Coimbatore"/>
    <s v="Tamil Nadu"/>
    <s v="South"/>
    <s v="Smartphone"/>
    <s v="Electronics"/>
    <s v="Anjali Mehta"/>
    <n v="8"/>
    <n v="35000"/>
    <n v="28000"/>
    <n v="0.04"/>
    <n v="268800"/>
    <n v="224000"/>
    <n v="44800"/>
    <s v="UPI"/>
    <x v="3"/>
  </r>
  <r>
    <s v="ORD0105"/>
    <s v="CUST0105"/>
    <d v="2025-04-14T00:00:00"/>
    <s v="Deepika Roy"/>
    <s v="Surat"/>
    <s v="Gujarat"/>
    <s v="West"/>
    <s v="Mouse"/>
    <s v="Accessories"/>
    <s v="Karan Singh"/>
    <n v="5"/>
    <n v="800"/>
    <n v="450"/>
    <n v="0.26"/>
    <n v="2960"/>
    <n v="2250"/>
    <n v="710"/>
    <s v="Cash"/>
    <x v="1"/>
  </r>
  <r>
    <s v="ORD0106"/>
    <s v="CUST0106"/>
    <d v="2024-10-15T00:00:00"/>
    <s v="Neha Gupta"/>
    <s v="Bengaluru"/>
    <s v="Karnataka"/>
    <s v="South"/>
    <s v="Monitor"/>
    <s v="Office"/>
    <s v="Priya Nair"/>
    <n v="4"/>
    <n v="18000"/>
    <n v="14000"/>
    <n v="0.16"/>
    <n v="60480"/>
    <n v="56000"/>
    <n v="4480"/>
    <s v="UPI"/>
    <x v="0"/>
  </r>
  <r>
    <s v="ORD0107"/>
    <s v="CUST0107"/>
    <d v="2025-10-15T00:00:00"/>
    <s v="Rohan Kulkarni"/>
    <s v="Surat"/>
    <s v="Gujarat"/>
    <s v="West"/>
    <s v="Mouse"/>
    <s v="Accessories"/>
    <s v="Anjali Mehta"/>
    <n v="5"/>
    <n v="800"/>
    <n v="450"/>
    <n v="0.16"/>
    <n v="3360"/>
    <n v="2250"/>
    <n v="1110"/>
    <s v="Credit Card"/>
    <x v="1"/>
  </r>
  <r>
    <s v="ORD0108"/>
    <s v="CUST0108"/>
    <d v="2024-07-01T00:00:00"/>
    <s v="Pooja Das"/>
    <s v="Bengaluru"/>
    <s v="Karnataka"/>
    <s v="South"/>
    <s v="Smartwatch"/>
    <s v="Wearables"/>
    <s v="Sneha Patil"/>
    <n v="1"/>
    <n v="12000"/>
    <n v="8500"/>
    <n v="0.1"/>
    <n v="10800"/>
    <n v="8500"/>
    <n v="2300"/>
    <s v="Cash"/>
    <x v="0"/>
  </r>
  <r>
    <s v="ORD0109"/>
    <s v="CUST0109"/>
    <d v="2025-02-06T00:00:00"/>
    <s v="Meera Shah"/>
    <s v="New Delhi"/>
    <s v="Delhi"/>
    <s v="North"/>
    <s v="Laptop"/>
    <s v="Electronics"/>
    <s v="Karan Singh"/>
    <n v="1"/>
    <n v="65000"/>
    <n v="52000"/>
    <n v="0.16"/>
    <n v="54600"/>
    <n v="52000"/>
    <n v="2600"/>
    <s v="Cash"/>
    <x v="3"/>
  </r>
  <r>
    <s v="ORD0110"/>
    <s v="CUST0110"/>
    <d v="2025-10-12T00:00:00"/>
    <s v="Nikhil Jain"/>
    <s v="Bengaluru"/>
    <s v="Karnataka"/>
    <s v="South"/>
    <s v="Monitor"/>
    <s v="Office"/>
    <s v="Rahul Verma"/>
    <n v="3"/>
    <n v="18000"/>
    <n v="14000"/>
    <n v="0"/>
    <n v="54000"/>
    <n v="42000"/>
    <n v="12000"/>
    <s v="Debit Card"/>
    <x v="0"/>
  </r>
  <r>
    <s v="ORD0111"/>
    <s v="CUST0111"/>
    <d v="2025-01-03T00:00:00"/>
    <s v="Vikram Singh"/>
    <s v="Hyderabad"/>
    <s v="Telangana"/>
    <s v="South"/>
    <s v="Printer"/>
    <s v="Office"/>
    <s v="Amit Sharma"/>
    <n v="9"/>
    <n v="15000"/>
    <n v="11500"/>
    <n v="0.16"/>
    <n v="113400"/>
    <n v="103500"/>
    <n v="9900"/>
    <s v="Credit Card"/>
    <x v="3"/>
  </r>
  <r>
    <s v="ORD0112"/>
    <s v="CUST0112"/>
    <d v="2025-04-13T00:00:00"/>
    <s v="Rohan Kulkarni"/>
    <s v="Mumbai"/>
    <s v="Maharashtra"/>
    <s v="West"/>
    <s v="Speaker"/>
    <s v="Electronics"/>
    <s v="Pooja Das"/>
    <n v="3"/>
    <n v="5000"/>
    <n v="3200"/>
    <n v="0.02"/>
    <n v="14700"/>
    <n v="9600"/>
    <n v="5100"/>
    <s v="Net Banking"/>
    <x v="0"/>
  </r>
  <r>
    <s v="ORD0113"/>
    <s v="CUST0113"/>
    <d v="2025-05-11T00:00:00"/>
    <s v="Meera Shah"/>
    <s v="Kolkata"/>
    <s v="West Bengal"/>
    <s v="East"/>
    <s v="Tablet"/>
    <s v="Electronics"/>
    <s v="Neha Gupta"/>
    <n v="6"/>
    <n v="25000"/>
    <n v="20000"/>
    <n v="0.05"/>
    <n v="142500"/>
    <n v="120000"/>
    <n v="22500"/>
    <s v="Debit Card"/>
    <x v="1"/>
  </r>
  <r>
    <s v="ORD0114"/>
    <s v="CUST0114"/>
    <d v="2024-12-27T00:00:00"/>
    <s v="Rahul Sharma"/>
    <s v="Kolkata"/>
    <s v="West Bengal"/>
    <s v="East"/>
    <s v="Mouse"/>
    <s v="Accessories"/>
    <s v="Arjun Rao"/>
    <n v="7"/>
    <n v="800"/>
    <n v="450"/>
    <n v="0"/>
    <n v="5600"/>
    <n v="3150"/>
    <n v="2450"/>
    <s v="Credit Card"/>
    <x v="3"/>
  </r>
  <r>
    <s v="ORD0115"/>
    <s v="CUST0115"/>
    <d v="2025-03-28T00:00:00"/>
    <s v="Arjun Mehta"/>
    <s v="Pune"/>
    <s v="Maharashtra"/>
    <s v="West"/>
    <s v="Printer"/>
    <s v="Office"/>
    <s v="Rahul Verma"/>
    <n v="8"/>
    <n v="15000"/>
    <n v="11500"/>
    <n v="0.05"/>
    <n v="114000"/>
    <n v="92000"/>
    <n v="22000"/>
    <s v="Credit Card"/>
    <x v="0"/>
  </r>
  <r>
    <s v="ORD0116"/>
    <s v="CUST0116"/>
    <d v="2024-10-16T00:00:00"/>
    <s v="Pooja Das"/>
    <s v="Jaipur"/>
    <s v="Rajasthan"/>
    <s v="North"/>
    <s v="Speaker"/>
    <s v="Electronics"/>
    <s v="Anjali Mehta"/>
    <n v="6"/>
    <n v="5000"/>
    <n v="3200"/>
    <n v="0.23"/>
    <n v="23100"/>
    <n v="19200"/>
    <n v="3900"/>
    <s v="Cash"/>
    <x v="3"/>
  </r>
  <r>
    <s v="ORD0117"/>
    <s v="CUST0117"/>
    <d v="2024-05-30T00:00:00"/>
    <s v="Arjun Mehta"/>
    <s v="Jaipur"/>
    <s v="Rajasthan"/>
    <s v="North"/>
    <s v="Tablet"/>
    <s v="Electronics"/>
    <s v="Neha Gupta"/>
    <n v="2"/>
    <n v="25000"/>
    <n v="20000"/>
    <n v="0.24"/>
    <n v="38000"/>
    <n v="40000"/>
    <n v="-2000"/>
    <s v="Debit Card"/>
    <x v="2"/>
  </r>
  <r>
    <s v="ORD0118"/>
    <s v="CUST0118"/>
    <d v="2024-04-12T00:00:00"/>
    <s v="Rohit Verma"/>
    <s v="Kolkata"/>
    <s v="West Bengal"/>
    <s v="East"/>
    <s v="Headphones"/>
    <s v="Accessories"/>
    <s v="Priya Nair"/>
    <n v="6"/>
    <n v="3000"/>
    <n v="1800"/>
    <n v="0.14000000000000001"/>
    <n v="15480"/>
    <n v="10800"/>
    <n v="4680"/>
    <s v="Net Banking"/>
    <x v="3"/>
  </r>
  <r>
    <s v="ORD0119"/>
    <s v="CUST0119"/>
    <d v="2025-09-06T00:00:00"/>
    <s v="Divya Menon"/>
    <s v="Mumbai"/>
    <s v="Maharashtra"/>
    <s v="West"/>
    <s v="Headphones"/>
    <s v="Accessories"/>
    <s v="Neha Gupta"/>
    <n v="3"/>
    <n v="3000"/>
    <n v="1800"/>
    <n v="0.22"/>
    <n v="7020"/>
    <n v="5400"/>
    <n v="1620"/>
    <s v="UPI"/>
    <x v="3"/>
  </r>
  <r>
    <s v="ORD0120"/>
    <s v="CUST0120"/>
    <d v="2024-10-13T00:00:00"/>
    <s v="Pooja Das"/>
    <s v="New Delhi"/>
    <s v="Delhi"/>
    <s v="North"/>
    <s v="Tablet"/>
    <s v="Electronics"/>
    <s v="Neha Gupta"/>
    <n v="9"/>
    <n v="25000"/>
    <n v="20000"/>
    <n v="0.06"/>
    <n v="211500"/>
    <n v="180000"/>
    <n v="31500"/>
    <s v="Credit Card"/>
    <x v="0"/>
  </r>
  <r>
    <s v="ORD0121"/>
    <s v="CUST0121"/>
    <d v="2024-02-14T00:00:00"/>
    <s v="Deepika Roy"/>
    <s v="Warangal"/>
    <s v="Telangana"/>
    <s v="South"/>
    <s v="Smartwatch"/>
    <s v="Wearables"/>
    <s v="Pooja Das"/>
    <n v="9"/>
    <n v="12000"/>
    <n v="8500"/>
    <n v="0.02"/>
    <n v="105840"/>
    <n v="76500"/>
    <n v="29340"/>
    <s v="Credit Card"/>
    <x v="0"/>
  </r>
  <r>
    <s v="ORD0122"/>
    <s v="CUST0122"/>
    <d v="2024-01-07T00:00:00"/>
    <s v="Rahul Sharma"/>
    <s v="Hyderabad"/>
    <s v="Telangana"/>
    <s v="South"/>
    <s v="Printer"/>
    <s v="Office"/>
    <s v="Rahul Verma"/>
    <n v="10"/>
    <n v="15000"/>
    <n v="11500"/>
    <n v="7.0000000000000007E-2"/>
    <n v="139500"/>
    <n v="115000"/>
    <n v="24500"/>
    <s v="Cash"/>
    <x v="3"/>
  </r>
  <r>
    <s v="ORD0123"/>
    <s v="CUST0123"/>
    <d v="2024-11-12T00:00:00"/>
    <s v="Priya Patel"/>
    <s v="Kolkata"/>
    <s v="West Bengal"/>
    <s v="East"/>
    <s v="Headphones"/>
    <s v="Accessories"/>
    <s v="Sneha Patil"/>
    <n v="6"/>
    <n v="3000"/>
    <n v="1800"/>
    <n v="0.01"/>
    <n v="17820"/>
    <n v="10800"/>
    <n v="7020"/>
    <s v="Debit Card"/>
    <x v="3"/>
  </r>
  <r>
    <s v="ORD0124"/>
    <s v="CUST0124"/>
    <d v="2025-04-30T00:00:00"/>
    <s v="Kavya Reddy"/>
    <s v="Surat"/>
    <s v="Gujarat"/>
    <s v="West"/>
    <s v="Mouse"/>
    <s v="Accessories"/>
    <s v="Neha Gupta"/>
    <n v="1"/>
    <n v="800"/>
    <n v="450"/>
    <n v="0.11"/>
    <n v="712"/>
    <n v="450"/>
    <n v="262"/>
    <s v="Net Banking"/>
    <x v="3"/>
  </r>
  <r>
    <s v="ORD0125"/>
    <s v="CUST0125"/>
    <d v="2024-04-06T00:00:00"/>
    <s v="Rohan Kulkarni"/>
    <s v="Mysuru"/>
    <s v="Karnataka"/>
    <s v="South"/>
    <s v="Speaker"/>
    <s v="Electronics"/>
    <s v="Priya Nair"/>
    <n v="9"/>
    <n v="5000"/>
    <n v="3200"/>
    <n v="0.16"/>
    <n v="37800"/>
    <n v="28800"/>
    <n v="9000"/>
    <s v="Net Banking"/>
    <x v="1"/>
  </r>
  <r>
    <s v="ORD0126"/>
    <s v="CUST0126"/>
    <d v="2024-02-23T00:00:00"/>
    <s v="Rahul Sharma"/>
    <s v="Mysuru"/>
    <s v="Karnataka"/>
    <s v="South"/>
    <s v="Keyboard"/>
    <s v="Accessories"/>
    <s v="Amit Sharma"/>
    <n v="6"/>
    <n v="1500"/>
    <n v="900"/>
    <n v="0.25"/>
    <n v="6750"/>
    <n v="5400"/>
    <n v="1350"/>
    <s v="Debit Card"/>
    <x v="2"/>
  </r>
  <r>
    <s v="ORD0127"/>
    <s v="CUST0127"/>
    <d v="2024-11-17T00:00:00"/>
    <s v="Aditya Mishra"/>
    <s v="Kolkata"/>
    <s v="West Bengal"/>
    <s v="East"/>
    <s v="Monitor"/>
    <s v="Office"/>
    <s v="Neha Gupta"/>
    <n v="7"/>
    <n v="18000"/>
    <n v="14000"/>
    <n v="0.21"/>
    <n v="99540"/>
    <n v="98000"/>
    <n v="1540"/>
    <s v="Net Banking"/>
    <x v="0"/>
  </r>
  <r>
    <s v="ORD0128"/>
    <s v="CUST0128"/>
    <d v="2025-12-09T00:00:00"/>
    <s v="Aditya Mishra"/>
    <s v="Jaipur"/>
    <s v="Rajasthan"/>
    <s v="North"/>
    <s v="Speaker"/>
    <s v="Electronics"/>
    <s v="Arjun Rao"/>
    <n v="5"/>
    <n v="5000"/>
    <n v="3200"/>
    <n v="0.1"/>
    <n v="22500"/>
    <n v="16000"/>
    <n v="6500"/>
    <s v="Cash"/>
    <x v="0"/>
  </r>
  <r>
    <s v="ORD0129"/>
    <s v="CUST0129"/>
    <d v="2025-12-31T00:00:00"/>
    <s v="Aditya Mishra"/>
    <s v="Warangal"/>
    <s v="Telangana"/>
    <s v="South"/>
    <s v="Keyboard"/>
    <s v="Accessories"/>
    <s v="Priya Nair"/>
    <n v="4"/>
    <n v="1500"/>
    <n v="900"/>
    <n v="0.01"/>
    <n v="5940"/>
    <n v="3600"/>
    <n v="2340"/>
    <s v="Credit Card"/>
    <x v="3"/>
  </r>
  <r>
    <s v="ORD0130"/>
    <s v="CUST0130"/>
    <d v="2024-06-09T00:00:00"/>
    <s v="Rohit Verma"/>
    <s v="Pune"/>
    <s v="Maharashtra"/>
    <s v="West"/>
    <s v="Tablet"/>
    <s v="Electronics"/>
    <s v="Vikram Joshi"/>
    <n v="7"/>
    <n v="25000"/>
    <n v="20000"/>
    <n v="0.3"/>
    <n v="122499.99999999999"/>
    <n v="140000"/>
    <n v="-17500.000000000015"/>
    <s v="Debit Card"/>
    <x v="3"/>
  </r>
  <r>
    <s v="ORD0131"/>
    <s v="CUST0131"/>
    <d v="2025-07-02T00:00:00"/>
    <s v="Kavya Reddy"/>
    <s v="Mumbai"/>
    <s v="Maharashtra"/>
    <s v="West"/>
    <s v="Smartwatch"/>
    <s v="Wearables"/>
    <s v="Priya Nair"/>
    <n v="9"/>
    <n v="12000"/>
    <n v="8500"/>
    <n v="0.25"/>
    <n v="81000"/>
    <n v="76500"/>
    <n v="4500"/>
    <s v="Cash"/>
    <x v="0"/>
  </r>
  <r>
    <s v="ORD0132"/>
    <s v="CUST0132"/>
    <d v="2024-04-18T00:00:00"/>
    <s v="Pooja Das"/>
    <s v="New Delhi"/>
    <s v="Delhi"/>
    <s v="North"/>
    <s v="Monitor"/>
    <s v="Office"/>
    <s v="Karan Singh"/>
    <n v="7"/>
    <n v="18000"/>
    <n v="14000"/>
    <n v="0.2"/>
    <n v="100800"/>
    <n v="98000"/>
    <n v="2800"/>
    <s v="UPI"/>
    <x v="0"/>
  </r>
  <r>
    <s v="ORD0133"/>
    <s v="CUST0133"/>
    <d v="2025-08-23T00:00:00"/>
    <s v="Divya Menon"/>
    <s v="Coimbatore"/>
    <s v="Tamil Nadu"/>
    <s v="South"/>
    <s v="Monitor"/>
    <s v="Office"/>
    <s v="Amit Sharma"/>
    <n v="5"/>
    <n v="18000"/>
    <n v="14000"/>
    <n v="0.23"/>
    <n v="69300"/>
    <n v="70000"/>
    <n v="-700"/>
    <s v="Debit Card"/>
    <x v="1"/>
  </r>
  <r>
    <s v="ORD0134"/>
    <s v="CUST0134"/>
    <d v="2024-09-27T00:00:00"/>
    <s v="Amit Kumar"/>
    <s v="Chennai"/>
    <s v="Tamil Nadu"/>
    <s v="South"/>
    <s v="Smartwatch"/>
    <s v="Wearables"/>
    <s v="Priya Nair"/>
    <n v="6"/>
    <n v="12000"/>
    <n v="8500"/>
    <n v="0.16"/>
    <n v="60480"/>
    <n v="51000"/>
    <n v="9480"/>
    <s v="Net Banking"/>
    <x v="2"/>
  </r>
  <r>
    <s v="ORD0135"/>
    <s v="CUST0135"/>
    <d v="2025-08-06T00:00:00"/>
    <s v="Rahul Sharma"/>
    <s v="Mumbai"/>
    <s v="Maharashtra"/>
    <s v="West"/>
    <s v="Headphones"/>
    <s v="Accessories"/>
    <s v="Rahul Verma"/>
    <n v="7"/>
    <n v="3000"/>
    <n v="1800"/>
    <n v="0.06"/>
    <n v="19740"/>
    <n v="12600"/>
    <n v="7140"/>
    <s v="Net Banking"/>
    <x v="3"/>
  </r>
  <r>
    <s v="ORD0136"/>
    <s v="CUST0136"/>
    <d v="2025-07-12T00:00:00"/>
    <s v="Rohan Kulkarni"/>
    <s v="New Delhi"/>
    <s v="Delhi"/>
    <s v="North"/>
    <s v="Laptop"/>
    <s v="Electronics"/>
    <s v="Rahul Verma"/>
    <n v="4"/>
    <n v="65000"/>
    <n v="52000"/>
    <n v="0.22"/>
    <n v="202800"/>
    <n v="208000"/>
    <n v="-5200"/>
    <s v="UPI"/>
    <x v="0"/>
  </r>
  <r>
    <s v="ORD0137"/>
    <s v="CUST0137"/>
    <d v="2024-03-30T00:00:00"/>
    <s v="Pooja Das"/>
    <s v="Mysuru"/>
    <s v="Karnataka"/>
    <s v="South"/>
    <s v="Smartwatch"/>
    <s v="Wearables"/>
    <s v="Vikram Joshi"/>
    <n v="4"/>
    <n v="12000"/>
    <n v="8500"/>
    <n v="0.04"/>
    <n v="46080"/>
    <n v="34000"/>
    <n v="12080"/>
    <s v="UPI"/>
    <x v="0"/>
  </r>
  <r>
    <s v="ORD0138"/>
    <s v="CUST0138"/>
    <d v="2024-09-20T00:00:00"/>
    <s v="Suresh Iyer"/>
    <s v="Kolkata"/>
    <s v="West Bengal"/>
    <s v="East"/>
    <s v="Smartwatch"/>
    <s v="Wearables"/>
    <s v="Rahul Verma"/>
    <n v="4"/>
    <n v="12000"/>
    <n v="8500"/>
    <n v="0.27"/>
    <n v="35040"/>
    <n v="34000"/>
    <n v="1040"/>
    <s v="UPI"/>
    <x v="0"/>
  </r>
  <r>
    <s v="ORD0139"/>
    <s v="CUST0139"/>
    <d v="2025-02-21T00:00:00"/>
    <s v="Vikram Singh"/>
    <s v="Mumbai"/>
    <s v="Maharashtra"/>
    <s v="West"/>
    <s v="Speaker"/>
    <s v="Electronics"/>
    <s v="Rahul Verma"/>
    <n v="10"/>
    <n v="5000"/>
    <n v="3200"/>
    <n v="0.24"/>
    <n v="38000"/>
    <n v="32000"/>
    <n v="6000"/>
    <s v="Net Banking"/>
    <x v="2"/>
  </r>
  <r>
    <s v="ORD0140"/>
    <s v="CUST0140"/>
    <d v="2024-10-27T00:00:00"/>
    <s v="Priya Patel"/>
    <s v="Jaipur"/>
    <s v="Rajasthan"/>
    <s v="North"/>
    <s v="Monitor"/>
    <s v="Office"/>
    <s v="Sneha Patil"/>
    <n v="6"/>
    <n v="18000"/>
    <n v="14000"/>
    <n v="0"/>
    <n v="108000"/>
    <n v="84000"/>
    <n v="24000"/>
    <s v="Net Banking"/>
    <x v="0"/>
  </r>
  <r>
    <s v="ORD0141"/>
    <s v="CUST0141"/>
    <d v="2024-05-30T00:00:00"/>
    <s v="Sneha Nair"/>
    <s v="Bengaluru"/>
    <s v="Karnataka"/>
    <s v="South"/>
    <s v="Laptop"/>
    <s v="Electronics"/>
    <s v="Rahul Verma"/>
    <n v="8"/>
    <n v="65000"/>
    <n v="52000"/>
    <n v="0"/>
    <n v="520000"/>
    <n v="416000"/>
    <n v="104000"/>
    <s v="Debit Card"/>
    <x v="3"/>
  </r>
  <r>
    <s v="ORD0142"/>
    <s v="CUST0142"/>
    <d v="2025-07-03T00:00:00"/>
    <s v="Karan Joshi"/>
    <s v="Ahmedabad"/>
    <s v="Gujarat"/>
    <s v="West"/>
    <s v="Smartwatch"/>
    <s v="Wearables"/>
    <s v="Amit Sharma"/>
    <n v="1"/>
    <n v="12000"/>
    <n v="8500"/>
    <n v="0.04"/>
    <n v="11520"/>
    <n v="8500"/>
    <n v="3020"/>
    <s v="UPI"/>
    <x v="0"/>
  </r>
  <r>
    <s v="ORD0143"/>
    <s v="CUST0143"/>
    <d v="2024-05-30T00:00:00"/>
    <s v="Priya Patel"/>
    <s v="Mumbai"/>
    <s v="Maharashtra"/>
    <s v="West"/>
    <s v="Monitor"/>
    <s v="Office"/>
    <s v="Arjun Rao"/>
    <n v="1"/>
    <n v="18000"/>
    <n v="14000"/>
    <n v="0.19"/>
    <n v="14580.000000000002"/>
    <n v="14000"/>
    <n v="580.00000000000182"/>
    <s v="Credit Card"/>
    <x v="1"/>
  </r>
  <r>
    <s v="ORD0144"/>
    <s v="CUST0144"/>
    <d v="2025-04-19T00:00:00"/>
    <s v="Neha Gupta"/>
    <s v="Coimbatore"/>
    <s v="Tamil Nadu"/>
    <s v="South"/>
    <s v="Printer"/>
    <s v="Office"/>
    <s v="Rahul Verma"/>
    <n v="7"/>
    <n v="15000"/>
    <n v="11500"/>
    <n v="0.27"/>
    <n v="76650"/>
    <n v="80500"/>
    <n v="-3850"/>
    <s v="UPI"/>
    <x v="0"/>
  </r>
  <r>
    <s v="ORD0145"/>
    <s v="CUST0145"/>
    <d v="2025-06-04T00:00:00"/>
    <s v="Kavya Reddy"/>
    <s v="Surat"/>
    <s v="Gujarat"/>
    <s v="West"/>
    <s v="Smartwatch"/>
    <s v="Wearables"/>
    <s v="Arjun Rao"/>
    <n v="6"/>
    <n v="12000"/>
    <n v="8500"/>
    <n v="0.15"/>
    <n v="61200"/>
    <n v="51000"/>
    <n v="10200"/>
    <s v="Debit Card"/>
    <x v="0"/>
  </r>
  <r>
    <s v="ORD0146"/>
    <s v="CUST0146"/>
    <d v="2024-04-05T00:00:00"/>
    <s v="Kavya Reddy"/>
    <s v="Coimbatore"/>
    <s v="Tamil Nadu"/>
    <s v="South"/>
    <s v="Tablet"/>
    <s v="Electronics"/>
    <s v="Pooja Das"/>
    <n v="3"/>
    <n v="25000"/>
    <n v="20000"/>
    <n v="0.19"/>
    <n v="60750.000000000007"/>
    <n v="60000"/>
    <n v="750.00000000000728"/>
    <s v="Debit Card"/>
    <x v="0"/>
  </r>
  <r>
    <s v="ORD0147"/>
    <s v="CUST0147"/>
    <d v="2024-05-20T00:00:00"/>
    <s v="Meera Shah"/>
    <s v="Ahmedabad"/>
    <s v="Gujarat"/>
    <s v="West"/>
    <s v="Printer"/>
    <s v="Office"/>
    <s v="Vikram Joshi"/>
    <n v="2"/>
    <n v="15000"/>
    <n v="11500"/>
    <n v="0.11"/>
    <n v="26700"/>
    <n v="23000"/>
    <n v="3700"/>
    <s v="Net Banking"/>
    <x v="0"/>
  </r>
  <r>
    <s v="ORD0148"/>
    <s v="CUST0148"/>
    <d v="2025-10-31T00:00:00"/>
    <s v="Suresh Iyer"/>
    <s v="Hyderabad"/>
    <s v="Telangana"/>
    <s v="South"/>
    <s v="Speaker"/>
    <s v="Electronics"/>
    <s v="Sneha Patil"/>
    <n v="1"/>
    <n v="5000"/>
    <n v="3200"/>
    <n v="0.16"/>
    <n v="4200"/>
    <n v="3200"/>
    <n v="1000"/>
    <s v="UPI"/>
    <x v="2"/>
  </r>
  <r>
    <s v="ORD0149"/>
    <s v="CUST0149"/>
    <d v="2024-05-28T00:00:00"/>
    <s v="Amit Kumar"/>
    <s v="Chennai"/>
    <s v="Tamil Nadu"/>
    <s v="South"/>
    <s v="Headphones"/>
    <s v="Accessories"/>
    <s v="Pooja Das"/>
    <n v="4"/>
    <n v="3000"/>
    <n v="1800"/>
    <n v="0.22"/>
    <n v="9360"/>
    <n v="7200"/>
    <n v="2160"/>
    <s v="UPI"/>
    <x v="1"/>
  </r>
  <r>
    <s v="ORD0150"/>
    <s v="CUST0150"/>
    <d v="2025-10-31T00:00:00"/>
    <s v="Kavya Reddy"/>
    <s v="Coimbatore"/>
    <s v="Tamil Nadu"/>
    <s v="South"/>
    <s v="Printer"/>
    <s v="Office"/>
    <s v="Priya Nair"/>
    <n v="3"/>
    <n v="15000"/>
    <n v="11500"/>
    <n v="0.28000000000000003"/>
    <n v="32400"/>
    <n v="34500"/>
    <n v="-2100"/>
    <s v="Credit Card"/>
    <x v="3"/>
  </r>
  <r>
    <s v="ORD0151"/>
    <s v="CUST0151"/>
    <d v="2024-03-05T00:00:00"/>
    <s v="Karan Joshi"/>
    <s v="Pune"/>
    <s v="Maharashtra"/>
    <s v="West"/>
    <s v="Smartphone"/>
    <s v="Electronics"/>
    <s v="Amit Sharma"/>
    <n v="8"/>
    <n v="35000"/>
    <n v="28000"/>
    <n v="0.27"/>
    <n v="204400"/>
    <n v="224000"/>
    <n v="-19600"/>
    <s v="UPI"/>
    <x v="3"/>
  </r>
  <r>
    <s v="ORD0152"/>
    <s v="CUST0152"/>
    <d v="2024-06-22T00:00:00"/>
    <s v="Nikhil Jain"/>
    <s v="Bengaluru"/>
    <s v="Karnataka"/>
    <s v="South"/>
    <s v="Laptop"/>
    <s v="Electronics"/>
    <s v="Vikram Joshi"/>
    <n v="2"/>
    <n v="65000"/>
    <n v="52000"/>
    <n v="0.03"/>
    <n v="126100"/>
    <n v="104000"/>
    <n v="22100"/>
    <s v="UPI"/>
    <x v="3"/>
  </r>
  <r>
    <s v="ORD0153"/>
    <s v="CUST0153"/>
    <d v="2025-11-25T00:00:00"/>
    <s v="Anjali Rao"/>
    <s v="Mumbai"/>
    <s v="Maharashtra"/>
    <s v="West"/>
    <s v="Tablet"/>
    <s v="Electronics"/>
    <s v="Pooja Das"/>
    <n v="9"/>
    <n v="25000"/>
    <n v="20000"/>
    <n v="0.08"/>
    <n v="207000"/>
    <n v="180000"/>
    <n v="27000"/>
    <s v="Debit Card"/>
    <x v="3"/>
  </r>
  <r>
    <s v="ORD0154"/>
    <s v="CUST0154"/>
    <d v="2025-07-01T00:00:00"/>
    <s v="Anjali Rao"/>
    <s v="Kolkata"/>
    <s v="West Bengal"/>
    <s v="East"/>
    <s v="Headphones"/>
    <s v="Accessories"/>
    <s v="Karan Singh"/>
    <n v="3"/>
    <n v="3000"/>
    <n v="1800"/>
    <n v="0.22"/>
    <n v="7020"/>
    <n v="5400"/>
    <n v="1620"/>
    <s v="Debit Card"/>
    <x v="2"/>
  </r>
  <r>
    <s v="ORD0155"/>
    <s v="CUST0155"/>
    <d v="2025-10-05T00:00:00"/>
    <s v="Rahul Sharma"/>
    <s v="Chennai"/>
    <s v="Tamil Nadu"/>
    <s v="South"/>
    <s v="Smartwatch"/>
    <s v="Wearables"/>
    <s v="Sneha Patil"/>
    <n v="5"/>
    <n v="12000"/>
    <n v="8500"/>
    <n v="0.13"/>
    <n v="52200"/>
    <n v="42500"/>
    <n v="9700"/>
    <s v="Credit Card"/>
    <x v="3"/>
  </r>
  <r>
    <s v="ORD0156"/>
    <s v="CUST0156"/>
    <d v="2025-10-01T00:00:00"/>
    <s v="Anjali Rao"/>
    <s v="Pune"/>
    <s v="Maharashtra"/>
    <s v="West"/>
    <s v="Printer"/>
    <s v="Office"/>
    <s v="Anjali Mehta"/>
    <n v="3"/>
    <n v="15000"/>
    <n v="11500"/>
    <n v="0.2"/>
    <n v="36000"/>
    <n v="34500"/>
    <n v="1500"/>
    <s v="Net Banking"/>
    <x v="0"/>
  </r>
  <r>
    <s v="ORD0157"/>
    <s v="CUST0157"/>
    <d v="2025-05-19T00:00:00"/>
    <s v="Aditya Mishra"/>
    <s v="Bengaluru"/>
    <s v="Karnataka"/>
    <s v="South"/>
    <s v="Laptop"/>
    <s v="Electronics"/>
    <s v="Rahul Verma"/>
    <n v="9"/>
    <n v="65000"/>
    <n v="52000"/>
    <n v="0"/>
    <n v="585000"/>
    <n v="468000"/>
    <n v="117000"/>
    <s v="Debit Card"/>
    <x v="0"/>
  </r>
  <r>
    <s v="ORD0158"/>
    <s v="CUST0158"/>
    <d v="2025-11-04T00:00:00"/>
    <s v="Kavya Reddy"/>
    <s v="Hyderabad"/>
    <s v="Telangana"/>
    <s v="South"/>
    <s v="Smartphone"/>
    <s v="Electronics"/>
    <s v="Priya Nair"/>
    <n v="10"/>
    <n v="35000"/>
    <n v="28000"/>
    <n v="0.01"/>
    <n v="346500"/>
    <n v="280000"/>
    <n v="66500"/>
    <s v="Debit Card"/>
    <x v="2"/>
  </r>
  <r>
    <s v="ORD0159"/>
    <s v="CUST0159"/>
    <d v="2025-12-31T00:00:00"/>
    <s v="Meera Shah"/>
    <s v="Chennai"/>
    <s v="Tamil Nadu"/>
    <s v="South"/>
    <s v="Printer"/>
    <s v="Office"/>
    <s v="Neha Gupta"/>
    <n v="8"/>
    <n v="15000"/>
    <n v="11500"/>
    <n v="0.02"/>
    <n v="117600"/>
    <n v="92000"/>
    <n v="25600"/>
    <s v="Net Banking"/>
    <x v="1"/>
  </r>
  <r>
    <s v="ORD0160"/>
    <s v="CUST0160"/>
    <d v="2025-03-27T00:00:00"/>
    <s v="Nikhil Jain"/>
    <s v="Jaipur"/>
    <s v="Rajasthan"/>
    <s v="North"/>
    <s v="Headphones"/>
    <s v="Accessories"/>
    <s v="Amit Sharma"/>
    <n v="5"/>
    <n v="3000"/>
    <n v="1800"/>
    <n v="0.02"/>
    <n v="14700"/>
    <n v="9000"/>
    <n v="5700"/>
    <s v="Cash"/>
    <x v="0"/>
  </r>
  <r>
    <s v="ORD0161"/>
    <s v="CUST0161"/>
    <d v="2025-02-09T00:00:00"/>
    <s v="Neha Gupta"/>
    <s v="Mumbai"/>
    <s v="Maharashtra"/>
    <s v="West"/>
    <s v="Keyboard"/>
    <s v="Accessories"/>
    <s v="Karan Singh"/>
    <n v="3"/>
    <n v="1500"/>
    <n v="900"/>
    <n v="0.19"/>
    <n v="3645.0000000000005"/>
    <n v="2700"/>
    <n v="945.00000000000045"/>
    <s v="Net Banking"/>
    <x v="1"/>
  </r>
  <r>
    <s v="ORD0162"/>
    <s v="CUST0162"/>
    <d v="2025-07-07T00:00:00"/>
    <s v="Amit Kumar"/>
    <s v="Coimbatore"/>
    <s v="Tamil Nadu"/>
    <s v="South"/>
    <s v="Mouse"/>
    <s v="Accessories"/>
    <s v="Anjali Mehta"/>
    <n v="8"/>
    <n v="800"/>
    <n v="450"/>
    <n v="0.06"/>
    <n v="6016"/>
    <n v="3600"/>
    <n v="2416"/>
    <s v="Credit Card"/>
    <x v="1"/>
  </r>
  <r>
    <s v="ORD0163"/>
    <s v="CUST0163"/>
    <d v="2025-08-14T00:00:00"/>
    <s v="Karan Joshi"/>
    <s v="Kolkata"/>
    <s v="West Bengal"/>
    <s v="East"/>
    <s v="Smartphone"/>
    <s v="Electronics"/>
    <s v="Karan Singh"/>
    <n v="9"/>
    <n v="35000"/>
    <n v="28000"/>
    <n v="0.1"/>
    <n v="283500"/>
    <n v="252000"/>
    <n v="31500"/>
    <s v="Credit Card"/>
    <x v="0"/>
  </r>
  <r>
    <s v="ORD0164"/>
    <s v="CUST0164"/>
    <d v="2025-12-25T00:00:00"/>
    <s v="Neha Gupta"/>
    <s v="Surat"/>
    <s v="Gujarat"/>
    <s v="West"/>
    <s v="Mouse"/>
    <s v="Accessories"/>
    <s v="Anjali Mehta"/>
    <n v="5"/>
    <n v="800"/>
    <n v="450"/>
    <n v="0.13"/>
    <n v="3480"/>
    <n v="2250"/>
    <n v="1230"/>
    <s v="Debit Card"/>
    <x v="0"/>
  </r>
  <r>
    <s v="ORD0165"/>
    <s v="CUST0165"/>
    <d v="2025-09-12T00:00:00"/>
    <s v="Karan Joshi"/>
    <s v="Surat"/>
    <s v="Gujarat"/>
    <s v="West"/>
    <s v="Monitor"/>
    <s v="Office"/>
    <s v="Priya Nair"/>
    <n v="9"/>
    <n v="18000"/>
    <n v="14000"/>
    <n v="0.05"/>
    <n v="153900"/>
    <n v="126000"/>
    <n v="27900"/>
    <s v="Credit Card"/>
    <x v="0"/>
  </r>
  <r>
    <s v="ORD0166"/>
    <s v="CUST0166"/>
    <d v="2025-07-22T00:00:00"/>
    <s v="Anjali Rao"/>
    <s v="Chennai"/>
    <s v="Tamil Nadu"/>
    <s v="South"/>
    <s v="Speaker"/>
    <s v="Electronics"/>
    <s v="Neha Gupta"/>
    <n v="10"/>
    <n v="5000"/>
    <n v="3200"/>
    <n v="0.1"/>
    <n v="45000"/>
    <n v="32000"/>
    <n v="13000"/>
    <s v="Credit Card"/>
    <x v="1"/>
  </r>
  <r>
    <s v="ORD0167"/>
    <s v="CUST0167"/>
    <d v="2024-01-14T00:00:00"/>
    <s v="Arjun Mehta"/>
    <s v="Jaipur"/>
    <s v="Rajasthan"/>
    <s v="North"/>
    <s v="Laptop"/>
    <s v="Electronics"/>
    <s v="Vikram Joshi"/>
    <n v="8"/>
    <n v="65000"/>
    <n v="52000"/>
    <n v="0.19"/>
    <n v="421200"/>
    <n v="416000"/>
    <n v="5200"/>
    <s v="Net Banking"/>
    <x v="2"/>
  </r>
  <r>
    <s v="ORD0168"/>
    <s v="CUST0168"/>
    <d v="2025-11-23T00:00:00"/>
    <s v="Suresh Iyer"/>
    <s v="Bengaluru"/>
    <s v="Karnataka"/>
    <s v="South"/>
    <s v="Mouse"/>
    <s v="Accessories"/>
    <s v="Neha Gupta"/>
    <n v="10"/>
    <n v="800"/>
    <n v="450"/>
    <n v="0.04"/>
    <n v="7680"/>
    <n v="4500"/>
    <n v="3180"/>
    <s v="Net Banking"/>
    <x v="2"/>
  </r>
  <r>
    <s v="ORD0169"/>
    <s v="CUST0169"/>
    <d v="2024-11-12T00:00:00"/>
    <s v="Rahul Sharma"/>
    <s v="Coimbatore"/>
    <s v="Tamil Nadu"/>
    <s v="South"/>
    <s v="Smartphone"/>
    <s v="Electronics"/>
    <s v="Pooja Das"/>
    <n v="9"/>
    <n v="35000"/>
    <n v="28000"/>
    <n v="0.21"/>
    <n v="248850"/>
    <n v="252000"/>
    <n v="-3150"/>
    <s v="Cash"/>
    <x v="2"/>
  </r>
  <r>
    <s v="ORD0170"/>
    <s v="CUST0170"/>
    <d v="2025-03-30T00:00:00"/>
    <s v="Nikhil Jain"/>
    <s v="Mumbai"/>
    <s v="Maharashtra"/>
    <s v="West"/>
    <s v="Printer"/>
    <s v="Office"/>
    <s v="Sneha Patil"/>
    <n v="3"/>
    <n v="15000"/>
    <n v="11500"/>
    <n v="0.3"/>
    <n v="31499.999999999996"/>
    <n v="34500"/>
    <n v="-3000.0000000000036"/>
    <s v="Net Banking"/>
    <x v="0"/>
  </r>
  <r>
    <s v="ORD0171"/>
    <s v="CUST0171"/>
    <d v="2024-07-26T00:00:00"/>
    <s v="Priya Patel"/>
    <s v="Warangal"/>
    <s v="Telangana"/>
    <s v="South"/>
    <s v="Printer"/>
    <s v="Office"/>
    <s v="Neha Gupta"/>
    <n v="6"/>
    <n v="15000"/>
    <n v="11500"/>
    <n v="0.24"/>
    <n v="68400"/>
    <n v="69000"/>
    <n v="-600"/>
    <s v="Cash"/>
    <x v="2"/>
  </r>
  <r>
    <s v="ORD0172"/>
    <s v="CUST0172"/>
    <d v="2024-06-09T00:00:00"/>
    <s v="Meera Shah"/>
    <s v="Chennai"/>
    <s v="Tamil Nadu"/>
    <s v="South"/>
    <s v="Smartwatch"/>
    <s v="Wearables"/>
    <s v="Priya Nair"/>
    <n v="5"/>
    <n v="12000"/>
    <n v="8500"/>
    <n v="0.02"/>
    <n v="58800"/>
    <n v="42500"/>
    <n v="16300"/>
    <s v="Credit Card"/>
    <x v="3"/>
  </r>
  <r>
    <s v="ORD0173"/>
    <s v="CUST0173"/>
    <d v="2025-05-21T00:00:00"/>
    <s v="Aisha Khan"/>
    <s v="Mysuru"/>
    <s v="Karnataka"/>
    <s v="South"/>
    <s v="Laptop"/>
    <s v="Electronics"/>
    <s v="Pooja Das"/>
    <n v="8"/>
    <n v="65000"/>
    <n v="52000"/>
    <n v="0.08"/>
    <n v="478400"/>
    <n v="416000"/>
    <n v="62400"/>
    <s v="Debit Card"/>
    <x v="2"/>
  </r>
  <r>
    <s v="ORD0174"/>
    <s v="CUST0174"/>
    <d v="2025-05-09T00:00:00"/>
    <s v="Nikhil Jain"/>
    <s v="Warangal"/>
    <s v="Telangana"/>
    <s v="South"/>
    <s v="Speaker"/>
    <s v="Electronics"/>
    <s v="Pooja Das"/>
    <n v="5"/>
    <n v="5000"/>
    <n v="3200"/>
    <n v="7.0000000000000007E-2"/>
    <n v="23250"/>
    <n v="16000"/>
    <n v="7250"/>
    <s v="Cash"/>
    <x v="3"/>
  </r>
  <r>
    <s v="ORD0175"/>
    <s v="CUST0175"/>
    <d v="2024-01-06T00:00:00"/>
    <s v="Amit Kumar"/>
    <s v="Jaipur"/>
    <s v="Rajasthan"/>
    <s v="North"/>
    <s v="Laptop"/>
    <s v="Electronics"/>
    <s v="Karan Singh"/>
    <n v="2"/>
    <n v="65000"/>
    <n v="52000"/>
    <n v="0.11"/>
    <n v="115700"/>
    <n v="104000"/>
    <n v="11700"/>
    <s v="Net Banking"/>
    <x v="1"/>
  </r>
  <r>
    <s v="ORD0176"/>
    <s v="CUST0176"/>
    <d v="2025-02-24T00:00:00"/>
    <s v="Kavya Reddy"/>
    <s v="Mumbai"/>
    <s v="Maharashtra"/>
    <s v="West"/>
    <s v="Keyboard"/>
    <s v="Accessories"/>
    <s v="Vikram Joshi"/>
    <n v="8"/>
    <n v="1500"/>
    <n v="900"/>
    <n v="0.24"/>
    <n v="9120"/>
    <n v="7200"/>
    <n v="1920"/>
    <s v="Cash"/>
    <x v="2"/>
  </r>
  <r>
    <s v="ORD0177"/>
    <s v="CUST0177"/>
    <d v="2024-05-11T00:00:00"/>
    <s v="Arjun Mehta"/>
    <s v="Coimbatore"/>
    <s v="Tamil Nadu"/>
    <s v="South"/>
    <s v="Keyboard"/>
    <s v="Accessories"/>
    <s v="Rahul Verma"/>
    <n v="7"/>
    <n v="1500"/>
    <n v="900"/>
    <n v="0.01"/>
    <n v="10395"/>
    <n v="6300"/>
    <n v="4095"/>
    <s v="Credit Card"/>
    <x v="1"/>
  </r>
  <r>
    <s v="ORD0178"/>
    <s v="CUST0178"/>
    <d v="2024-03-25T00:00:00"/>
    <s v="Suresh Iyer"/>
    <s v="Ahmedabad"/>
    <s v="Gujarat"/>
    <s v="West"/>
    <s v="Speaker"/>
    <s v="Electronics"/>
    <s v="Karan Singh"/>
    <n v="3"/>
    <n v="5000"/>
    <n v="3200"/>
    <n v="7.0000000000000007E-2"/>
    <n v="13949.999999999998"/>
    <n v="9600"/>
    <n v="4349.9999999999982"/>
    <s v="Debit Card"/>
    <x v="1"/>
  </r>
  <r>
    <s v="ORD0179"/>
    <s v="CUST0179"/>
    <d v="2025-03-03T00:00:00"/>
    <s v="Neha Gupta"/>
    <s v="Coimbatore"/>
    <s v="Tamil Nadu"/>
    <s v="South"/>
    <s v="Tablet"/>
    <s v="Electronics"/>
    <s v="Rahul Verma"/>
    <n v="4"/>
    <n v="25000"/>
    <n v="20000"/>
    <n v="0"/>
    <n v="100000"/>
    <n v="80000"/>
    <n v="20000"/>
    <s v="Cash"/>
    <x v="1"/>
  </r>
  <r>
    <s v="ORD0180"/>
    <s v="CUST0180"/>
    <d v="2024-08-04T00:00:00"/>
    <s v="Amit Kumar"/>
    <s v="Pune"/>
    <s v="Maharashtra"/>
    <s v="West"/>
    <s v="Tablet"/>
    <s v="Electronics"/>
    <s v="Karan Singh"/>
    <n v="4"/>
    <n v="25000"/>
    <n v="20000"/>
    <n v="7.0000000000000007E-2"/>
    <n v="93000"/>
    <n v="80000"/>
    <n v="13000"/>
    <s v="Net Banking"/>
    <x v="0"/>
  </r>
  <r>
    <s v="ORD0181"/>
    <s v="CUST0181"/>
    <d v="2024-07-19T00:00:00"/>
    <s v="Amit Kumar"/>
    <s v="Surat"/>
    <s v="Gujarat"/>
    <s v="West"/>
    <s v="Mouse"/>
    <s v="Accessories"/>
    <s v="Pooja Das"/>
    <n v="2"/>
    <n v="800"/>
    <n v="450"/>
    <n v="0.1"/>
    <n v="1440"/>
    <n v="900"/>
    <n v="540"/>
    <s v="Debit Card"/>
    <x v="1"/>
  </r>
  <r>
    <s v="ORD0182"/>
    <s v="CUST0182"/>
    <d v="2025-07-29T00:00:00"/>
    <s v="Aisha Khan"/>
    <s v="Bengaluru"/>
    <s v="Karnataka"/>
    <s v="South"/>
    <s v="Smartphone"/>
    <s v="Electronics"/>
    <s v="Karan Singh"/>
    <n v="7"/>
    <n v="35000"/>
    <n v="28000"/>
    <n v="0.19"/>
    <n v="198450"/>
    <n v="196000"/>
    <n v="2450"/>
    <s v="Net Banking"/>
    <x v="3"/>
  </r>
  <r>
    <s v="ORD0183"/>
    <s v="CUST0183"/>
    <d v="2025-02-24T00:00:00"/>
    <s v="Amit Kumar"/>
    <s v="Kolkata"/>
    <s v="West Bengal"/>
    <s v="East"/>
    <s v="Mouse"/>
    <s v="Accessories"/>
    <s v="Pooja Das"/>
    <n v="4"/>
    <n v="800"/>
    <n v="450"/>
    <n v="0.21"/>
    <n v="2528"/>
    <n v="1800"/>
    <n v="728"/>
    <s v="UPI"/>
    <x v="0"/>
  </r>
  <r>
    <s v="ORD0184"/>
    <s v="CUST0184"/>
    <d v="2024-10-30T00:00:00"/>
    <s v="Divya Menon"/>
    <s v="Pune"/>
    <s v="Maharashtra"/>
    <s v="West"/>
    <s v="Laptop"/>
    <s v="Electronics"/>
    <s v="Priya Nair"/>
    <n v="3"/>
    <n v="65000"/>
    <n v="52000"/>
    <n v="0.02"/>
    <n v="191100"/>
    <n v="156000"/>
    <n v="35100"/>
    <s v="Net Banking"/>
    <x v="2"/>
  </r>
  <r>
    <s v="ORD0185"/>
    <s v="CUST0185"/>
    <d v="2024-12-30T00:00:00"/>
    <s v="Kavya Reddy"/>
    <s v="Coimbatore"/>
    <s v="Tamil Nadu"/>
    <s v="South"/>
    <s v="Keyboard"/>
    <s v="Accessories"/>
    <s v="Pooja Das"/>
    <n v="6"/>
    <n v="1500"/>
    <n v="900"/>
    <n v="0.1"/>
    <n v="8100"/>
    <n v="5400"/>
    <n v="2700"/>
    <s v="UPI"/>
    <x v="0"/>
  </r>
  <r>
    <s v="ORD0186"/>
    <s v="CUST0186"/>
    <d v="2025-04-13T00:00:00"/>
    <s v="Rahul Sharma"/>
    <s v="Jaipur"/>
    <s v="Rajasthan"/>
    <s v="North"/>
    <s v="Headphones"/>
    <s v="Accessories"/>
    <s v="Vikram Joshi"/>
    <n v="9"/>
    <n v="3000"/>
    <n v="1800"/>
    <n v="0.02"/>
    <n v="26460"/>
    <n v="16200"/>
    <n v="10260"/>
    <s v="Cash"/>
    <x v="3"/>
  </r>
  <r>
    <s v="ORD0187"/>
    <s v="CUST0187"/>
    <d v="2025-03-03T00:00:00"/>
    <s v="Rohit Verma"/>
    <s v="Bengaluru"/>
    <s v="Karnataka"/>
    <s v="South"/>
    <s v="Tablet"/>
    <s v="Electronics"/>
    <s v="Vikram Joshi"/>
    <n v="7"/>
    <n v="25000"/>
    <n v="20000"/>
    <n v="0.21"/>
    <n v="138250"/>
    <n v="140000"/>
    <n v="-1750"/>
    <s v="Net Banking"/>
    <x v="2"/>
  </r>
  <r>
    <s v="ORD0188"/>
    <s v="CUST0188"/>
    <d v="2024-07-01T00:00:00"/>
    <s v="Anjali Rao"/>
    <s v="New Delhi"/>
    <s v="Delhi"/>
    <s v="North"/>
    <s v="Keyboard"/>
    <s v="Accessories"/>
    <s v="Vikram Joshi"/>
    <n v="4"/>
    <n v="1500"/>
    <n v="900"/>
    <n v="0.05"/>
    <n v="5700"/>
    <n v="3600"/>
    <n v="2100"/>
    <s v="Net Banking"/>
    <x v="1"/>
  </r>
  <r>
    <s v="ORD0189"/>
    <s v="CUST0189"/>
    <d v="2025-07-10T00:00:00"/>
    <s v="Pooja Das"/>
    <s v="Ahmedabad"/>
    <s v="Gujarat"/>
    <s v="West"/>
    <s v="Smartphone"/>
    <s v="Electronics"/>
    <s v="Pooja Das"/>
    <n v="7"/>
    <n v="35000"/>
    <n v="28000"/>
    <n v="0.16"/>
    <n v="205800"/>
    <n v="196000"/>
    <n v="9800"/>
    <s v="Cash"/>
    <x v="3"/>
  </r>
  <r>
    <s v="ORD0190"/>
    <s v="CUST0190"/>
    <d v="2025-04-03T00:00:00"/>
    <s v="Arjun Mehta"/>
    <s v="Bengaluru"/>
    <s v="Karnataka"/>
    <s v="South"/>
    <s v="Smartwatch"/>
    <s v="Wearables"/>
    <s v="Neha Gupta"/>
    <n v="10"/>
    <n v="12000"/>
    <n v="8500"/>
    <n v="0.22"/>
    <n v="93600"/>
    <n v="85000"/>
    <n v="8600"/>
    <s v="UPI"/>
    <x v="3"/>
  </r>
  <r>
    <s v="ORD0191"/>
    <s v="CUST0191"/>
    <d v="2025-11-05T00:00:00"/>
    <s v="Kavya Reddy"/>
    <s v="Chennai"/>
    <s v="Tamil Nadu"/>
    <s v="South"/>
    <s v="Smartphone"/>
    <s v="Electronics"/>
    <s v="Vikram Joshi"/>
    <n v="3"/>
    <n v="35000"/>
    <n v="28000"/>
    <n v="0.1"/>
    <n v="94500"/>
    <n v="84000"/>
    <n v="10500"/>
    <s v="Credit Card"/>
    <x v="2"/>
  </r>
  <r>
    <s v="ORD0192"/>
    <s v="CUST0192"/>
    <d v="2024-05-12T00:00:00"/>
    <s v="Pooja Das"/>
    <s v="Ahmedabad"/>
    <s v="Gujarat"/>
    <s v="West"/>
    <s v="Keyboard"/>
    <s v="Accessories"/>
    <s v="Anjali Mehta"/>
    <n v="8"/>
    <n v="1500"/>
    <n v="900"/>
    <n v="0.26"/>
    <n v="8880"/>
    <n v="7200"/>
    <n v="1680"/>
    <s v="UPI"/>
    <x v="2"/>
  </r>
  <r>
    <s v="ORD0193"/>
    <s v="CUST0193"/>
    <d v="2024-12-17T00:00:00"/>
    <s v="Pooja Das"/>
    <s v="Warangal"/>
    <s v="Telangana"/>
    <s v="South"/>
    <s v="Speaker"/>
    <s v="Electronics"/>
    <s v="Pooja Das"/>
    <n v="4"/>
    <n v="5000"/>
    <n v="3200"/>
    <n v="0.17"/>
    <n v="16600"/>
    <n v="12800"/>
    <n v="3800"/>
    <s v="UPI"/>
    <x v="1"/>
  </r>
  <r>
    <s v="ORD0194"/>
    <s v="CUST0194"/>
    <d v="2024-08-11T00:00:00"/>
    <s v="Rohan Kulkarni"/>
    <s v="Warangal"/>
    <s v="Telangana"/>
    <s v="South"/>
    <s v="Headphones"/>
    <s v="Accessories"/>
    <s v="Karan Singh"/>
    <n v="4"/>
    <n v="3000"/>
    <n v="1800"/>
    <n v="0.17"/>
    <n v="9960"/>
    <n v="7200"/>
    <n v="2760"/>
    <s v="UPI"/>
    <x v="2"/>
  </r>
  <r>
    <s v="ORD0195"/>
    <s v="CUST0195"/>
    <d v="2025-10-16T00:00:00"/>
    <s v="Aditya Mishra"/>
    <s v="Coimbatore"/>
    <s v="Tamil Nadu"/>
    <s v="South"/>
    <s v="Mouse"/>
    <s v="Accessories"/>
    <s v="Anjali Mehta"/>
    <n v="1"/>
    <n v="800"/>
    <n v="450"/>
    <n v="0.06"/>
    <n v="752"/>
    <n v="450"/>
    <n v="302"/>
    <s v="Credit Card"/>
    <x v="1"/>
  </r>
  <r>
    <s v="ORD0196"/>
    <s v="CUST0196"/>
    <d v="2024-04-08T00:00:00"/>
    <s v="Kavya Reddy"/>
    <s v="Coimbatore"/>
    <s v="Tamil Nadu"/>
    <s v="South"/>
    <s v="Printer"/>
    <s v="Office"/>
    <s v="Priya Nair"/>
    <n v="4"/>
    <n v="15000"/>
    <n v="11500"/>
    <n v="0.25"/>
    <n v="45000"/>
    <n v="46000"/>
    <n v="-1000"/>
    <s v="UPI"/>
    <x v="3"/>
  </r>
  <r>
    <s v="ORD0197"/>
    <s v="CUST0197"/>
    <d v="2024-01-08T00:00:00"/>
    <s v="Nikhil Jain"/>
    <s v="Kolkata"/>
    <s v="West Bengal"/>
    <s v="East"/>
    <s v="Tablet"/>
    <s v="Electronics"/>
    <s v="Amit Sharma"/>
    <n v="5"/>
    <n v="25000"/>
    <n v="20000"/>
    <n v="0.17"/>
    <n v="103750"/>
    <n v="100000"/>
    <n v="3750"/>
    <s v="Credit Card"/>
    <x v="1"/>
  </r>
  <r>
    <s v="ORD0198"/>
    <s v="CUST0198"/>
    <d v="2025-08-10T00:00:00"/>
    <s v="Vikram Singh"/>
    <s v="Jaipur"/>
    <s v="Rajasthan"/>
    <s v="North"/>
    <s v="Keyboard"/>
    <s v="Accessories"/>
    <s v="Neha Gupta"/>
    <n v="6"/>
    <n v="1500"/>
    <n v="900"/>
    <n v="0.05"/>
    <n v="8550"/>
    <n v="5400"/>
    <n v="3150"/>
    <s v="Debit Card"/>
    <x v="0"/>
  </r>
  <r>
    <s v="ORD0199"/>
    <s v="CUST0199"/>
    <d v="2024-08-08T00:00:00"/>
    <s v="Rohit Verma"/>
    <s v="Jaipur"/>
    <s v="Rajasthan"/>
    <s v="North"/>
    <s v="Monitor"/>
    <s v="Office"/>
    <s v="Pooja Das"/>
    <n v="6"/>
    <n v="18000"/>
    <n v="14000"/>
    <n v="0.3"/>
    <n v="75600"/>
    <n v="84000"/>
    <n v="-8400"/>
    <s v="Debit Card"/>
    <x v="1"/>
  </r>
  <r>
    <s v="ORD0200"/>
    <s v="CUST0200"/>
    <d v="2025-12-19T00:00:00"/>
    <s v="Priya Patel"/>
    <s v="Kolkata"/>
    <s v="West Bengal"/>
    <s v="East"/>
    <s v="Mouse"/>
    <s v="Accessories"/>
    <s v="Rahul Verma"/>
    <n v="2"/>
    <n v="800"/>
    <n v="450"/>
    <n v="0.19"/>
    <n v="1296"/>
    <n v="900"/>
    <n v="396"/>
    <s v="Credit Card"/>
    <x v="2"/>
  </r>
  <r>
    <s v="ORD0201"/>
    <s v="CUST0201"/>
    <d v="2025-07-10T00:00:00"/>
    <s v="Vikram Singh"/>
    <s v="Mysuru"/>
    <s v="Karnataka"/>
    <s v="South"/>
    <s v="Monitor"/>
    <s v="Office"/>
    <s v="Rahul Verma"/>
    <n v="10"/>
    <n v="18000"/>
    <n v="14000"/>
    <n v="0.17"/>
    <n v="149400"/>
    <n v="140000"/>
    <n v="9400"/>
    <s v="UPI"/>
    <x v="2"/>
  </r>
  <r>
    <s v="ORD0202"/>
    <s v="CUST0202"/>
    <d v="2024-12-10T00:00:00"/>
    <s v="Suresh Iyer"/>
    <s v="Mumbai"/>
    <s v="Maharashtra"/>
    <s v="West"/>
    <s v="Printer"/>
    <s v="Office"/>
    <s v="Sneha Patil"/>
    <n v="3"/>
    <n v="15000"/>
    <n v="11500"/>
    <n v="0.26"/>
    <n v="33300"/>
    <n v="34500"/>
    <n v="-1200"/>
    <s v="Credit Card"/>
    <x v="0"/>
  </r>
  <r>
    <s v="ORD0203"/>
    <s v="CUST0203"/>
    <d v="2025-07-27T00:00:00"/>
    <s v="Rahul Sharma"/>
    <s v="Hyderabad"/>
    <s v="Telangana"/>
    <s v="South"/>
    <s v="Tablet"/>
    <s v="Electronics"/>
    <s v="Neha Gupta"/>
    <n v="2"/>
    <n v="25000"/>
    <n v="20000"/>
    <n v="0.23"/>
    <n v="38500"/>
    <n v="40000"/>
    <n v="-1500"/>
    <s v="Net Banking"/>
    <x v="3"/>
  </r>
  <r>
    <s v="ORD0204"/>
    <s v="CUST0204"/>
    <d v="2025-02-21T00:00:00"/>
    <s v="Sneha Nair"/>
    <s v="Mysuru"/>
    <s v="Karnataka"/>
    <s v="South"/>
    <s v="Speaker"/>
    <s v="Electronics"/>
    <s v="Priya Nair"/>
    <n v="3"/>
    <n v="5000"/>
    <n v="3200"/>
    <n v="0.08"/>
    <n v="13800"/>
    <n v="9600"/>
    <n v="4200"/>
    <s v="Debit Card"/>
    <x v="0"/>
  </r>
  <r>
    <s v="ORD0205"/>
    <s v="CUST0205"/>
    <d v="2025-11-18T00:00:00"/>
    <s v="Suresh Iyer"/>
    <s v="Pune"/>
    <s v="Maharashtra"/>
    <s v="West"/>
    <s v="Laptop"/>
    <s v="Electronics"/>
    <s v="Neha Gupta"/>
    <n v="2"/>
    <n v="65000"/>
    <n v="52000"/>
    <n v="0.01"/>
    <n v="128700"/>
    <n v="104000"/>
    <n v="24700"/>
    <s v="Debit Card"/>
    <x v="0"/>
  </r>
  <r>
    <s v="ORD0206"/>
    <s v="CUST0206"/>
    <d v="2025-04-13T00:00:00"/>
    <s v="Sneha Nair"/>
    <s v="Jaipur"/>
    <s v="Rajasthan"/>
    <s v="North"/>
    <s v="Smartphone"/>
    <s v="Electronics"/>
    <s v="Karan Singh"/>
    <n v="7"/>
    <n v="35000"/>
    <n v="28000"/>
    <n v="0.17"/>
    <n v="203350"/>
    <n v="196000"/>
    <n v="7350"/>
    <s v="Cash"/>
    <x v="0"/>
  </r>
  <r>
    <s v="ORD0207"/>
    <s v="CUST0207"/>
    <d v="2024-01-21T00:00:00"/>
    <s v="Aisha Khan"/>
    <s v="Coimbatore"/>
    <s v="Tamil Nadu"/>
    <s v="South"/>
    <s v="Printer"/>
    <s v="Office"/>
    <s v="Vikram Joshi"/>
    <n v="2"/>
    <n v="15000"/>
    <n v="11500"/>
    <n v="0.09"/>
    <n v="27300"/>
    <n v="23000"/>
    <n v="4300"/>
    <s v="Credit Card"/>
    <x v="3"/>
  </r>
  <r>
    <s v="ORD0208"/>
    <s v="CUST0208"/>
    <d v="2025-04-30T00:00:00"/>
    <s v="Aisha Khan"/>
    <s v="Warangal"/>
    <s v="Telangana"/>
    <s v="South"/>
    <s v="Speaker"/>
    <s v="Electronics"/>
    <s v="Pooja Das"/>
    <n v="3"/>
    <n v="5000"/>
    <n v="3200"/>
    <n v="0.05"/>
    <n v="14250"/>
    <n v="9600"/>
    <n v="4650"/>
    <s v="Cash"/>
    <x v="3"/>
  </r>
  <r>
    <s v="ORD0209"/>
    <s v="CUST0209"/>
    <d v="2024-04-26T00:00:00"/>
    <s v="Kavya Reddy"/>
    <s v="Hyderabad"/>
    <s v="Telangana"/>
    <s v="South"/>
    <s v="Smartwatch"/>
    <s v="Wearables"/>
    <s v="Neha Gupta"/>
    <n v="1"/>
    <n v="12000"/>
    <n v="8500"/>
    <n v="0.01"/>
    <n v="11880"/>
    <n v="8500"/>
    <n v="3380"/>
    <s v="Cash"/>
    <x v="3"/>
  </r>
  <r>
    <s v="ORD0210"/>
    <s v="CUST0210"/>
    <d v="2025-08-16T00:00:00"/>
    <s v="Nikhil Jain"/>
    <s v="Jaipur"/>
    <s v="Rajasthan"/>
    <s v="North"/>
    <s v="Tablet"/>
    <s v="Electronics"/>
    <s v="Anjali Mehta"/>
    <n v="4"/>
    <n v="25000"/>
    <n v="20000"/>
    <n v="0.21"/>
    <n v="79000"/>
    <n v="80000"/>
    <n v="-1000"/>
    <s v="Credit Card"/>
    <x v="1"/>
  </r>
  <r>
    <s v="ORD0211"/>
    <s v="CUST0211"/>
    <d v="2024-07-15T00:00:00"/>
    <s v="Priya Patel"/>
    <s v="Chennai"/>
    <s v="Tamil Nadu"/>
    <s v="South"/>
    <s v="Monitor"/>
    <s v="Office"/>
    <s v="Priya Nair"/>
    <n v="9"/>
    <n v="18000"/>
    <n v="14000"/>
    <n v="0.19"/>
    <n v="131220"/>
    <n v="126000"/>
    <n v="5220"/>
    <s v="UPI"/>
    <x v="0"/>
  </r>
  <r>
    <s v="ORD0212"/>
    <s v="CUST0212"/>
    <d v="2025-05-09T00:00:00"/>
    <s v="Kavya Reddy"/>
    <s v="Pune"/>
    <s v="Maharashtra"/>
    <s v="West"/>
    <s v="Smartwatch"/>
    <s v="Wearables"/>
    <s v="Rahul Verma"/>
    <n v="3"/>
    <n v="12000"/>
    <n v="8500"/>
    <n v="0.06"/>
    <n v="33840"/>
    <n v="25500"/>
    <n v="8340"/>
    <s v="Cash"/>
    <x v="3"/>
  </r>
  <r>
    <s v="ORD0213"/>
    <s v="CUST0213"/>
    <d v="2024-08-26T00:00:00"/>
    <s v="Aditya Mishra"/>
    <s v="Mumbai"/>
    <s v="Maharashtra"/>
    <s v="West"/>
    <s v="Keyboard"/>
    <s v="Accessories"/>
    <s v="Anjali Mehta"/>
    <n v="2"/>
    <n v="1500"/>
    <n v="900"/>
    <n v="0.18"/>
    <n v="2460"/>
    <n v="1800"/>
    <n v="660"/>
    <s v="Cash"/>
    <x v="0"/>
  </r>
  <r>
    <s v="ORD0214"/>
    <s v="CUST0214"/>
    <d v="2025-01-23T00:00:00"/>
    <s v="Meera Shah"/>
    <s v="Warangal"/>
    <s v="Telangana"/>
    <s v="South"/>
    <s v="Speaker"/>
    <s v="Electronics"/>
    <s v="Neha Gupta"/>
    <n v="5"/>
    <n v="5000"/>
    <n v="3200"/>
    <n v="0.18"/>
    <n v="20500"/>
    <n v="16000"/>
    <n v="4500"/>
    <s v="Debit Card"/>
    <x v="1"/>
  </r>
  <r>
    <s v="ORD0215"/>
    <s v="CUST0215"/>
    <d v="2025-09-03T00:00:00"/>
    <s v="Arjun Mehta"/>
    <s v="Surat"/>
    <s v="Gujarat"/>
    <s v="West"/>
    <s v="Smartwatch"/>
    <s v="Wearables"/>
    <s v="Neha Gupta"/>
    <n v="10"/>
    <n v="12000"/>
    <n v="8500"/>
    <n v="0.18"/>
    <n v="98400.000000000015"/>
    <n v="85000"/>
    <n v="13400.000000000015"/>
    <s v="Net Banking"/>
    <x v="0"/>
  </r>
  <r>
    <s v="ORD0216"/>
    <s v="CUST0216"/>
    <d v="2024-08-06T00:00:00"/>
    <s v="Vikram Singh"/>
    <s v="Surat"/>
    <s v="Gujarat"/>
    <s v="West"/>
    <s v="Mouse"/>
    <s v="Accessories"/>
    <s v="Karan Singh"/>
    <n v="8"/>
    <n v="800"/>
    <n v="450"/>
    <n v="0.16"/>
    <n v="5376"/>
    <n v="3600"/>
    <n v="1776"/>
    <s v="Debit Card"/>
    <x v="2"/>
  </r>
  <r>
    <s v="ORD0217"/>
    <s v="CUST0217"/>
    <d v="2025-03-25T00:00:00"/>
    <s v="Nikhil Jain"/>
    <s v="Surat"/>
    <s v="Gujarat"/>
    <s v="West"/>
    <s v="Laptop"/>
    <s v="Electronics"/>
    <s v="Vikram Joshi"/>
    <n v="8"/>
    <n v="65000"/>
    <n v="52000"/>
    <n v="0.22"/>
    <n v="405600"/>
    <n v="416000"/>
    <n v="-10400"/>
    <s v="UPI"/>
    <x v="1"/>
  </r>
  <r>
    <s v="ORD0218"/>
    <s v="CUST0218"/>
    <d v="2025-12-08T00:00:00"/>
    <s v="Rahul Sharma"/>
    <s v="New Delhi"/>
    <s v="Delhi"/>
    <s v="North"/>
    <s v="Speaker"/>
    <s v="Electronics"/>
    <s v="Rahul Verma"/>
    <n v="1"/>
    <n v="5000"/>
    <n v="3200"/>
    <n v="0.04"/>
    <n v="4800"/>
    <n v="3200"/>
    <n v="1600"/>
    <s v="Credit Card"/>
    <x v="3"/>
  </r>
  <r>
    <s v="ORD0219"/>
    <s v="CUST0219"/>
    <d v="2025-12-07T00:00:00"/>
    <s v="Amit Kumar"/>
    <s v="Ahmedabad"/>
    <s v="Gujarat"/>
    <s v="West"/>
    <s v="Tablet"/>
    <s v="Electronics"/>
    <s v="Amit Sharma"/>
    <n v="7"/>
    <n v="25000"/>
    <n v="20000"/>
    <n v="0.3"/>
    <n v="122499.99999999999"/>
    <n v="140000"/>
    <n v="-17500.000000000015"/>
    <s v="Net Banking"/>
    <x v="3"/>
  </r>
  <r>
    <s v="ORD0220"/>
    <s v="CUST0220"/>
    <d v="2025-10-27T00:00:00"/>
    <s v="Rohit Verma"/>
    <s v="Surat"/>
    <s v="Gujarat"/>
    <s v="West"/>
    <s v="Mouse"/>
    <s v="Accessories"/>
    <s v="Sneha Patil"/>
    <n v="5"/>
    <n v="800"/>
    <n v="450"/>
    <n v="0.13"/>
    <n v="3480"/>
    <n v="2250"/>
    <n v="1230"/>
    <s v="Cash"/>
    <x v="2"/>
  </r>
  <r>
    <s v="ORD0221"/>
    <s v="CUST0221"/>
    <d v="2025-11-24T00:00:00"/>
    <s v="Rahul Sharma"/>
    <s v="Mysuru"/>
    <s v="Karnataka"/>
    <s v="South"/>
    <s v="Smartphone"/>
    <s v="Electronics"/>
    <s v="Priya Nair"/>
    <n v="3"/>
    <n v="35000"/>
    <n v="28000"/>
    <n v="0.14000000000000001"/>
    <n v="90300"/>
    <n v="84000"/>
    <n v="6300"/>
    <s v="Net Banking"/>
    <x v="1"/>
  </r>
  <r>
    <s v="ORD0222"/>
    <s v="CUST0222"/>
    <d v="2024-04-11T00:00:00"/>
    <s v="Kavya Reddy"/>
    <s v="Bengaluru"/>
    <s v="Karnataka"/>
    <s v="South"/>
    <s v="Laptop"/>
    <s v="Electronics"/>
    <s v="Arjun Rao"/>
    <n v="3"/>
    <n v="65000"/>
    <n v="52000"/>
    <n v="0.21"/>
    <n v="154050"/>
    <n v="156000"/>
    <n v="-1950"/>
    <s v="Debit Card"/>
    <x v="1"/>
  </r>
  <r>
    <s v="ORD0223"/>
    <s v="CUST0223"/>
    <d v="2025-01-21T00:00:00"/>
    <s v="Amit Kumar"/>
    <s v="Mysuru"/>
    <s v="Karnataka"/>
    <s v="South"/>
    <s v="Laptop"/>
    <s v="Electronics"/>
    <s v="Amit Sharma"/>
    <n v="4"/>
    <n v="65000"/>
    <n v="52000"/>
    <n v="0.25"/>
    <n v="195000"/>
    <n v="208000"/>
    <n v="-13000"/>
    <s v="Debit Card"/>
    <x v="1"/>
  </r>
  <r>
    <s v="ORD0224"/>
    <s v="CUST0224"/>
    <d v="2025-11-18T00:00:00"/>
    <s v="Aisha Khan"/>
    <s v="Bengaluru"/>
    <s v="Karnataka"/>
    <s v="South"/>
    <s v="Monitor"/>
    <s v="Office"/>
    <s v="Pooja Das"/>
    <n v="2"/>
    <n v="18000"/>
    <n v="14000"/>
    <n v="0.06"/>
    <n v="33840"/>
    <n v="28000"/>
    <n v="5840"/>
    <s v="Credit Card"/>
    <x v="0"/>
  </r>
  <r>
    <s v="ORD0225"/>
    <s v="CUST0225"/>
    <d v="2024-12-15T00:00:00"/>
    <s v="Priya Patel"/>
    <s v="Warangal"/>
    <s v="Telangana"/>
    <s v="South"/>
    <s v="Monitor"/>
    <s v="Office"/>
    <s v="Neha Gupta"/>
    <n v="10"/>
    <n v="18000"/>
    <n v="14000"/>
    <n v="0.15"/>
    <n v="153000"/>
    <n v="140000"/>
    <n v="13000"/>
    <s v="Net Banking"/>
    <x v="1"/>
  </r>
  <r>
    <s v="ORD0226"/>
    <s v="CUST0226"/>
    <d v="2024-12-29T00:00:00"/>
    <s v="Meera Shah"/>
    <s v="Hyderabad"/>
    <s v="Telangana"/>
    <s v="South"/>
    <s v="Mouse"/>
    <s v="Accessories"/>
    <s v="Neha Gupta"/>
    <n v="2"/>
    <n v="800"/>
    <n v="450"/>
    <n v="0.16"/>
    <n v="1344"/>
    <n v="900"/>
    <n v="444"/>
    <s v="Credit Card"/>
    <x v="2"/>
  </r>
  <r>
    <s v="ORD0227"/>
    <s v="CUST0227"/>
    <d v="2025-11-01T00:00:00"/>
    <s v="Nikhil Jain"/>
    <s v="New Delhi"/>
    <s v="Delhi"/>
    <s v="North"/>
    <s v="Tablet"/>
    <s v="Electronics"/>
    <s v="Amit Sharma"/>
    <n v="6"/>
    <n v="25000"/>
    <n v="20000"/>
    <n v="0.06"/>
    <n v="141000"/>
    <n v="120000"/>
    <n v="21000"/>
    <s v="UPI"/>
    <x v="0"/>
  </r>
  <r>
    <s v="ORD0228"/>
    <s v="CUST0228"/>
    <d v="2024-07-14T00:00:00"/>
    <s v="Divya Menon"/>
    <s v="Coimbatore"/>
    <s v="Tamil Nadu"/>
    <s v="South"/>
    <s v="Headphones"/>
    <s v="Accessories"/>
    <s v="Priya Nair"/>
    <n v="6"/>
    <n v="3000"/>
    <n v="1800"/>
    <n v="0.23"/>
    <n v="13860"/>
    <n v="10800"/>
    <n v="3060"/>
    <s v="Cash"/>
    <x v="2"/>
  </r>
  <r>
    <s v="ORD0229"/>
    <s v="CUST0229"/>
    <d v="2025-11-01T00:00:00"/>
    <s v="Amit Kumar"/>
    <s v="Coimbatore"/>
    <s v="Tamil Nadu"/>
    <s v="South"/>
    <s v="Printer"/>
    <s v="Office"/>
    <s v="Sneha Patil"/>
    <n v="6"/>
    <n v="15000"/>
    <n v="11500"/>
    <n v="0.11"/>
    <n v="80100"/>
    <n v="69000"/>
    <n v="11100"/>
    <s v="Net Banking"/>
    <x v="3"/>
  </r>
  <r>
    <s v="ORD0230"/>
    <s v="CUST0230"/>
    <d v="2025-02-12T00:00:00"/>
    <s v="Sneha Nair"/>
    <s v="Mumbai"/>
    <s v="Maharashtra"/>
    <s v="West"/>
    <s v="Speaker"/>
    <s v="Electronics"/>
    <s v="Priya Nair"/>
    <n v="2"/>
    <n v="5000"/>
    <n v="3200"/>
    <n v="0.14000000000000001"/>
    <n v="8600"/>
    <n v="6400"/>
    <n v="2200"/>
    <s v="UPI"/>
    <x v="1"/>
  </r>
  <r>
    <s v="ORD0231"/>
    <s v="CUST0231"/>
    <d v="2025-02-24T00:00:00"/>
    <s v="Pooja Das"/>
    <s v="Kolkata"/>
    <s v="West Bengal"/>
    <s v="East"/>
    <s v="Speaker"/>
    <s v="Electronics"/>
    <s v="Arjun Rao"/>
    <n v="6"/>
    <n v="5000"/>
    <n v="3200"/>
    <n v="0.08"/>
    <n v="27600"/>
    <n v="19200"/>
    <n v="8400"/>
    <s v="Net Banking"/>
    <x v="0"/>
  </r>
  <r>
    <s v="ORD0232"/>
    <s v="CUST0232"/>
    <d v="2024-08-15T00:00:00"/>
    <s v="Pooja Das"/>
    <s v="Surat"/>
    <s v="Gujarat"/>
    <s v="West"/>
    <s v="Printer"/>
    <s v="Office"/>
    <s v="Sneha Patil"/>
    <n v="10"/>
    <n v="15000"/>
    <n v="11500"/>
    <n v="0.14000000000000001"/>
    <n v="129000"/>
    <n v="115000"/>
    <n v="14000"/>
    <s v="UPI"/>
    <x v="2"/>
  </r>
  <r>
    <s v="ORD0233"/>
    <s v="CUST0233"/>
    <d v="2025-05-05T00:00:00"/>
    <s v="Divya Menon"/>
    <s v="Mumbai"/>
    <s v="Maharashtra"/>
    <s v="West"/>
    <s v="Laptop"/>
    <s v="Electronics"/>
    <s v="Vikram Joshi"/>
    <n v="5"/>
    <n v="65000"/>
    <n v="52000"/>
    <n v="0.03"/>
    <n v="315250"/>
    <n v="260000"/>
    <n v="55250"/>
    <s v="Credit Card"/>
    <x v="0"/>
  </r>
  <r>
    <s v="ORD0234"/>
    <s v="CUST0234"/>
    <d v="2025-03-18T00:00:00"/>
    <s v="Karan Joshi"/>
    <s v="Ahmedabad"/>
    <s v="Gujarat"/>
    <s v="West"/>
    <s v="Mouse"/>
    <s v="Accessories"/>
    <s v="Karan Singh"/>
    <n v="10"/>
    <n v="800"/>
    <n v="450"/>
    <n v="0.05"/>
    <n v="7600"/>
    <n v="4500"/>
    <n v="3100"/>
    <s v="Cash"/>
    <x v="2"/>
  </r>
  <r>
    <s v="ORD0235"/>
    <s v="CUST0235"/>
    <d v="2025-05-10T00:00:00"/>
    <s v="Rohit Verma"/>
    <s v="Jaipur"/>
    <s v="Rajasthan"/>
    <s v="North"/>
    <s v="Smartwatch"/>
    <s v="Wearables"/>
    <s v="Neha Gupta"/>
    <n v="3"/>
    <n v="12000"/>
    <n v="8500"/>
    <n v="0.1"/>
    <n v="32400"/>
    <n v="25500"/>
    <n v="6900"/>
    <s v="Net Banking"/>
    <x v="0"/>
  </r>
  <r>
    <s v="ORD0236"/>
    <s v="CUST0236"/>
    <d v="2025-07-29T00:00:00"/>
    <s v="Aditya Mishra"/>
    <s v="Bengaluru"/>
    <s v="Karnataka"/>
    <s v="South"/>
    <s v="Monitor"/>
    <s v="Office"/>
    <s v="Vikram Joshi"/>
    <n v="8"/>
    <n v="18000"/>
    <n v="14000"/>
    <n v="0.02"/>
    <n v="141120"/>
    <n v="112000"/>
    <n v="29120"/>
    <s v="Net Banking"/>
    <x v="0"/>
  </r>
  <r>
    <s v="ORD0237"/>
    <s v="CUST0237"/>
    <d v="2025-11-26T00:00:00"/>
    <s v="Amit Kumar"/>
    <s v="Mysuru"/>
    <s v="Karnataka"/>
    <s v="South"/>
    <s v="Keyboard"/>
    <s v="Accessories"/>
    <s v="Anjali Mehta"/>
    <n v="2"/>
    <n v="1500"/>
    <n v="900"/>
    <n v="0.25"/>
    <n v="2250"/>
    <n v="1800"/>
    <n v="450"/>
    <s v="Cash"/>
    <x v="0"/>
  </r>
  <r>
    <s v="ORD0238"/>
    <s v="CUST0238"/>
    <d v="2024-04-06T00:00:00"/>
    <s v="Aditya Mishra"/>
    <s v="Jaipur"/>
    <s v="Rajasthan"/>
    <s v="North"/>
    <s v="Mouse"/>
    <s v="Accessories"/>
    <s v="Pooja Das"/>
    <n v="10"/>
    <n v="800"/>
    <n v="450"/>
    <n v="0.12"/>
    <n v="7040"/>
    <n v="4500"/>
    <n v="2540"/>
    <s v="UPI"/>
    <x v="2"/>
  </r>
  <r>
    <s v="ORD0239"/>
    <s v="CUST0239"/>
    <d v="2025-07-21T00:00:00"/>
    <s v="Amit Kumar"/>
    <s v="Bengaluru"/>
    <s v="Karnataka"/>
    <s v="South"/>
    <s v="Keyboard"/>
    <s v="Accessories"/>
    <s v="Sneha Patil"/>
    <n v="1"/>
    <n v="1500"/>
    <n v="900"/>
    <n v="0.13"/>
    <n v="1305"/>
    <n v="900"/>
    <n v="405"/>
    <s v="Net Banking"/>
    <x v="3"/>
  </r>
  <r>
    <s v="ORD0240"/>
    <s v="CUST0240"/>
    <d v="2024-02-24T00:00:00"/>
    <s v="Nikhil Jain"/>
    <s v="Chennai"/>
    <s v="Tamil Nadu"/>
    <s v="South"/>
    <s v="Printer"/>
    <s v="Office"/>
    <s v="Pooja Das"/>
    <n v="5"/>
    <n v="15000"/>
    <n v="11500"/>
    <n v="0"/>
    <n v="75000"/>
    <n v="57500"/>
    <n v="17500"/>
    <s v="Debit Card"/>
    <x v="2"/>
  </r>
  <r>
    <s v="ORD0241"/>
    <s v="CUST0241"/>
    <d v="2024-12-31T00:00:00"/>
    <s v="Suresh Iyer"/>
    <s v="Ahmedabad"/>
    <s v="Gujarat"/>
    <s v="West"/>
    <s v="Laptop"/>
    <s v="Electronics"/>
    <s v="Karan Singh"/>
    <n v="6"/>
    <n v="65000"/>
    <n v="52000"/>
    <n v="0.3"/>
    <n v="273000"/>
    <n v="312000"/>
    <n v="-39000"/>
    <s v="Credit Card"/>
    <x v="1"/>
  </r>
  <r>
    <s v="ORD0242"/>
    <s v="CUST0242"/>
    <d v="2025-09-01T00:00:00"/>
    <s v="Amit Kumar"/>
    <s v="Mysuru"/>
    <s v="Karnataka"/>
    <s v="South"/>
    <s v="Mouse"/>
    <s v="Accessories"/>
    <s v="Karan Singh"/>
    <n v="3"/>
    <n v="800"/>
    <n v="450"/>
    <n v="0.3"/>
    <n v="1680"/>
    <n v="1350"/>
    <n v="330"/>
    <s v="Cash"/>
    <x v="3"/>
  </r>
  <r>
    <s v="ORD0243"/>
    <s v="CUST0243"/>
    <d v="2024-06-25T00:00:00"/>
    <s v="Anjali Rao"/>
    <s v="Hyderabad"/>
    <s v="Telangana"/>
    <s v="South"/>
    <s v="Smartphone"/>
    <s v="Electronics"/>
    <s v="Rahul Verma"/>
    <n v="1"/>
    <n v="35000"/>
    <n v="28000"/>
    <n v="0.24"/>
    <n v="26600"/>
    <n v="28000"/>
    <n v="-1400"/>
    <s v="UPI"/>
    <x v="0"/>
  </r>
  <r>
    <s v="ORD0244"/>
    <s v="CUST0244"/>
    <d v="2025-09-03T00:00:00"/>
    <s v="Meera Shah"/>
    <s v="Warangal"/>
    <s v="Telangana"/>
    <s v="South"/>
    <s v="Headphones"/>
    <s v="Accessories"/>
    <s v="Arjun Rao"/>
    <n v="4"/>
    <n v="3000"/>
    <n v="1800"/>
    <n v="0.13"/>
    <n v="10440"/>
    <n v="7200"/>
    <n v="3240"/>
    <s v="Net Banking"/>
    <x v="3"/>
  </r>
  <r>
    <s v="ORD0245"/>
    <s v="CUST0245"/>
    <d v="2024-06-29T00:00:00"/>
    <s v="Priya Patel"/>
    <s v="Hyderabad"/>
    <s v="Telangana"/>
    <s v="South"/>
    <s v="Headphones"/>
    <s v="Accessories"/>
    <s v="Sneha Patil"/>
    <n v="6"/>
    <n v="3000"/>
    <n v="1800"/>
    <n v="0.15"/>
    <n v="15300"/>
    <n v="10800"/>
    <n v="4500"/>
    <s v="Cash"/>
    <x v="2"/>
  </r>
  <r>
    <s v="ORD0246"/>
    <s v="CUST0246"/>
    <d v="2024-03-23T00:00:00"/>
    <s v="Amit Kumar"/>
    <s v="Pune"/>
    <s v="Maharashtra"/>
    <s v="West"/>
    <s v="Speaker"/>
    <s v="Electronics"/>
    <s v="Karan Singh"/>
    <n v="2"/>
    <n v="5000"/>
    <n v="3200"/>
    <n v="0.16"/>
    <n v="8400"/>
    <n v="6400"/>
    <n v="2000"/>
    <s v="Net Banking"/>
    <x v="3"/>
  </r>
  <r>
    <s v="ORD0247"/>
    <s v="CUST0247"/>
    <d v="2024-05-29T00:00:00"/>
    <s v="Aditya Mishra"/>
    <s v="Warangal"/>
    <s v="Telangana"/>
    <s v="South"/>
    <s v="Smartwatch"/>
    <s v="Wearables"/>
    <s v="Anjali Mehta"/>
    <n v="2"/>
    <n v="12000"/>
    <n v="8500"/>
    <n v="0.23"/>
    <n v="18480"/>
    <n v="17000"/>
    <n v="1480"/>
    <s v="Debit Card"/>
    <x v="2"/>
  </r>
  <r>
    <s v="ORD0248"/>
    <s v="CUST0248"/>
    <d v="2025-10-24T00:00:00"/>
    <s v="Nikhil Jain"/>
    <s v="Kolkata"/>
    <s v="West Bengal"/>
    <s v="East"/>
    <s v="Smartwatch"/>
    <s v="Wearables"/>
    <s v="Arjun Rao"/>
    <n v="1"/>
    <n v="12000"/>
    <n v="8500"/>
    <n v="0.13"/>
    <n v="10440"/>
    <n v="8500"/>
    <n v="1940"/>
    <s v="Net Banking"/>
    <x v="0"/>
  </r>
  <r>
    <s v="ORD0249"/>
    <s v="CUST0249"/>
    <d v="2025-10-28T00:00:00"/>
    <s v="Arjun Mehta"/>
    <s v="Surat"/>
    <s v="Gujarat"/>
    <s v="West"/>
    <s v="Smartphone"/>
    <s v="Electronics"/>
    <s v="Vikram Joshi"/>
    <n v="4"/>
    <n v="35000"/>
    <n v="28000"/>
    <n v="0.05"/>
    <n v="133000"/>
    <n v="112000"/>
    <n v="21000"/>
    <s v="Cash"/>
    <x v="0"/>
  </r>
  <r>
    <s v="ORD0250"/>
    <s v="CUST0250"/>
    <d v="2025-04-22T00:00:00"/>
    <s v="Sneha Nair"/>
    <s v="Ahmedabad"/>
    <s v="Gujarat"/>
    <s v="West"/>
    <s v="Monitor"/>
    <s v="Office"/>
    <s v="Rahul Verma"/>
    <n v="1"/>
    <n v="18000"/>
    <n v="14000"/>
    <n v="0.01"/>
    <n v="17820"/>
    <n v="14000"/>
    <n v="3820"/>
    <s v="Net Banking"/>
    <x v="2"/>
  </r>
  <r>
    <s v="ORD0251"/>
    <s v="CUST0251"/>
    <d v="2025-10-03T00:00:00"/>
    <s v="Kavya Reddy"/>
    <s v="Kolkata"/>
    <s v="West Bengal"/>
    <s v="East"/>
    <s v="Mouse"/>
    <s v="Accessories"/>
    <s v="Sneha Patil"/>
    <n v="6"/>
    <n v="800"/>
    <n v="450"/>
    <n v="0.25"/>
    <n v="3600"/>
    <n v="2700"/>
    <n v="900"/>
    <s v="UPI"/>
    <x v="3"/>
  </r>
  <r>
    <s v="ORD0252"/>
    <s v="CUST0252"/>
    <d v="2024-02-19T00:00:00"/>
    <s v="Divya Menon"/>
    <s v="Bengaluru"/>
    <s v="Karnataka"/>
    <s v="South"/>
    <s v="Smartwatch"/>
    <s v="Wearables"/>
    <s v="Amit Sharma"/>
    <n v="1"/>
    <n v="12000"/>
    <n v="8500"/>
    <n v="0.28999999999999998"/>
    <n v="8520"/>
    <n v="8500"/>
    <n v="20"/>
    <s v="Cash"/>
    <x v="2"/>
  </r>
  <r>
    <s v="ORD0253"/>
    <s v="CUST0253"/>
    <d v="2025-06-03T00:00:00"/>
    <s v="Karan Joshi"/>
    <s v="New Delhi"/>
    <s v="Delhi"/>
    <s v="North"/>
    <s v="Printer"/>
    <s v="Office"/>
    <s v="Sneha Patil"/>
    <n v="9"/>
    <n v="15000"/>
    <n v="11500"/>
    <n v="0.04"/>
    <n v="129600"/>
    <n v="103500"/>
    <n v="26100"/>
    <s v="Credit Card"/>
    <x v="0"/>
  </r>
  <r>
    <s v="ORD0254"/>
    <s v="CUST0254"/>
    <d v="2024-01-16T00:00:00"/>
    <s v="Karan Joshi"/>
    <s v="Pune"/>
    <s v="Maharashtra"/>
    <s v="West"/>
    <s v="Tablet"/>
    <s v="Electronics"/>
    <s v="Arjun Rao"/>
    <n v="8"/>
    <n v="25000"/>
    <n v="20000"/>
    <n v="0.18"/>
    <n v="164000"/>
    <n v="160000"/>
    <n v="4000"/>
    <s v="Credit Card"/>
    <x v="3"/>
  </r>
  <r>
    <s v="ORD0255"/>
    <s v="CUST0255"/>
    <d v="2024-12-11T00:00:00"/>
    <s v="Anjali Rao"/>
    <s v="Surat"/>
    <s v="Gujarat"/>
    <s v="West"/>
    <s v="Mouse"/>
    <s v="Accessories"/>
    <s v="Priya Nair"/>
    <n v="5"/>
    <n v="800"/>
    <n v="450"/>
    <n v="0.26"/>
    <n v="2960"/>
    <n v="2250"/>
    <n v="710"/>
    <s v="Net Banking"/>
    <x v="0"/>
  </r>
  <r>
    <s v="ORD0256"/>
    <s v="CUST0256"/>
    <d v="2024-03-10T00:00:00"/>
    <s v="Priya Patel"/>
    <s v="Mysuru"/>
    <s v="Karnataka"/>
    <s v="South"/>
    <s v="Laptop"/>
    <s v="Electronics"/>
    <s v="Priya Nair"/>
    <n v="9"/>
    <n v="65000"/>
    <n v="52000"/>
    <n v="0.12"/>
    <n v="514800"/>
    <n v="468000"/>
    <n v="46800"/>
    <s v="Net Banking"/>
    <x v="3"/>
  </r>
  <r>
    <s v="ORD0257"/>
    <s v="CUST0257"/>
    <d v="2024-06-06T00:00:00"/>
    <s v="Kavya Reddy"/>
    <s v="Chennai"/>
    <s v="Tamil Nadu"/>
    <s v="South"/>
    <s v="Smartphone"/>
    <s v="Electronics"/>
    <s v="Karan Singh"/>
    <n v="4"/>
    <n v="35000"/>
    <n v="28000"/>
    <n v="7.0000000000000007E-2"/>
    <n v="130199.99999999999"/>
    <n v="112000"/>
    <n v="18199.999999999985"/>
    <s v="Debit Card"/>
    <x v="3"/>
  </r>
  <r>
    <s v="ORD0258"/>
    <s v="CUST0258"/>
    <d v="2024-10-14T00:00:00"/>
    <s v="Amit Kumar"/>
    <s v="Pune"/>
    <s v="Maharashtra"/>
    <s v="West"/>
    <s v="Monitor"/>
    <s v="Office"/>
    <s v="Sneha Patil"/>
    <n v="1"/>
    <n v="18000"/>
    <n v="14000"/>
    <n v="0.02"/>
    <n v="17640"/>
    <n v="14000"/>
    <n v="3640"/>
    <s v="Debit Card"/>
    <x v="3"/>
  </r>
  <r>
    <s v="ORD0259"/>
    <s v="CUST0259"/>
    <d v="2024-02-09T00:00:00"/>
    <s v="Nikhil Jain"/>
    <s v="Hyderabad"/>
    <s v="Telangana"/>
    <s v="South"/>
    <s v="Smartwatch"/>
    <s v="Wearables"/>
    <s v="Vikram Joshi"/>
    <n v="3"/>
    <n v="12000"/>
    <n v="8500"/>
    <n v="0.06"/>
    <n v="33840"/>
    <n v="25500"/>
    <n v="8340"/>
    <s v="UPI"/>
    <x v="2"/>
  </r>
  <r>
    <s v="ORD0260"/>
    <s v="CUST0260"/>
    <d v="2025-06-16T00:00:00"/>
    <s v="Deepika Roy"/>
    <s v="New Delhi"/>
    <s v="Delhi"/>
    <s v="North"/>
    <s v="Smartwatch"/>
    <s v="Wearables"/>
    <s v="Rahul Verma"/>
    <n v="7"/>
    <n v="12000"/>
    <n v="8500"/>
    <n v="0.13"/>
    <n v="73080"/>
    <n v="59500"/>
    <n v="13580"/>
    <s v="Cash"/>
    <x v="1"/>
  </r>
  <r>
    <s v="ORD0261"/>
    <s v="CUST0261"/>
    <d v="2024-08-12T00:00:00"/>
    <s v="Deepika Roy"/>
    <s v="Pune"/>
    <s v="Maharashtra"/>
    <s v="West"/>
    <s v="Keyboard"/>
    <s v="Accessories"/>
    <s v="Arjun Rao"/>
    <n v="3"/>
    <n v="1500"/>
    <n v="900"/>
    <n v="0.05"/>
    <n v="4275"/>
    <n v="2700"/>
    <n v="1575"/>
    <s v="Credit Card"/>
    <x v="0"/>
  </r>
  <r>
    <s v="ORD0262"/>
    <s v="CUST0262"/>
    <d v="2024-03-12T00:00:00"/>
    <s v="Sneha Nair"/>
    <s v="Mumbai"/>
    <s v="Maharashtra"/>
    <s v="West"/>
    <s v="Mouse"/>
    <s v="Accessories"/>
    <s v="Vikram Joshi"/>
    <n v="4"/>
    <n v="800"/>
    <n v="450"/>
    <n v="0.23"/>
    <n v="2464"/>
    <n v="1800"/>
    <n v="664"/>
    <s v="UPI"/>
    <x v="2"/>
  </r>
  <r>
    <s v="ORD0263"/>
    <s v="CUST0263"/>
    <d v="2025-05-10T00:00:00"/>
    <s v="Rohan Kulkarni"/>
    <s v="Jaipur"/>
    <s v="Rajasthan"/>
    <s v="North"/>
    <s v="Keyboard"/>
    <s v="Accessories"/>
    <s v="Karan Singh"/>
    <n v="6"/>
    <n v="1500"/>
    <n v="900"/>
    <n v="0.05"/>
    <n v="8550"/>
    <n v="5400"/>
    <n v="3150"/>
    <s v="Net Banking"/>
    <x v="1"/>
  </r>
  <r>
    <s v="ORD0264"/>
    <s v="CUST0264"/>
    <d v="2024-12-14T00:00:00"/>
    <s v="Amit Kumar"/>
    <s v="Surat"/>
    <s v="Gujarat"/>
    <s v="West"/>
    <s v="Headphones"/>
    <s v="Accessories"/>
    <s v="Rahul Verma"/>
    <n v="7"/>
    <n v="3000"/>
    <n v="1800"/>
    <n v="0.24"/>
    <n v="15960"/>
    <n v="12600"/>
    <n v="3360"/>
    <s v="Debit Card"/>
    <x v="3"/>
  </r>
  <r>
    <s v="ORD0265"/>
    <s v="CUST0265"/>
    <d v="2024-07-29T00:00:00"/>
    <s v="Anjali Rao"/>
    <s v="Ahmedabad"/>
    <s v="Gujarat"/>
    <s v="West"/>
    <s v="Headphones"/>
    <s v="Accessories"/>
    <s v="Karan Singh"/>
    <n v="10"/>
    <n v="3000"/>
    <n v="1800"/>
    <n v="0.22"/>
    <n v="23400"/>
    <n v="18000"/>
    <n v="5400"/>
    <s v="Credit Card"/>
    <x v="3"/>
  </r>
  <r>
    <s v="ORD0266"/>
    <s v="CUST0266"/>
    <d v="2024-05-10T00:00:00"/>
    <s v="Neha Gupta"/>
    <s v="Warangal"/>
    <s v="Telangana"/>
    <s v="South"/>
    <s v="Headphones"/>
    <s v="Accessories"/>
    <s v="Neha Gupta"/>
    <n v="6"/>
    <n v="3000"/>
    <n v="1800"/>
    <n v="0.2"/>
    <n v="14400"/>
    <n v="10800"/>
    <n v="3600"/>
    <s v="Credit Card"/>
    <x v="3"/>
  </r>
  <r>
    <s v="ORD0267"/>
    <s v="CUST0267"/>
    <d v="2024-05-12T00:00:00"/>
    <s v="Vikram Singh"/>
    <s v="Kolkata"/>
    <s v="West Bengal"/>
    <s v="East"/>
    <s v="Keyboard"/>
    <s v="Accessories"/>
    <s v="Priya Nair"/>
    <n v="1"/>
    <n v="1500"/>
    <n v="900"/>
    <n v="0.03"/>
    <n v="1455"/>
    <n v="900"/>
    <n v="555"/>
    <s v="Credit Card"/>
    <x v="0"/>
  </r>
  <r>
    <s v="ORD0268"/>
    <s v="CUST0268"/>
    <d v="2025-02-02T00:00:00"/>
    <s v="Meera Shah"/>
    <s v="Pune"/>
    <s v="Maharashtra"/>
    <s v="West"/>
    <s v="Printer"/>
    <s v="Office"/>
    <s v="Pooja Das"/>
    <n v="4"/>
    <n v="15000"/>
    <n v="11500"/>
    <n v="0.21"/>
    <n v="47400"/>
    <n v="46000"/>
    <n v="1400"/>
    <s v="Credit Card"/>
    <x v="1"/>
  </r>
  <r>
    <s v="ORD0269"/>
    <s v="CUST0269"/>
    <d v="2025-08-04T00:00:00"/>
    <s v="Anjali Rao"/>
    <s v="Coimbatore"/>
    <s v="Tamil Nadu"/>
    <s v="South"/>
    <s v="Headphones"/>
    <s v="Accessories"/>
    <s v="Vikram Joshi"/>
    <n v="9"/>
    <n v="3000"/>
    <n v="1800"/>
    <n v="0.09"/>
    <n v="24570"/>
    <n v="16200"/>
    <n v="8370"/>
    <s v="Debit Card"/>
    <x v="2"/>
  </r>
  <r>
    <s v="ORD0270"/>
    <s v="CUST0270"/>
    <d v="2024-09-03T00:00:00"/>
    <s v="Pooja Das"/>
    <s v="Kolkata"/>
    <s v="West Bengal"/>
    <s v="East"/>
    <s v="Smartphone"/>
    <s v="Electronics"/>
    <s v="Karan Singh"/>
    <n v="4"/>
    <n v="35000"/>
    <n v="28000"/>
    <n v="7.0000000000000007E-2"/>
    <n v="130199.99999999999"/>
    <n v="112000"/>
    <n v="18199.999999999985"/>
    <s v="Debit Card"/>
    <x v="3"/>
  </r>
  <r>
    <s v="ORD0271"/>
    <s v="CUST0271"/>
    <d v="2024-10-24T00:00:00"/>
    <s v="Kavya Reddy"/>
    <s v="Ahmedabad"/>
    <s v="Gujarat"/>
    <s v="West"/>
    <s v="Headphones"/>
    <s v="Accessories"/>
    <s v="Karan Singh"/>
    <n v="8"/>
    <n v="3000"/>
    <n v="1800"/>
    <n v="0.2"/>
    <n v="19200"/>
    <n v="14400"/>
    <n v="4800"/>
    <s v="Debit Card"/>
    <x v="0"/>
  </r>
  <r>
    <s v="ORD0272"/>
    <s v="CUST0272"/>
    <d v="2025-07-24T00:00:00"/>
    <s v="Nikhil Jain"/>
    <s v="Surat"/>
    <s v="Gujarat"/>
    <s v="West"/>
    <s v="Smartphone"/>
    <s v="Electronics"/>
    <s v="Amit Sharma"/>
    <n v="2"/>
    <n v="35000"/>
    <n v="28000"/>
    <n v="0.04"/>
    <n v="67200"/>
    <n v="56000"/>
    <n v="11200"/>
    <s v="Cash"/>
    <x v="3"/>
  </r>
  <r>
    <s v="ORD0273"/>
    <s v="CUST0273"/>
    <d v="2024-01-05T00:00:00"/>
    <s v="Sneha Nair"/>
    <s v="New Delhi"/>
    <s v="Delhi"/>
    <s v="North"/>
    <s v="Printer"/>
    <s v="Office"/>
    <s v="Pooja Das"/>
    <n v="3"/>
    <n v="15000"/>
    <n v="11500"/>
    <n v="0.02"/>
    <n v="44100"/>
    <n v="34500"/>
    <n v="9600"/>
    <s v="UPI"/>
    <x v="1"/>
  </r>
  <r>
    <s v="ORD0274"/>
    <s v="CUST0274"/>
    <d v="2024-03-05T00:00:00"/>
    <s v="Divya Menon"/>
    <s v="Warangal"/>
    <s v="Telangana"/>
    <s v="South"/>
    <s v="Mouse"/>
    <s v="Accessories"/>
    <s v="Anjali Mehta"/>
    <n v="3"/>
    <n v="800"/>
    <n v="450"/>
    <n v="0.2"/>
    <n v="1920"/>
    <n v="1350"/>
    <n v="570"/>
    <s v="UPI"/>
    <x v="2"/>
  </r>
  <r>
    <s v="ORD0275"/>
    <s v="CUST0275"/>
    <d v="2024-01-25T00:00:00"/>
    <s v="Amit Kumar"/>
    <s v="Bengaluru"/>
    <s v="Karnataka"/>
    <s v="South"/>
    <s v="Mouse"/>
    <s v="Accessories"/>
    <s v="Rahul Verma"/>
    <n v="2"/>
    <n v="800"/>
    <n v="450"/>
    <n v="0.15"/>
    <n v="1360"/>
    <n v="900"/>
    <n v="460"/>
    <s v="UPI"/>
    <x v="1"/>
  </r>
  <r>
    <s v="ORD0276"/>
    <s v="CUST0276"/>
    <d v="2025-06-11T00:00:00"/>
    <s v="Divya Menon"/>
    <s v="Mumbai"/>
    <s v="Maharashtra"/>
    <s v="West"/>
    <s v="Smartphone"/>
    <s v="Electronics"/>
    <s v="Sneha Patil"/>
    <n v="6"/>
    <n v="35000"/>
    <n v="28000"/>
    <n v="0.02"/>
    <n v="205800"/>
    <n v="168000"/>
    <n v="37800"/>
    <s v="Debit Card"/>
    <x v="2"/>
  </r>
  <r>
    <s v="ORD0277"/>
    <s v="CUST0277"/>
    <d v="2025-08-30T00:00:00"/>
    <s v="Karan Joshi"/>
    <s v="Warangal"/>
    <s v="Telangana"/>
    <s v="South"/>
    <s v="Headphones"/>
    <s v="Accessories"/>
    <s v="Arjun Rao"/>
    <n v="2"/>
    <n v="3000"/>
    <n v="1800"/>
    <n v="0.1"/>
    <n v="5400"/>
    <n v="3600"/>
    <n v="1800"/>
    <s v="Cash"/>
    <x v="1"/>
  </r>
  <r>
    <s v="ORD0278"/>
    <s v="CUST0278"/>
    <d v="2024-08-13T00:00:00"/>
    <s v="Pooja Das"/>
    <s v="New Delhi"/>
    <s v="Delhi"/>
    <s v="North"/>
    <s v="Speaker"/>
    <s v="Electronics"/>
    <s v="Amit Sharma"/>
    <n v="6"/>
    <n v="5000"/>
    <n v="3200"/>
    <n v="0.19"/>
    <n v="24300"/>
    <n v="19200"/>
    <n v="5100"/>
    <s v="Credit Card"/>
    <x v="1"/>
  </r>
  <r>
    <s v="ORD0279"/>
    <s v="CUST0279"/>
    <d v="2025-07-12T00:00:00"/>
    <s v="Pooja Das"/>
    <s v="Pune"/>
    <s v="Maharashtra"/>
    <s v="West"/>
    <s v="Speaker"/>
    <s v="Electronics"/>
    <s v="Rahul Verma"/>
    <n v="7"/>
    <n v="5000"/>
    <n v="3200"/>
    <n v="0.01"/>
    <n v="34650"/>
    <n v="22400"/>
    <n v="12250"/>
    <s v="UPI"/>
    <x v="2"/>
  </r>
  <r>
    <s v="ORD0280"/>
    <s v="CUST0280"/>
    <d v="2024-06-27T00:00:00"/>
    <s v="Meera Shah"/>
    <s v="Kolkata"/>
    <s v="West Bengal"/>
    <s v="East"/>
    <s v="Smartphone"/>
    <s v="Electronics"/>
    <s v="Karan Singh"/>
    <n v="10"/>
    <n v="35000"/>
    <n v="28000"/>
    <n v="0.02"/>
    <n v="343000"/>
    <n v="280000"/>
    <n v="63000"/>
    <s v="Cash"/>
    <x v="0"/>
  </r>
  <r>
    <s v="ORD0281"/>
    <s v="CUST0281"/>
    <d v="2024-02-26T00:00:00"/>
    <s v="Suresh Iyer"/>
    <s v="Coimbatore"/>
    <s v="Tamil Nadu"/>
    <s v="South"/>
    <s v="Printer"/>
    <s v="Office"/>
    <s v="Arjun Rao"/>
    <n v="5"/>
    <n v="15000"/>
    <n v="11500"/>
    <n v="0.09"/>
    <n v="68250"/>
    <n v="57500"/>
    <n v="10750"/>
    <s v="UPI"/>
    <x v="2"/>
  </r>
  <r>
    <s v="ORD0282"/>
    <s v="CUST0282"/>
    <d v="2025-08-13T00:00:00"/>
    <s v="Suresh Iyer"/>
    <s v="New Delhi"/>
    <s v="Delhi"/>
    <s v="North"/>
    <s v="Monitor"/>
    <s v="Office"/>
    <s v="Vikram Joshi"/>
    <n v="9"/>
    <n v="18000"/>
    <n v="14000"/>
    <n v="7.0000000000000007E-2"/>
    <n v="150660"/>
    <n v="126000"/>
    <n v="24660"/>
    <s v="UPI"/>
    <x v="2"/>
  </r>
  <r>
    <s v="ORD0283"/>
    <s v="CUST0283"/>
    <d v="2024-01-19T00:00:00"/>
    <s v="Priya Patel"/>
    <s v="Mysuru"/>
    <s v="Karnataka"/>
    <s v="South"/>
    <s v="Smartwatch"/>
    <s v="Wearables"/>
    <s v="Pooja Das"/>
    <n v="7"/>
    <n v="12000"/>
    <n v="8500"/>
    <n v="0.1"/>
    <n v="75600"/>
    <n v="59500"/>
    <n v="16100"/>
    <s v="Credit Card"/>
    <x v="1"/>
  </r>
  <r>
    <s v="ORD0284"/>
    <s v="CUST0284"/>
    <d v="2024-04-24T00:00:00"/>
    <s v="Divya Menon"/>
    <s v="Chennai"/>
    <s v="Tamil Nadu"/>
    <s v="South"/>
    <s v="Speaker"/>
    <s v="Electronics"/>
    <s v="Sneha Patil"/>
    <n v="10"/>
    <n v="5000"/>
    <n v="3200"/>
    <n v="0.24"/>
    <n v="38000"/>
    <n v="32000"/>
    <n v="6000"/>
    <s v="UPI"/>
    <x v="3"/>
  </r>
  <r>
    <s v="ORD0285"/>
    <s v="CUST0285"/>
    <d v="2024-01-18T00:00:00"/>
    <s v="Neha Gupta"/>
    <s v="Surat"/>
    <s v="Gujarat"/>
    <s v="West"/>
    <s v="Smartwatch"/>
    <s v="Wearables"/>
    <s v="Neha Gupta"/>
    <n v="10"/>
    <n v="12000"/>
    <n v="8500"/>
    <n v="0.15"/>
    <n v="102000"/>
    <n v="85000"/>
    <n v="17000"/>
    <s v="UPI"/>
    <x v="2"/>
  </r>
  <r>
    <s v="ORD0286"/>
    <s v="CUST0286"/>
    <d v="2025-10-01T00:00:00"/>
    <s v="Pooja Das"/>
    <s v="Chennai"/>
    <s v="Tamil Nadu"/>
    <s v="South"/>
    <s v="Laptop"/>
    <s v="Electronics"/>
    <s v="Rahul Verma"/>
    <n v="2"/>
    <n v="65000"/>
    <n v="52000"/>
    <n v="0.21"/>
    <n v="102700"/>
    <n v="104000"/>
    <n v="-1300"/>
    <s v="Cash"/>
    <x v="1"/>
  </r>
  <r>
    <s v="ORD0287"/>
    <s v="CUST0287"/>
    <d v="2024-08-01T00:00:00"/>
    <s v="Suresh Iyer"/>
    <s v="Hyderabad"/>
    <s v="Telangana"/>
    <s v="South"/>
    <s v="Laptop"/>
    <s v="Electronics"/>
    <s v="Vikram Joshi"/>
    <n v="4"/>
    <n v="65000"/>
    <n v="52000"/>
    <n v="0.3"/>
    <n v="182000"/>
    <n v="208000"/>
    <n v="-26000"/>
    <s v="UPI"/>
    <x v="0"/>
  </r>
  <r>
    <s v="ORD0288"/>
    <s v="CUST0288"/>
    <d v="2025-12-05T00:00:00"/>
    <s v="Rohit Verma"/>
    <s v="Mumbai"/>
    <s v="Maharashtra"/>
    <s v="West"/>
    <s v="Smartwatch"/>
    <s v="Wearables"/>
    <s v="Amit Sharma"/>
    <n v="5"/>
    <n v="12000"/>
    <n v="8500"/>
    <n v="0.24"/>
    <n v="45600"/>
    <n v="42500"/>
    <n v="3100"/>
    <s v="Credit Card"/>
    <x v="1"/>
  </r>
  <r>
    <s v="ORD0289"/>
    <s v="CUST0289"/>
    <d v="2025-03-24T00:00:00"/>
    <s v="Rahul Sharma"/>
    <s v="Surat"/>
    <s v="Gujarat"/>
    <s v="West"/>
    <s v="Mouse"/>
    <s v="Accessories"/>
    <s v="Rahul Verma"/>
    <n v="1"/>
    <n v="800"/>
    <n v="450"/>
    <n v="0.28999999999999998"/>
    <n v="568"/>
    <n v="450"/>
    <n v="118"/>
    <s v="Debit Card"/>
    <x v="1"/>
  </r>
  <r>
    <s v="ORD0290"/>
    <s v="CUST0290"/>
    <d v="2025-10-25T00:00:00"/>
    <s v="Divya Menon"/>
    <s v="Coimbatore"/>
    <s v="Tamil Nadu"/>
    <s v="South"/>
    <s v="Speaker"/>
    <s v="Electronics"/>
    <s v="Arjun Rao"/>
    <n v="10"/>
    <n v="5000"/>
    <n v="3200"/>
    <n v="0.26"/>
    <n v="37000"/>
    <n v="32000"/>
    <n v="5000"/>
    <s v="Debit Card"/>
    <x v="2"/>
  </r>
  <r>
    <s v="ORD0291"/>
    <s v="CUST0291"/>
    <d v="2024-10-17T00:00:00"/>
    <s v="Aisha Khan"/>
    <s v="Surat"/>
    <s v="Gujarat"/>
    <s v="West"/>
    <s v="Mouse"/>
    <s v="Accessories"/>
    <s v="Rahul Verma"/>
    <n v="4"/>
    <n v="800"/>
    <n v="450"/>
    <n v="0.17"/>
    <n v="2656"/>
    <n v="1800"/>
    <n v="856"/>
    <s v="Cash"/>
    <x v="0"/>
  </r>
  <r>
    <s v="ORD0292"/>
    <s v="CUST0292"/>
    <d v="2025-03-24T00:00:00"/>
    <s v="Suresh Iyer"/>
    <s v="Pune"/>
    <s v="Maharashtra"/>
    <s v="West"/>
    <s v="Keyboard"/>
    <s v="Accessories"/>
    <s v="Arjun Rao"/>
    <n v="9"/>
    <n v="1500"/>
    <n v="900"/>
    <n v="0.22"/>
    <n v="10530"/>
    <n v="8100"/>
    <n v="2430"/>
    <s v="Debit Card"/>
    <x v="0"/>
  </r>
  <r>
    <s v="ORD0293"/>
    <s v="CUST0293"/>
    <d v="2025-04-29T00:00:00"/>
    <s v="Aisha Khan"/>
    <s v="Kolkata"/>
    <s v="West Bengal"/>
    <s v="East"/>
    <s v="Tablet"/>
    <s v="Electronics"/>
    <s v="Anjali Mehta"/>
    <n v="2"/>
    <n v="25000"/>
    <n v="20000"/>
    <n v="0.23"/>
    <n v="38500"/>
    <n v="40000"/>
    <n v="-1500"/>
    <s v="Credit Card"/>
    <x v="0"/>
  </r>
  <r>
    <s v="ORD0294"/>
    <s v="CUST0294"/>
    <d v="2025-09-18T00:00:00"/>
    <s v="Neha Gupta"/>
    <s v="New Delhi"/>
    <s v="Delhi"/>
    <s v="North"/>
    <s v="Monitor"/>
    <s v="Office"/>
    <s v="Pooja Das"/>
    <n v="4"/>
    <n v="18000"/>
    <n v="14000"/>
    <n v="0.1"/>
    <n v="64800"/>
    <n v="56000"/>
    <n v="8800"/>
    <s v="Net Banking"/>
    <x v="0"/>
  </r>
  <r>
    <s v="ORD0295"/>
    <s v="CUST0295"/>
    <d v="2024-08-24T00:00:00"/>
    <s v="Rohit Verma"/>
    <s v="Jaipur"/>
    <s v="Rajasthan"/>
    <s v="North"/>
    <s v="Laptop"/>
    <s v="Electronics"/>
    <s v="Karan Singh"/>
    <n v="8"/>
    <n v="65000"/>
    <n v="52000"/>
    <n v="0.11"/>
    <n v="462800"/>
    <n v="416000"/>
    <n v="46800"/>
    <s v="UPI"/>
    <x v="2"/>
  </r>
  <r>
    <s v="ORD0296"/>
    <s v="CUST0296"/>
    <d v="2025-05-03T00:00:00"/>
    <s v="Rahul Sharma"/>
    <s v="New Delhi"/>
    <s v="Delhi"/>
    <s v="North"/>
    <s v="Laptop"/>
    <s v="Electronics"/>
    <s v="Vikram Joshi"/>
    <n v="6"/>
    <n v="65000"/>
    <n v="52000"/>
    <n v="0.15"/>
    <n v="331500"/>
    <n v="312000"/>
    <n v="19500"/>
    <s v="Net Banking"/>
    <x v="1"/>
  </r>
  <r>
    <s v="ORD0297"/>
    <s v="CUST0297"/>
    <d v="2024-10-22T00:00:00"/>
    <s v="Suresh Iyer"/>
    <s v="Bengaluru"/>
    <s v="Karnataka"/>
    <s v="South"/>
    <s v="Keyboard"/>
    <s v="Accessories"/>
    <s v="Rahul Verma"/>
    <n v="6"/>
    <n v="1500"/>
    <n v="900"/>
    <n v="0.15"/>
    <n v="7650"/>
    <n v="5400"/>
    <n v="2250"/>
    <s v="Credit Card"/>
    <x v="3"/>
  </r>
  <r>
    <s v="ORD0298"/>
    <s v="CUST0298"/>
    <d v="2024-07-08T00:00:00"/>
    <s v="Karan Joshi"/>
    <s v="Kolkata"/>
    <s v="West Bengal"/>
    <s v="East"/>
    <s v="Keyboard"/>
    <s v="Accessories"/>
    <s v="Priya Nair"/>
    <n v="3"/>
    <n v="1500"/>
    <n v="900"/>
    <n v="0.15"/>
    <n v="3825"/>
    <n v="2700"/>
    <n v="1125"/>
    <s v="Cash"/>
    <x v="0"/>
  </r>
  <r>
    <s v="ORD0299"/>
    <s v="CUST0299"/>
    <d v="2025-10-09T00:00:00"/>
    <s v="Arjun Mehta"/>
    <s v="Hyderabad"/>
    <s v="Telangana"/>
    <s v="South"/>
    <s v="Headphones"/>
    <s v="Accessories"/>
    <s v="Karan Singh"/>
    <n v="9"/>
    <n v="3000"/>
    <n v="1800"/>
    <n v="0.3"/>
    <n v="18900"/>
    <n v="16200"/>
    <n v="2700"/>
    <s v="UPI"/>
    <x v="1"/>
  </r>
  <r>
    <s v="ORD0300"/>
    <s v="CUST0300"/>
    <d v="2025-12-19T00:00:00"/>
    <s v="Rohit Verma"/>
    <s v="Jaipur"/>
    <s v="Rajasthan"/>
    <s v="North"/>
    <s v="Headphones"/>
    <s v="Accessories"/>
    <s v="Arjun Rao"/>
    <n v="7"/>
    <n v="3000"/>
    <n v="1800"/>
    <n v="0.22"/>
    <n v="16380"/>
    <n v="12600"/>
    <n v="3780"/>
    <s v="UPI"/>
    <x v="0"/>
  </r>
  <r>
    <s v="ORD0301"/>
    <s v="CUST0301"/>
    <d v="2024-04-14T00:00:00"/>
    <s v="Rahul Sharma"/>
    <s v="Pune"/>
    <s v="Maharashtra"/>
    <s v="West"/>
    <s v="Mouse"/>
    <s v="Accessories"/>
    <s v="Neha Gupta"/>
    <n v="3"/>
    <n v="800"/>
    <n v="450"/>
    <n v="0.18"/>
    <n v="1968.0000000000002"/>
    <n v="1350"/>
    <n v="618.00000000000023"/>
    <s v="Debit Card"/>
    <x v="1"/>
  </r>
  <r>
    <s v="ORD0302"/>
    <s v="CUST0302"/>
    <d v="2024-05-17T00:00:00"/>
    <s v="Aditya Mishra"/>
    <s v="Jaipur"/>
    <s v="Rajasthan"/>
    <s v="North"/>
    <s v="Speaker"/>
    <s v="Electronics"/>
    <s v="Amit Sharma"/>
    <n v="6"/>
    <n v="5000"/>
    <n v="3200"/>
    <n v="0.19"/>
    <n v="24300"/>
    <n v="19200"/>
    <n v="5100"/>
    <s v="Credit Card"/>
    <x v="2"/>
  </r>
  <r>
    <s v="ORD0303"/>
    <s v="CUST0303"/>
    <d v="2024-03-03T00:00:00"/>
    <s v="Aditya Mishra"/>
    <s v="Surat"/>
    <s v="Gujarat"/>
    <s v="West"/>
    <s v="Monitor"/>
    <s v="Office"/>
    <s v="Sneha Patil"/>
    <n v="10"/>
    <n v="18000"/>
    <n v="14000"/>
    <n v="0.12"/>
    <n v="158400"/>
    <n v="140000"/>
    <n v="18400"/>
    <s v="Credit Card"/>
    <x v="0"/>
  </r>
  <r>
    <s v="ORD0304"/>
    <s v="CUST0304"/>
    <d v="2025-06-04T00:00:00"/>
    <s v="Divya Menon"/>
    <s v="Jaipur"/>
    <s v="Rajasthan"/>
    <s v="North"/>
    <s v="Mouse"/>
    <s v="Accessories"/>
    <s v="Anjali Mehta"/>
    <n v="2"/>
    <n v="800"/>
    <n v="450"/>
    <n v="0.28999999999999998"/>
    <n v="1136"/>
    <n v="900"/>
    <n v="236"/>
    <s v="Debit Card"/>
    <x v="0"/>
  </r>
  <r>
    <s v="ORD0305"/>
    <s v="CUST0305"/>
    <d v="2025-05-27T00:00:00"/>
    <s v="Amit Kumar"/>
    <s v="Jaipur"/>
    <s v="Rajasthan"/>
    <s v="North"/>
    <s v="Speaker"/>
    <s v="Electronics"/>
    <s v="Anjali Mehta"/>
    <n v="1"/>
    <n v="5000"/>
    <n v="3200"/>
    <n v="0.06"/>
    <n v="4700"/>
    <n v="3200"/>
    <n v="1500"/>
    <s v="Cash"/>
    <x v="3"/>
  </r>
  <r>
    <s v="ORD0306"/>
    <s v="CUST0306"/>
    <d v="2025-04-16T00:00:00"/>
    <s v="Divya Menon"/>
    <s v="Coimbatore"/>
    <s v="Tamil Nadu"/>
    <s v="South"/>
    <s v="Mouse"/>
    <s v="Accessories"/>
    <s v="Neha Gupta"/>
    <n v="9"/>
    <n v="800"/>
    <n v="450"/>
    <n v="0.21"/>
    <n v="5688"/>
    <n v="4050"/>
    <n v="1638"/>
    <s v="Net Banking"/>
    <x v="3"/>
  </r>
  <r>
    <s v="ORD0307"/>
    <s v="CUST0307"/>
    <d v="2024-04-06T00:00:00"/>
    <s v="Neha Gupta"/>
    <s v="Mumbai"/>
    <s v="Maharashtra"/>
    <s v="West"/>
    <s v="Keyboard"/>
    <s v="Accessories"/>
    <s v="Vikram Joshi"/>
    <n v="2"/>
    <n v="1500"/>
    <n v="900"/>
    <n v="0.02"/>
    <n v="2940"/>
    <n v="1800"/>
    <n v="1140"/>
    <s v="UPI"/>
    <x v="3"/>
  </r>
  <r>
    <s v="ORD0308"/>
    <s v="CUST0308"/>
    <d v="2025-11-12T00:00:00"/>
    <s v="Kavya Reddy"/>
    <s v="Surat"/>
    <s v="Gujarat"/>
    <s v="West"/>
    <s v="Mouse"/>
    <s v="Accessories"/>
    <s v="Pooja Das"/>
    <n v="7"/>
    <n v="800"/>
    <n v="450"/>
    <n v="0.09"/>
    <n v="5096"/>
    <n v="3150"/>
    <n v="1946"/>
    <s v="Debit Card"/>
    <x v="2"/>
  </r>
  <r>
    <s v="ORD0309"/>
    <s v="CUST0309"/>
    <d v="2025-08-29T00:00:00"/>
    <s v="Sneha Nair"/>
    <s v="Mumbai"/>
    <s v="Maharashtra"/>
    <s v="West"/>
    <s v="Speaker"/>
    <s v="Electronics"/>
    <s v="Vikram Joshi"/>
    <n v="1"/>
    <n v="5000"/>
    <n v="3200"/>
    <n v="0.25"/>
    <n v="3750"/>
    <n v="3200"/>
    <n v="550"/>
    <s v="Debit Card"/>
    <x v="0"/>
  </r>
  <r>
    <s v="ORD0310"/>
    <s v="CUST0310"/>
    <d v="2024-05-10T00:00:00"/>
    <s v="Pooja Das"/>
    <s v="Coimbatore"/>
    <s v="Tamil Nadu"/>
    <s v="South"/>
    <s v="Headphones"/>
    <s v="Accessories"/>
    <s v="Neha Gupta"/>
    <n v="7"/>
    <n v="3000"/>
    <n v="1800"/>
    <n v="0.15"/>
    <n v="17850"/>
    <n v="12600"/>
    <n v="5250"/>
    <s v="Credit Card"/>
    <x v="0"/>
  </r>
  <r>
    <s v="ORD0311"/>
    <s v="CUST0311"/>
    <d v="2024-03-30T00:00:00"/>
    <s v="Rohit Verma"/>
    <s v="Warangal"/>
    <s v="Telangana"/>
    <s v="South"/>
    <s v="Smartphone"/>
    <s v="Electronics"/>
    <s v="Priya Nair"/>
    <n v="3"/>
    <n v="35000"/>
    <n v="28000"/>
    <n v="0.02"/>
    <n v="102900"/>
    <n v="84000"/>
    <n v="18900"/>
    <s v="Debit Card"/>
    <x v="3"/>
  </r>
  <r>
    <s v="ORD0312"/>
    <s v="CUST0312"/>
    <d v="2025-03-06T00:00:00"/>
    <s v="Kavya Reddy"/>
    <s v="Surat"/>
    <s v="Gujarat"/>
    <s v="West"/>
    <s v="Smartphone"/>
    <s v="Electronics"/>
    <s v="Pooja Das"/>
    <n v="6"/>
    <n v="35000"/>
    <n v="28000"/>
    <n v="0.15"/>
    <n v="178500"/>
    <n v="168000"/>
    <n v="10500"/>
    <s v="Cash"/>
    <x v="2"/>
  </r>
  <r>
    <s v="ORD0313"/>
    <s v="CUST0313"/>
    <d v="2025-11-13T00:00:00"/>
    <s v="Suresh Iyer"/>
    <s v="Bengaluru"/>
    <s v="Karnataka"/>
    <s v="South"/>
    <s v="Headphones"/>
    <s v="Accessories"/>
    <s v="Karan Singh"/>
    <n v="9"/>
    <n v="3000"/>
    <n v="1800"/>
    <n v="0.3"/>
    <n v="18900"/>
    <n v="16200"/>
    <n v="2700"/>
    <s v="Debit Card"/>
    <x v="3"/>
  </r>
  <r>
    <s v="ORD0314"/>
    <s v="CUST0314"/>
    <d v="2024-12-21T00:00:00"/>
    <s v="Arjun Mehta"/>
    <s v="Hyderabad"/>
    <s v="Telangana"/>
    <s v="South"/>
    <s v="Printer"/>
    <s v="Office"/>
    <s v="Rahul Verma"/>
    <n v="6"/>
    <n v="15000"/>
    <n v="11500"/>
    <n v="0.23"/>
    <n v="69300"/>
    <n v="69000"/>
    <n v="300"/>
    <s v="Cash"/>
    <x v="0"/>
  </r>
  <r>
    <s v="ORD0315"/>
    <s v="CUST0315"/>
    <d v="2025-07-27T00:00:00"/>
    <s v="Aditya Mishra"/>
    <s v="Mumbai"/>
    <s v="Maharashtra"/>
    <s v="West"/>
    <s v="Tablet"/>
    <s v="Electronics"/>
    <s v="Rahul Verma"/>
    <n v="3"/>
    <n v="25000"/>
    <n v="20000"/>
    <n v="0.05"/>
    <n v="71250"/>
    <n v="60000"/>
    <n v="11250"/>
    <s v="Debit Card"/>
    <x v="1"/>
  </r>
  <r>
    <s v="ORD0316"/>
    <s v="CUST0316"/>
    <d v="2024-07-18T00:00:00"/>
    <s v="Vikram Singh"/>
    <s v="Bengaluru"/>
    <s v="Karnataka"/>
    <s v="South"/>
    <s v="Keyboard"/>
    <s v="Accessories"/>
    <s v="Arjun Rao"/>
    <n v="4"/>
    <n v="1500"/>
    <n v="900"/>
    <n v="0.13"/>
    <n v="5220"/>
    <n v="3600"/>
    <n v="1620"/>
    <s v="Net Banking"/>
    <x v="2"/>
  </r>
  <r>
    <s v="ORD0317"/>
    <s v="CUST0317"/>
    <d v="2024-07-12T00:00:00"/>
    <s v="Kavya Reddy"/>
    <s v="Ahmedabad"/>
    <s v="Gujarat"/>
    <s v="West"/>
    <s v="Monitor"/>
    <s v="Office"/>
    <s v="Rahul Verma"/>
    <n v="8"/>
    <n v="18000"/>
    <n v="14000"/>
    <n v="0.09"/>
    <n v="131040"/>
    <n v="112000"/>
    <n v="19040"/>
    <s v="Debit Card"/>
    <x v="2"/>
  </r>
  <r>
    <s v="ORD0318"/>
    <s v="CUST0318"/>
    <d v="2025-03-08T00:00:00"/>
    <s v="Rohan Kulkarni"/>
    <s v="Ahmedabad"/>
    <s v="Gujarat"/>
    <s v="West"/>
    <s v="Printer"/>
    <s v="Office"/>
    <s v="Rahul Verma"/>
    <n v="9"/>
    <n v="15000"/>
    <n v="11500"/>
    <n v="0.1"/>
    <n v="121500"/>
    <n v="103500"/>
    <n v="18000"/>
    <s v="UPI"/>
    <x v="0"/>
  </r>
  <r>
    <s v="ORD0319"/>
    <s v="CUST0319"/>
    <d v="2025-02-10T00:00:00"/>
    <s v="Vikram Singh"/>
    <s v="Kolkata"/>
    <s v="West Bengal"/>
    <s v="East"/>
    <s v="Headphones"/>
    <s v="Accessories"/>
    <s v="Arjun Rao"/>
    <n v="2"/>
    <n v="3000"/>
    <n v="1800"/>
    <n v="0.04"/>
    <n v="5760"/>
    <n v="3600"/>
    <n v="2160"/>
    <s v="Credit Card"/>
    <x v="1"/>
  </r>
  <r>
    <s v="ORD0320"/>
    <s v="CUST0320"/>
    <d v="2025-01-15T00:00:00"/>
    <s v="Pooja Das"/>
    <s v="Pune"/>
    <s v="Maharashtra"/>
    <s v="West"/>
    <s v="Keyboard"/>
    <s v="Accessories"/>
    <s v="Neha Gupta"/>
    <n v="4"/>
    <n v="1500"/>
    <n v="900"/>
    <n v="0.12"/>
    <n v="5280"/>
    <n v="3600"/>
    <n v="1680"/>
    <s v="UPI"/>
    <x v="2"/>
  </r>
  <r>
    <s v="ORD0321"/>
    <s v="CUST0321"/>
    <d v="2025-09-25T00:00:00"/>
    <s v="Divya Menon"/>
    <s v="Coimbatore"/>
    <s v="Tamil Nadu"/>
    <s v="South"/>
    <s v="Smartwatch"/>
    <s v="Wearables"/>
    <s v="Priya Nair"/>
    <n v="9"/>
    <n v="12000"/>
    <n v="8500"/>
    <n v="0.19"/>
    <n v="87480"/>
    <n v="76500"/>
    <n v="10980"/>
    <s v="Cash"/>
    <x v="2"/>
  </r>
  <r>
    <s v="ORD0322"/>
    <s v="CUST0322"/>
    <d v="2025-11-27T00:00:00"/>
    <s v="Aisha Khan"/>
    <s v="Surat"/>
    <s v="Gujarat"/>
    <s v="West"/>
    <s v="Headphones"/>
    <s v="Accessories"/>
    <s v="Sneha Patil"/>
    <n v="9"/>
    <n v="3000"/>
    <n v="1800"/>
    <n v="0.25"/>
    <n v="20250"/>
    <n v="16200"/>
    <n v="4050"/>
    <s v="Credit Card"/>
    <x v="1"/>
  </r>
  <r>
    <s v="ORD0323"/>
    <s v="CUST0323"/>
    <d v="2025-09-01T00:00:00"/>
    <s v="Rahul Sharma"/>
    <s v="Jaipur"/>
    <s v="Rajasthan"/>
    <s v="North"/>
    <s v="Smartwatch"/>
    <s v="Wearables"/>
    <s v="Arjun Rao"/>
    <n v="8"/>
    <n v="12000"/>
    <n v="8500"/>
    <n v="0.28999999999999998"/>
    <n v="68160"/>
    <n v="68000"/>
    <n v="160"/>
    <s v="Net Banking"/>
    <x v="0"/>
  </r>
  <r>
    <s v="ORD0324"/>
    <s v="CUST0324"/>
    <d v="2024-01-15T00:00:00"/>
    <s v="Sneha Nair"/>
    <s v="Coimbatore"/>
    <s v="Tamil Nadu"/>
    <s v="South"/>
    <s v="Keyboard"/>
    <s v="Accessories"/>
    <s v="Vikram Joshi"/>
    <n v="5"/>
    <n v="1500"/>
    <n v="900"/>
    <n v="0.28999999999999998"/>
    <n v="5325"/>
    <n v="4500"/>
    <n v="825"/>
    <s v="Net Banking"/>
    <x v="3"/>
  </r>
  <r>
    <s v="ORD0325"/>
    <s v="CUST0325"/>
    <d v="2024-03-02T00:00:00"/>
    <s v="Aisha Khan"/>
    <s v="Coimbatore"/>
    <s v="Tamil Nadu"/>
    <s v="South"/>
    <s v="Speaker"/>
    <s v="Electronics"/>
    <s v="Anjali Mehta"/>
    <n v="1"/>
    <n v="5000"/>
    <n v="3200"/>
    <n v="0.05"/>
    <n v="4750"/>
    <n v="3200"/>
    <n v="1550"/>
    <s v="Credit Card"/>
    <x v="0"/>
  </r>
  <r>
    <s v="ORD0326"/>
    <s v="CUST0326"/>
    <d v="2025-07-01T00:00:00"/>
    <s v="Aisha Khan"/>
    <s v="New Delhi"/>
    <s v="Delhi"/>
    <s v="North"/>
    <s v="Laptop"/>
    <s v="Electronics"/>
    <s v="Vikram Joshi"/>
    <n v="7"/>
    <n v="65000"/>
    <n v="52000"/>
    <n v="0.21"/>
    <n v="359450"/>
    <n v="364000"/>
    <n v="-4550"/>
    <s v="Credit Card"/>
    <x v="2"/>
  </r>
  <r>
    <s v="ORD0327"/>
    <s v="CUST0327"/>
    <d v="2024-03-01T00:00:00"/>
    <s v="Aditya Mishra"/>
    <s v="Kolkata"/>
    <s v="West Bengal"/>
    <s v="East"/>
    <s v="Tablet"/>
    <s v="Electronics"/>
    <s v="Anjali Mehta"/>
    <n v="9"/>
    <n v="25000"/>
    <n v="20000"/>
    <n v="0.09"/>
    <n v="204750"/>
    <n v="180000"/>
    <n v="24750"/>
    <s v="Debit Card"/>
    <x v="0"/>
  </r>
  <r>
    <s v="ORD0328"/>
    <s v="CUST0328"/>
    <d v="2025-08-30T00:00:00"/>
    <s v="Kavya Reddy"/>
    <s v="Warangal"/>
    <s v="Telangana"/>
    <s v="South"/>
    <s v="Speaker"/>
    <s v="Electronics"/>
    <s v="Arjun Rao"/>
    <n v="7"/>
    <n v="5000"/>
    <n v="3200"/>
    <n v="0.12"/>
    <n v="30800"/>
    <n v="22400"/>
    <n v="8400"/>
    <s v="Cash"/>
    <x v="1"/>
  </r>
  <r>
    <s v="ORD0329"/>
    <s v="CUST0329"/>
    <d v="2024-01-30T00:00:00"/>
    <s v="Rohan Kulkarni"/>
    <s v="Jaipur"/>
    <s v="Rajasthan"/>
    <s v="North"/>
    <s v="Mouse"/>
    <s v="Accessories"/>
    <s v="Neha Gupta"/>
    <n v="3"/>
    <n v="800"/>
    <n v="450"/>
    <n v="0.24"/>
    <n v="1824"/>
    <n v="1350"/>
    <n v="474"/>
    <s v="Net Banking"/>
    <x v="0"/>
  </r>
  <r>
    <s v="ORD0330"/>
    <s v="CUST0330"/>
    <d v="2024-11-19T00:00:00"/>
    <s v="Rohan Kulkarni"/>
    <s v="Pune"/>
    <s v="Maharashtra"/>
    <s v="West"/>
    <s v="Monitor"/>
    <s v="Office"/>
    <s v="Pooja Das"/>
    <n v="5"/>
    <n v="18000"/>
    <n v="14000"/>
    <n v="0.27"/>
    <n v="65700"/>
    <n v="70000"/>
    <n v="-4300"/>
    <s v="Cash"/>
    <x v="0"/>
  </r>
  <r>
    <s v="ORD0331"/>
    <s v="CUST0331"/>
    <d v="2024-06-08T00:00:00"/>
    <s v="Kavya Reddy"/>
    <s v="Ahmedabad"/>
    <s v="Gujarat"/>
    <s v="West"/>
    <s v="Smartphone"/>
    <s v="Electronics"/>
    <s v="Vikram Joshi"/>
    <n v="6"/>
    <n v="35000"/>
    <n v="28000"/>
    <n v="0.23"/>
    <n v="161700"/>
    <n v="168000"/>
    <n v="-6300"/>
    <s v="Credit Card"/>
    <x v="1"/>
  </r>
  <r>
    <s v="ORD0332"/>
    <s v="CUST0332"/>
    <d v="2025-05-14T00:00:00"/>
    <s v="Anjali Rao"/>
    <s v="Surat"/>
    <s v="Gujarat"/>
    <s v="West"/>
    <s v="Tablet"/>
    <s v="Electronics"/>
    <s v="Sneha Patil"/>
    <n v="6"/>
    <n v="25000"/>
    <n v="20000"/>
    <n v="0.18"/>
    <n v="123000.00000000001"/>
    <n v="120000"/>
    <n v="3000.0000000000146"/>
    <s v="Credit Card"/>
    <x v="3"/>
  </r>
  <r>
    <s v="ORD0333"/>
    <s v="CUST0333"/>
    <d v="2024-06-14T00:00:00"/>
    <s v="Suresh Iyer"/>
    <s v="Mumbai"/>
    <s v="Maharashtra"/>
    <s v="West"/>
    <s v="Tablet"/>
    <s v="Electronics"/>
    <s v="Neha Gupta"/>
    <n v="2"/>
    <n v="25000"/>
    <n v="20000"/>
    <n v="0.05"/>
    <n v="47500"/>
    <n v="40000"/>
    <n v="7500"/>
    <s v="Credit Card"/>
    <x v="3"/>
  </r>
  <r>
    <s v="ORD0334"/>
    <s v="CUST0334"/>
    <d v="2025-12-30T00:00:00"/>
    <s v="Aisha Khan"/>
    <s v="New Delhi"/>
    <s v="Delhi"/>
    <s v="North"/>
    <s v="Headphones"/>
    <s v="Accessories"/>
    <s v="Rahul Verma"/>
    <n v="8"/>
    <n v="3000"/>
    <n v="1800"/>
    <n v="0.18"/>
    <n v="19680"/>
    <n v="14400"/>
    <n v="5280"/>
    <s v="UPI"/>
    <x v="1"/>
  </r>
  <r>
    <s v="ORD0335"/>
    <s v="CUST0335"/>
    <d v="2024-01-10T00:00:00"/>
    <s v="Sneha Nair"/>
    <s v="Surat"/>
    <s v="Gujarat"/>
    <s v="West"/>
    <s v="Printer"/>
    <s v="Office"/>
    <s v="Vikram Joshi"/>
    <n v="1"/>
    <n v="15000"/>
    <n v="11500"/>
    <n v="0.03"/>
    <n v="14550"/>
    <n v="11500"/>
    <n v="3050"/>
    <s v="Net Banking"/>
    <x v="0"/>
  </r>
  <r>
    <s v="ORD0336"/>
    <s v="CUST0336"/>
    <d v="2025-09-23T00:00:00"/>
    <s v="Amit Kumar"/>
    <s v="Bengaluru"/>
    <s v="Karnataka"/>
    <s v="South"/>
    <s v="Keyboard"/>
    <s v="Accessories"/>
    <s v="Vikram Joshi"/>
    <n v="4"/>
    <n v="1500"/>
    <n v="900"/>
    <n v="0.14000000000000001"/>
    <n v="5160"/>
    <n v="3600"/>
    <n v="1560"/>
    <s v="Net Banking"/>
    <x v="0"/>
  </r>
  <r>
    <s v="ORD0337"/>
    <s v="CUST0337"/>
    <d v="2025-10-04T00:00:00"/>
    <s v="Divya Menon"/>
    <s v="Pune"/>
    <s v="Maharashtra"/>
    <s v="West"/>
    <s v="Smartwatch"/>
    <s v="Wearables"/>
    <s v="Neha Gupta"/>
    <n v="1"/>
    <n v="12000"/>
    <n v="8500"/>
    <n v="0.18"/>
    <n v="9840"/>
    <n v="8500"/>
    <n v="1340"/>
    <s v="Net Banking"/>
    <x v="3"/>
  </r>
  <r>
    <s v="ORD0338"/>
    <s v="CUST0338"/>
    <d v="2024-10-05T00:00:00"/>
    <s v="Deepika Roy"/>
    <s v="Kolkata"/>
    <s v="West Bengal"/>
    <s v="East"/>
    <s v="Smartwatch"/>
    <s v="Wearables"/>
    <s v="Arjun Rao"/>
    <n v="9"/>
    <n v="12000"/>
    <n v="8500"/>
    <n v="0.03"/>
    <n v="104760"/>
    <n v="76500"/>
    <n v="28260"/>
    <s v="Net Banking"/>
    <x v="0"/>
  </r>
  <r>
    <s v="ORD0339"/>
    <s v="CUST0339"/>
    <d v="2025-08-17T00:00:00"/>
    <s v="Suresh Iyer"/>
    <s v="Surat"/>
    <s v="Gujarat"/>
    <s v="West"/>
    <s v="Keyboard"/>
    <s v="Accessories"/>
    <s v="Karan Singh"/>
    <n v="2"/>
    <n v="1500"/>
    <n v="900"/>
    <n v="0.08"/>
    <n v="2760"/>
    <n v="1800"/>
    <n v="960"/>
    <s v="UPI"/>
    <x v="0"/>
  </r>
  <r>
    <s v="ORD0340"/>
    <s v="CUST0340"/>
    <d v="2024-07-27T00:00:00"/>
    <s v="Arjun Mehta"/>
    <s v="Jaipur"/>
    <s v="Rajasthan"/>
    <s v="North"/>
    <s v="Laptop"/>
    <s v="Electronics"/>
    <s v="Neha Gupta"/>
    <n v="2"/>
    <n v="65000"/>
    <n v="52000"/>
    <n v="0.25"/>
    <n v="97500"/>
    <n v="104000"/>
    <n v="-6500"/>
    <s v="UPI"/>
    <x v="0"/>
  </r>
  <r>
    <s v="ORD0341"/>
    <s v="CUST0341"/>
    <d v="2024-02-05T00:00:00"/>
    <s v="Divya Menon"/>
    <s v="New Delhi"/>
    <s v="Delhi"/>
    <s v="North"/>
    <s v="Printer"/>
    <s v="Office"/>
    <s v="Karan Singh"/>
    <n v="3"/>
    <n v="15000"/>
    <n v="11500"/>
    <n v="0.25"/>
    <n v="33750"/>
    <n v="34500"/>
    <n v="-750"/>
    <s v="Debit Card"/>
    <x v="3"/>
  </r>
  <r>
    <s v="ORD0342"/>
    <s v="CUST0342"/>
    <d v="2025-07-18T00:00:00"/>
    <s v="Pooja Das"/>
    <s v="Coimbatore"/>
    <s v="Tamil Nadu"/>
    <s v="South"/>
    <s v="Printer"/>
    <s v="Office"/>
    <s v="Neha Gupta"/>
    <n v="3"/>
    <n v="15000"/>
    <n v="11500"/>
    <n v="0.11"/>
    <n v="40050"/>
    <n v="34500"/>
    <n v="5550"/>
    <s v="UPI"/>
    <x v="2"/>
  </r>
  <r>
    <s v="ORD0343"/>
    <s v="CUST0343"/>
    <d v="2025-07-15T00:00:00"/>
    <s v="Arjun Mehta"/>
    <s v="Surat"/>
    <s v="Gujarat"/>
    <s v="West"/>
    <s v="Smartphone"/>
    <s v="Electronics"/>
    <s v="Arjun Rao"/>
    <n v="7"/>
    <n v="35000"/>
    <n v="28000"/>
    <n v="0.28999999999999998"/>
    <n v="173950"/>
    <n v="196000"/>
    <n v="-22050"/>
    <s v="Debit Card"/>
    <x v="0"/>
  </r>
  <r>
    <s v="ORD0344"/>
    <s v="CUST0344"/>
    <d v="2025-03-04T00:00:00"/>
    <s v="Neha Gupta"/>
    <s v="Surat"/>
    <s v="Gujarat"/>
    <s v="West"/>
    <s v="Printer"/>
    <s v="Office"/>
    <s v="Amit Sharma"/>
    <n v="6"/>
    <n v="15000"/>
    <n v="11500"/>
    <n v="0.14000000000000001"/>
    <n v="77400"/>
    <n v="69000"/>
    <n v="8400"/>
    <s v="UPI"/>
    <x v="0"/>
  </r>
  <r>
    <s v="ORD0345"/>
    <s v="CUST0345"/>
    <d v="2025-08-09T00:00:00"/>
    <s v="Aditya Mishra"/>
    <s v="Ahmedabad"/>
    <s v="Gujarat"/>
    <s v="West"/>
    <s v="Keyboard"/>
    <s v="Accessories"/>
    <s v="Arjun Rao"/>
    <n v="4"/>
    <n v="1500"/>
    <n v="900"/>
    <n v="0.12"/>
    <n v="5280"/>
    <n v="3600"/>
    <n v="1680"/>
    <s v="Debit Card"/>
    <x v="3"/>
  </r>
  <r>
    <s v="ORD0346"/>
    <s v="CUST0346"/>
    <d v="2024-03-11T00:00:00"/>
    <s v="Aisha Khan"/>
    <s v="Jaipur"/>
    <s v="Rajasthan"/>
    <s v="North"/>
    <s v="Laptop"/>
    <s v="Electronics"/>
    <s v="Karan Singh"/>
    <n v="7"/>
    <n v="65000"/>
    <n v="52000"/>
    <n v="0.24"/>
    <n v="345800"/>
    <n v="364000"/>
    <n v="-18200"/>
    <s v="Debit Card"/>
    <x v="1"/>
  </r>
  <r>
    <s v="ORD0347"/>
    <s v="CUST0347"/>
    <d v="2024-05-15T00:00:00"/>
    <s v="Sneha Nair"/>
    <s v="Chennai"/>
    <s v="Tamil Nadu"/>
    <s v="South"/>
    <s v="Printer"/>
    <s v="Office"/>
    <s v="Vikram Joshi"/>
    <n v="9"/>
    <n v="15000"/>
    <n v="11500"/>
    <n v="0.28999999999999998"/>
    <n v="95850"/>
    <n v="103500"/>
    <n v="-7650"/>
    <s v="UPI"/>
    <x v="1"/>
  </r>
  <r>
    <s v="ORD0348"/>
    <s v="CUST0348"/>
    <d v="2025-09-05T00:00:00"/>
    <s v="Nikhil Jain"/>
    <s v="Jaipur"/>
    <s v="Rajasthan"/>
    <s v="North"/>
    <s v="Speaker"/>
    <s v="Electronics"/>
    <s v="Anjali Mehta"/>
    <n v="6"/>
    <n v="5000"/>
    <n v="3200"/>
    <n v="0.19"/>
    <n v="24300"/>
    <n v="19200"/>
    <n v="5100"/>
    <s v="Cash"/>
    <x v="0"/>
  </r>
  <r>
    <s v="ORD0349"/>
    <s v="CUST0349"/>
    <d v="2025-06-09T00:00:00"/>
    <s v="Amit Kumar"/>
    <s v="Pune"/>
    <s v="Maharashtra"/>
    <s v="West"/>
    <s v="Tablet"/>
    <s v="Electronics"/>
    <s v="Pooja Das"/>
    <n v="8"/>
    <n v="25000"/>
    <n v="20000"/>
    <n v="7.0000000000000007E-2"/>
    <n v="186000"/>
    <n v="160000"/>
    <n v="26000"/>
    <s v="Cash"/>
    <x v="0"/>
  </r>
  <r>
    <s v="ORD0350"/>
    <s v="CUST0350"/>
    <d v="2025-02-26T00:00:00"/>
    <s v="Amit Kumar"/>
    <s v="Warangal"/>
    <s v="Telangana"/>
    <s v="South"/>
    <s v="Tablet"/>
    <s v="Electronics"/>
    <s v="Anjali Mehta"/>
    <n v="1"/>
    <n v="25000"/>
    <n v="20000"/>
    <n v="0.09"/>
    <n v="22750"/>
    <n v="20000"/>
    <n v="2750"/>
    <s v="Credit Card"/>
    <x v="1"/>
  </r>
  <r>
    <s v="ORD0351"/>
    <s v="CUST0351"/>
    <d v="2025-12-23T00:00:00"/>
    <s v="Aisha Khan"/>
    <s v="Coimbatore"/>
    <s v="Tamil Nadu"/>
    <s v="South"/>
    <s v="Mouse"/>
    <s v="Accessories"/>
    <s v="Karan Singh"/>
    <n v="3"/>
    <n v="800"/>
    <n v="450"/>
    <n v="0.22"/>
    <n v="1872"/>
    <n v="1350"/>
    <n v="522"/>
    <s v="Credit Card"/>
    <x v="1"/>
  </r>
  <r>
    <s v="ORD0352"/>
    <s v="CUST0352"/>
    <d v="2025-11-07T00:00:00"/>
    <s v="Anjali Rao"/>
    <s v="Warangal"/>
    <s v="Telangana"/>
    <s v="South"/>
    <s v="Smartphone"/>
    <s v="Electronics"/>
    <s v="Karan Singh"/>
    <n v="3"/>
    <n v="35000"/>
    <n v="28000"/>
    <n v="0.26"/>
    <n v="77700"/>
    <n v="84000"/>
    <n v="-6300"/>
    <s v="Credit Card"/>
    <x v="1"/>
  </r>
  <r>
    <s v="ORD0353"/>
    <s v="CUST0353"/>
    <d v="2025-08-02T00:00:00"/>
    <s v="Rahul Sharma"/>
    <s v="Kolkata"/>
    <s v="West Bengal"/>
    <s v="East"/>
    <s v="Headphones"/>
    <s v="Accessories"/>
    <s v="Vikram Joshi"/>
    <n v="7"/>
    <n v="3000"/>
    <n v="1800"/>
    <n v="0.28999999999999998"/>
    <n v="14910"/>
    <n v="12600"/>
    <n v="2310"/>
    <s v="Cash"/>
    <x v="1"/>
  </r>
  <r>
    <s v="ORD0354"/>
    <s v="CUST0354"/>
    <d v="2024-12-09T00:00:00"/>
    <s v="Nikhil Jain"/>
    <s v="Pune"/>
    <s v="Maharashtra"/>
    <s v="West"/>
    <s v="Keyboard"/>
    <s v="Accessories"/>
    <s v="Karan Singh"/>
    <n v="4"/>
    <n v="1500"/>
    <n v="900"/>
    <n v="0.1"/>
    <n v="5400"/>
    <n v="3600"/>
    <n v="1800"/>
    <s v="Net Banking"/>
    <x v="2"/>
  </r>
  <r>
    <s v="ORD0355"/>
    <s v="CUST0355"/>
    <d v="2024-10-28T00:00:00"/>
    <s v="Deepika Roy"/>
    <s v="Coimbatore"/>
    <s v="Tamil Nadu"/>
    <s v="South"/>
    <s v="Headphones"/>
    <s v="Accessories"/>
    <s v="Priya Nair"/>
    <n v="9"/>
    <n v="3000"/>
    <n v="1800"/>
    <n v="0"/>
    <n v="27000"/>
    <n v="16200"/>
    <n v="10800"/>
    <s v="Credit Card"/>
    <x v="0"/>
  </r>
  <r>
    <s v="ORD0356"/>
    <s v="CUST0356"/>
    <d v="2024-08-15T00:00:00"/>
    <s v="Vikram Singh"/>
    <s v="Pune"/>
    <s v="Maharashtra"/>
    <s v="West"/>
    <s v="Headphones"/>
    <s v="Accessories"/>
    <s v="Rahul Verma"/>
    <n v="9"/>
    <n v="3000"/>
    <n v="1800"/>
    <n v="0.04"/>
    <n v="25920"/>
    <n v="16200"/>
    <n v="9720"/>
    <s v="UPI"/>
    <x v="3"/>
  </r>
  <r>
    <s v="ORD0357"/>
    <s v="CUST0357"/>
    <d v="2024-12-02T00:00:00"/>
    <s v="Meera Shah"/>
    <s v="Coimbatore"/>
    <s v="Tamil Nadu"/>
    <s v="South"/>
    <s v="Mouse"/>
    <s v="Accessories"/>
    <s v="Rahul Verma"/>
    <n v="9"/>
    <n v="800"/>
    <n v="450"/>
    <n v="0.01"/>
    <n v="7128"/>
    <n v="4050"/>
    <n v="3078"/>
    <s v="Net Banking"/>
    <x v="1"/>
  </r>
  <r>
    <s v="ORD0358"/>
    <s v="CUST0358"/>
    <d v="2025-12-18T00:00:00"/>
    <s v="Sneha Nair"/>
    <s v="Kolkata"/>
    <s v="West Bengal"/>
    <s v="East"/>
    <s v="Speaker"/>
    <s v="Electronics"/>
    <s v="Anjali Mehta"/>
    <n v="5"/>
    <n v="5000"/>
    <n v="3200"/>
    <n v="0.27"/>
    <n v="18250"/>
    <n v="16000"/>
    <n v="2250"/>
    <s v="Debit Card"/>
    <x v="2"/>
  </r>
  <r>
    <s v="ORD0359"/>
    <s v="CUST0359"/>
    <d v="2025-05-19T00:00:00"/>
    <s v="Aditya Mishra"/>
    <s v="Mumbai"/>
    <s v="Maharashtra"/>
    <s v="West"/>
    <s v="Laptop"/>
    <s v="Electronics"/>
    <s v="Priya Nair"/>
    <n v="7"/>
    <n v="65000"/>
    <n v="52000"/>
    <n v="0"/>
    <n v="455000"/>
    <n v="364000"/>
    <n v="91000"/>
    <s v="Debit Card"/>
    <x v="2"/>
  </r>
  <r>
    <s v="ORD0360"/>
    <s v="CUST0360"/>
    <d v="2024-03-04T00:00:00"/>
    <s v="Nikhil Jain"/>
    <s v="Ahmedabad"/>
    <s v="Gujarat"/>
    <s v="West"/>
    <s v="Speaker"/>
    <s v="Electronics"/>
    <s v="Priya Nair"/>
    <n v="7"/>
    <n v="5000"/>
    <n v="3200"/>
    <n v="0.15"/>
    <n v="29750"/>
    <n v="22400"/>
    <n v="7350"/>
    <s v="Net Banking"/>
    <x v="1"/>
  </r>
  <r>
    <s v="ORD0361"/>
    <s v="CUST0361"/>
    <d v="2025-01-17T00:00:00"/>
    <s v="Suresh Iyer"/>
    <s v="Coimbatore"/>
    <s v="Tamil Nadu"/>
    <s v="South"/>
    <s v="Monitor"/>
    <s v="Office"/>
    <s v="Sneha Patil"/>
    <n v="1"/>
    <n v="18000"/>
    <n v="14000"/>
    <n v="7.0000000000000007E-2"/>
    <n v="16740"/>
    <n v="14000"/>
    <n v="2740"/>
    <s v="Debit Card"/>
    <x v="2"/>
  </r>
  <r>
    <s v="ORD0362"/>
    <s v="CUST0362"/>
    <d v="2024-05-03T00:00:00"/>
    <s v="Rohit Verma"/>
    <s v="Kolkata"/>
    <s v="West Bengal"/>
    <s v="East"/>
    <s v="Smartphone"/>
    <s v="Electronics"/>
    <s v="Karan Singh"/>
    <n v="2"/>
    <n v="35000"/>
    <n v="28000"/>
    <n v="0"/>
    <n v="70000"/>
    <n v="56000"/>
    <n v="14000"/>
    <s v="Debit Card"/>
    <x v="3"/>
  </r>
  <r>
    <s v="ORD0363"/>
    <s v="CUST0363"/>
    <d v="2024-10-30T00:00:00"/>
    <s v="Aisha Khan"/>
    <s v="Warangal"/>
    <s v="Telangana"/>
    <s v="South"/>
    <s v="Smartwatch"/>
    <s v="Wearables"/>
    <s v="Priya Nair"/>
    <n v="10"/>
    <n v="12000"/>
    <n v="8500"/>
    <n v="0.26"/>
    <n v="88800"/>
    <n v="85000"/>
    <n v="3800"/>
    <s v="Credit Card"/>
    <x v="2"/>
  </r>
  <r>
    <s v="ORD0364"/>
    <s v="CUST0364"/>
    <d v="2024-12-30T00:00:00"/>
    <s v="Meera Shah"/>
    <s v="Warangal"/>
    <s v="Telangana"/>
    <s v="South"/>
    <s v="Speaker"/>
    <s v="Electronics"/>
    <s v="Pooja Das"/>
    <n v="1"/>
    <n v="5000"/>
    <n v="3200"/>
    <n v="0.26"/>
    <n v="3700"/>
    <n v="3200"/>
    <n v="500"/>
    <s v="UPI"/>
    <x v="2"/>
  </r>
  <r>
    <s v="ORD0365"/>
    <s v="CUST0365"/>
    <d v="2025-12-28T00:00:00"/>
    <s v="Anjali Rao"/>
    <s v="Mumbai"/>
    <s v="Maharashtra"/>
    <s v="West"/>
    <s v="Monitor"/>
    <s v="Office"/>
    <s v="Vikram Joshi"/>
    <n v="6"/>
    <n v="18000"/>
    <n v="14000"/>
    <n v="0.12"/>
    <n v="95040"/>
    <n v="84000"/>
    <n v="11040"/>
    <s v="Cash"/>
    <x v="3"/>
  </r>
  <r>
    <s v="ORD0366"/>
    <s v="CUST0366"/>
    <d v="2024-04-12T00:00:00"/>
    <s v="Anjali Rao"/>
    <s v="Warangal"/>
    <s v="Telangana"/>
    <s v="South"/>
    <s v="Tablet"/>
    <s v="Electronics"/>
    <s v="Rahul Verma"/>
    <n v="8"/>
    <n v="25000"/>
    <n v="20000"/>
    <n v="0.05"/>
    <n v="190000"/>
    <n v="160000"/>
    <n v="30000"/>
    <s v="Credit Card"/>
    <x v="0"/>
  </r>
  <r>
    <s v="ORD0367"/>
    <s v="CUST0367"/>
    <d v="2024-02-25T00:00:00"/>
    <s v="Rahul Sharma"/>
    <s v="Hyderabad"/>
    <s v="Telangana"/>
    <s v="South"/>
    <s v="Smartphone"/>
    <s v="Electronics"/>
    <s v="Anjali Mehta"/>
    <n v="2"/>
    <n v="35000"/>
    <n v="28000"/>
    <n v="0.2"/>
    <n v="56000"/>
    <n v="56000"/>
    <n v="0"/>
    <s v="Debit Card"/>
    <x v="0"/>
  </r>
  <r>
    <s v="ORD0368"/>
    <s v="CUST0368"/>
    <d v="2024-09-20T00:00:00"/>
    <s v="Arjun Mehta"/>
    <s v="Surat"/>
    <s v="Gujarat"/>
    <s v="West"/>
    <s v="Speaker"/>
    <s v="Electronics"/>
    <s v="Amit Sharma"/>
    <n v="10"/>
    <n v="5000"/>
    <n v="3200"/>
    <n v="0.28999999999999998"/>
    <n v="35500"/>
    <n v="32000"/>
    <n v="3500"/>
    <s v="Debit Card"/>
    <x v="1"/>
  </r>
  <r>
    <s v="ORD0369"/>
    <s v="CUST0369"/>
    <d v="2025-03-17T00:00:00"/>
    <s v="Suresh Iyer"/>
    <s v="Ahmedabad"/>
    <s v="Gujarat"/>
    <s v="West"/>
    <s v="Smartwatch"/>
    <s v="Wearables"/>
    <s v="Vikram Joshi"/>
    <n v="3"/>
    <n v="12000"/>
    <n v="8500"/>
    <n v="0.02"/>
    <n v="35280"/>
    <n v="25500"/>
    <n v="9780"/>
    <s v="Debit Card"/>
    <x v="2"/>
  </r>
  <r>
    <s v="ORD0370"/>
    <s v="CUST0370"/>
    <d v="2024-01-02T00:00:00"/>
    <s v="Arjun Mehta"/>
    <s v="Mysuru"/>
    <s v="Karnataka"/>
    <s v="South"/>
    <s v="Keyboard"/>
    <s v="Accessories"/>
    <s v="Amit Sharma"/>
    <n v="10"/>
    <n v="1500"/>
    <n v="900"/>
    <n v="0.12"/>
    <n v="13200"/>
    <n v="9000"/>
    <n v="4200"/>
    <s v="Cash"/>
    <x v="2"/>
  </r>
  <r>
    <s v="ORD0371"/>
    <s v="CUST0371"/>
    <d v="2024-06-07T00:00:00"/>
    <s v="Divya Menon"/>
    <s v="Coimbatore"/>
    <s v="Tamil Nadu"/>
    <s v="South"/>
    <s v="Laptop"/>
    <s v="Electronics"/>
    <s v="Karan Singh"/>
    <n v="5"/>
    <n v="65000"/>
    <n v="52000"/>
    <n v="0.23"/>
    <n v="250250"/>
    <n v="260000"/>
    <n v="-9750"/>
    <s v="Cash"/>
    <x v="1"/>
  </r>
  <r>
    <s v="ORD0372"/>
    <s v="CUST0372"/>
    <d v="2025-08-03T00:00:00"/>
    <s v="Deepika Roy"/>
    <s v="Ahmedabad"/>
    <s v="Gujarat"/>
    <s v="West"/>
    <s v="Smartwatch"/>
    <s v="Wearables"/>
    <s v="Pooja Das"/>
    <n v="8"/>
    <n v="12000"/>
    <n v="8500"/>
    <n v="0.13"/>
    <n v="83520"/>
    <n v="68000"/>
    <n v="15520"/>
    <s v="Cash"/>
    <x v="2"/>
  </r>
  <r>
    <s v="ORD0373"/>
    <s v="CUST0373"/>
    <d v="2025-03-14T00:00:00"/>
    <s v="Rohan Kulkarni"/>
    <s v="Mumbai"/>
    <s v="Maharashtra"/>
    <s v="West"/>
    <s v="Speaker"/>
    <s v="Electronics"/>
    <s v="Vikram Joshi"/>
    <n v="6"/>
    <n v="5000"/>
    <n v="3200"/>
    <n v="0.15"/>
    <n v="25500"/>
    <n v="19200"/>
    <n v="6300"/>
    <s v="Credit Card"/>
    <x v="3"/>
  </r>
  <r>
    <s v="ORD0374"/>
    <s v="CUST0374"/>
    <d v="2024-07-26T00:00:00"/>
    <s v="Neha Gupta"/>
    <s v="New Delhi"/>
    <s v="Delhi"/>
    <s v="North"/>
    <s v="Headphones"/>
    <s v="Accessories"/>
    <s v="Anjali Mehta"/>
    <n v="9"/>
    <n v="3000"/>
    <n v="1800"/>
    <n v="0.17"/>
    <n v="22410"/>
    <n v="16200"/>
    <n v="6210"/>
    <s v="Debit Card"/>
    <x v="3"/>
  </r>
  <r>
    <s v="ORD0375"/>
    <s v="CUST0375"/>
    <d v="2024-04-18T00:00:00"/>
    <s v="Aisha Khan"/>
    <s v="Ahmedabad"/>
    <s v="Gujarat"/>
    <s v="West"/>
    <s v="Keyboard"/>
    <s v="Accessories"/>
    <s v="Karan Singh"/>
    <n v="4"/>
    <n v="1500"/>
    <n v="900"/>
    <n v="0.17"/>
    <n v="4980"/>
    <n v="3600"/>
    <n v="1380"/>
    <s v="Debit Card"/>
    <x v="0"/>
  </r>
  <r>
    <s v="ORD0376"/>
    <s v="CUST0376"/>
    <d v="2024-01-24T00:00:00"/>
    <s v="Amit Kumar"/>
    <s v="Coimbatore"/>
    <s v="Tamil Nadu"/>
    <s v="South"/>
    <s v="Laptop"/>
    <s v="Electronics"/>
    <s v="Priya Nair"/>
    <n v="10"/>
    <n v="65000"/>
    <n v="52000"/>
    <n v="0.18"/>
    <n v="533000"/>
    <n v="520000"/>
    <n v="13000"/>
    <s v="Debit Card"/>
    <x v="1"/>
  </r>
  <r>
    <s v="ORD0377"/>
    <s v="CUST0377"/>
    <d v="2024-08-13T00:00:00"/>
    <s v="Divya Menon"/>
    <s v="Warangal"/>
    <s v="Telangana"/>
    <s v="South"/>
    <s v="Speaker"/>
    <s v="Electronics"/>
    <s v="Vikram Joshi"/>
    <n v="6"/>
    <n v="5000"/>
    <n v="3200"/>
    <n v="0.09"/>
    <n v="27300"/>
    <n v="19200"/>
    <n v="8100"/>
    <s v="Net Banking"/>
    <x v="0"/>
  </r>
  <r>
    <s v="ORD0378"/>
    <s v="CUST0378"/>
    <d v="2024-10-31T00:00:00"/>
    <s v="Priya Patel"/>
    <s v="Mysuru"/>
    <s v="Karnataka"/>
    <s v="South"/>
    <s v="Tablet"/>
    <s v="Electronics"/>
    <s v="Karan Singh"/>
    <n v="10"/>
    <n v="25000"/>
    <n v="20000"/>
    <n v="0.16"/>
    <n v="210000"/>
    <n v="200000"/>
    <n v="10000"/>
    <s v="Cash"/>
    <x v="0"/>
  </r>
  <r>
    <s v="ORD0379"/>
    <s v="CUST0379"/>
    <d v="2024-08-14T00:00:00"/>
    <s v="Nikhil Jain"/>
    <s v="Mysuru"/>
    <s v="Karnataka"/>
    <s v="South"/>
    <s v="Printer"/>
    <s v="Office"/>
    <s v="Anjali Mehta"/>
    <n v="4"/>
    <n v="15000"/>
    <n v="11500"/>
    <n v="0.22"/>
    <n v="46800"/>
    <n v="46000"/>
    <n v="800"/>
    <s v="UPI"/>
    <x v="0"/>
  </r>
  <r>
    <s v="ORD0380"/>
    <s v="CUST0380"/>
    <d v="2024-12-28T00:00:00"/>
    <s v="Aisha Khan"/>
    <s v="Jaipur"/>
    <s v="Rajasthan"/>
    <s v="North"/>
    <s v="Smartwatch"/>
    <s v="Wearables"/>
    <s v="Arjun Rao"/>
    <n v="5"/>
    <n v="12000"/>
    <n v="8500"/>
    <n v="0.3"/>
    <n v="42000"/>
    <n v="42500"/>
    <n v="-500"/>
    <s v="Credit Card"/>
    <x v="0"/>
  </r>
  <r>
    <s v="ORD0381"/>
    <s v="CUST0381"/>
    <d v="2025-05-28T00:00:00"/>
    <s v="Nikhil Jain"/>
    <s v="Pune"/>
    <s v="Maharashtra"/>
    <s v="West"/>
    <s v="Speaker"/>
    <s v="Electronics"/>
    <s v="Neha Gupta"/>
    <n v="7"/>
    <n v="5000"/>
    <n v="3200"/>
    <n v="0.19"/>
    <n v="28350.000000000004"/>
    <n v="22400"/>
    <n v="5950.0000000000036"/>
    <s v="Credit Card"/>
    <x v="1"/>
  </r>
  <r>
    <s v="ORD0382"/>
    <s v="CUST0382"/>
    <d v="2024-06-01T00:00:00"/>
    <s v="Amit Kumar"/>
    <s v="Mumbai"/>
    <s v="Maharashtra"/>
    <s v="West"/>
    <s v="Monitor"/>
    <s v="Office"/>
    <s v="Sneha Patil"/>
    <n v="4"/>
    <n v="18000"/>
    <n v="14000"/>
    <n v="7.0000000000000007E-2"/>
    <n v="66960"/>
    <n v="56000"/>
    <n v="10960"/>
    <s v="Debit Card"/>
    <x v="1"/>
  </r>
  <r>
    <s v="ORD0383"/>
    <s v="CUST0383"/>
    <d v="2025-11-25T00:00:00"/>
    <s v="Vikram Singh"/>
    <s v="Hyderabad"/>
    <s v="Telangana"/>
    <s v="South"/>
    <s v="Headphones"/>
    <s v="Accessories"/>
    <s v="Neha Gupta"/>
    <n v="6"/>
    <n v="3000"/>
    <n v="1800"/>
    <n v="0.14000000000000001"/>
    <n v="15480"/>
    <n v="10800"/>
    <n v="4680"/>
    <s v="Net Banking"/>
    <x v="2"/>
  </r>
  <r>
    <s v="ORD0384"/>
    <s v="CUST0384"/>
    <d v="2024-03-08T00:00:00"/>
    <s v="Priya Patel"/>
    <s v="Chennai"/>
    <s v="Tamil Nadu"/>
    <s v="South"/>
    <s v="Tablet"/>
    <s v="Electronics"/>
    <s v="Amit Sharma"/>
    <n v="8"/>
    <n v="25000"/>
    <n v="20000"/>
    <n v="0.12"/>
    <n v="176000"/>
    <n v="160000"/>
    <n v="16000"/>
    <s v="Debit Card"/>
    <x v="1"/>
  </r>
  <r>
    <s v="ORD0385"/>
    <s v="CUST0385"/>
    <d v="2025-12-07T00:00:00"/>
    <s v="Rohan Kulkarni"/>
    <s v="Bengaluru"/>
    <s v="Karnataka"/>
    <s v="South"/>
    <s v="Printer"/>
    <s v="Office"/>
    <s v="Amit Sharma"/>
    <n v="1"/>
    <n v="15000"/>
    <n v="11500"/>
    <n v="0.17"/>
    <n v="12450"/>
    <n v="11500"/>
    <n v="950"/>
    <s v="Net Banking"/>
    <x v="3"/>
  </r>
  <r>
    <s v="ORD0386"/>
    <s v="CUST0386"/>
    <d v="2024-09-09T00:00:00"/>
    <s v="Nikhil Jain"/>
    <s v="Ahmedabad"/>
    <s v="Gujarat"/>
    <s v="West"/>
    <s v="Headphones"/>
    <s v="Accessories"/>
    <s v="Neha Gupta"/>
    <n v="5"/>
    <n v="3000"/>
    <n v="1800"/>
    <n v="0.2"/>
    <n v="12000"/>
    <n v="9000"/>
    <n v="3000"/>
    <s v="UPI"/>
    <x v="0"/>
  </r>
  <r>
    <s v="ORD0387"/>
    <s v="CUST0387"/>
    <d v="2025-02-23T00:00:00"/>
    <s v="Vikram Singh"/>
    <s v="Kolkata"/>
    <s v="West Bengal"/>
    <s v="East"/>
    <s v="Smartphone"/>
    <s v="Electronics"/>
    <s v="Arjun Rao"/>
    <n v="3"/>
    <n v="35000"/>
    <n v="28000"/>
    <n v="0.16"/>
    <n v="88200"/>
    <n v="84000"/>
    <n v="4200"/>
    <s v="Cash"/>
    <x v="0"/>
  </r>
  <r>
    <s v="ORD0388"/>
    <s v="CUST0388"/>
    <d v="2024-02-22T00:00:00"/>
    <s v="Kavya Reddy"/>
    <s v="Mumbai"/>
    <s v="Maharashtra"/>
    <s v="West"/>
    <s v="Monitor"/>
    <s v="Office"/>
    <s v="Neha Gupta"/>
    <n v="4"/>
    <n v="18000"/>
    <n v="14000"/>
    <n v="0.06"/>
    <n v="67680"/>
    <n v="56000"/>
    <n v="11680"/>
    <s v="Cash"/>
    <x v="2"/>
  </r>
  <r>
    <s v="ORD0389"/>
    <s v="CUST0389"/>
    <d v="2025-03-16T00:00:00"/>
    <s v="Sneha Nair"/>
    <s v="Coimbatore"/>
    <s v="Tamil Nadu"/>
    <s v="South"/>
    <s v="Speaker"/>
    <s v="Electronics"/>
    <s v="Karan Singh"/>
    <n v="8"/>
    <n v="5000"/>
    <n v="3200"/>
    <n v="0.23"/>
    <n v="30800"/>
    <n v="25600"/>
    <n v="5200"/>
    <s v="Net Banking"/>
    <x v="2"/>
  </r>
  <r>
    <s v="ORD0390"/>
    <s v="CUST0390"/>
    <d v="2025-03-20T00:00:00"/>
    <s v="Kavya Reddy"/>
    <s v="Ahmedabad"/>
    <s v="Gujarat"/>
    <s v="West"/>
    <s v="Smartwatch"/>
    <s v="Wearables"/>
    <s v="Priya Nair"/>
    <n v="3"/>
    <n v="12000"/>
    <n v="8500"/>
    <n v="0.28999999999999998"/>
    <n v="25560"/>
    <n v="25500"/>
    <n v="60"/>
    <s v="Net Banking"/>
    <x v="3"/>
  </r>
  <r>
    <s v="ORD0391"/>
    <s v="CUST0391"/>
    <d v="2025-10-01T00:00:00"/>
    <s v="Rohit Verma"/>
    <s v="Bengaluru"/>
    <s v="Karnataka"/>
    <s v="South"/>
    <s v="Laptop"/>
    <s v="Electronics"/>
    <s v="Sneha Patil"/>
    <n v="1"/>
    <n v="65000"/>
    <n v="52000"/>
    <n v="0.06"/>
    <n v="61100"/>
    <n v="52000"/>
    <n v="9100"/>
    <s v="Net Banking"/>
    <x v="0"/>
  </r>
  <r>
    <s v="ORD0392"/>
    <s v="CUST0392"/>
    <d v="2024-06-24T00:00:00"/>
    <s v="Neha Gupta"/>
    <s v="Mysuru"/>
    <s v="Karnataka"/>
    <s v="South"/>
    <s v="Headphones"/>
    <s v="Accessories"/>
    <s v="Amit Sharma"/>
    <n v="9"/>
    <n v="3000"/>
    <n v="1800"/>
    <n v="0.24"/>
    <n v="20520"/>
    <n v="16200"/>
    <n v="4320"/>
    <s v="Credit Card"/>
    <x v="0"/>
  </r>
  <r>
    <s v="ORD0393"/>
    <s v="CUST0393"/>
    <d v="2025-01-18T00:00:00"/>
    <s v="Neha Gupta"/>
    <s v="Mysuru"/>
    <s v="Karnataka"/>
    <s v="South"/>
    <s v="Tablet"/>
    <s v="Electronics"/>
    <s v="Pooja Das"/>
    <n v="1"/>
    <n v="25000"/>
    <n v="20000"/>
    <n v="0.2"/>
    <n v="20000"/>
    <n v="20000"/>
    <n v="0"/>
    <s v="Credit Card"/>
    <x v="0"/>
  </r>
  <r>
    <s v="ORD0394"/>
    <s v="CUST0394"/>
    <d v="2024-05-12T00:00:00"/>
    <s v="Karan Joshi"/>
    <s v="New Delhi"/>
    <s v="Delhi"/>
    <s v="North"/>
    <s v="Tablet"/>
    <s v="Electronics"/>
    <s v="Sneha Patil"/>
    <n v="8"/>
    <n v="25000"/>
    <n v="20000"/>
    <n v="0.3"/>
    <n v="140000"/>
    <n v="160000"/>
    <n v="-20000"/>
    <s v="Cash"/>
    <x v="1"/>
  </r>
  <r>
    <s v="ORD0395"/>
    <s v="CUST0395"/>
    <d v="2025-06-16T00:00:00"/>
    <s v="Suresh Iyer"/>
    <s v="Surat"/>
    <s v="Gujarat"/>
    <s v="West"/>
    <s v="Speaker"/>
    <s v="Electronics"/>
    <s v="Amit Sharma"/>
    <n v="10"/>
    <n v="5000"/>
    <n v="3200"/>
    <n v="0.24"/>
    <n v="38000"/>
    <n v="32000"/>
    <n v="6000"/>
    <s v="Credit Card"/>
    <x v="2"/>
  </r>
  <r>
    <s v="ORD0396"/>
    <s v="CUST0396"/>
    <d v="2024-03-31T00:00:00"/>
    <s v="Anjali Rao"/>
    <s v="Bengaluru"/>
    <s v="Karnataka"/>
    <s v="South"/>
    <s v="Smartphone"/>
    <s v="Electronics"/>
    <s v="Vikram Joshi"/>
    <n v="9"/>
    <n v="35000"/>
    <n v="28000"/>
    <n v="0.04"/>
    <n v="302400"/>
    <n v="252000"/>
    <n v="50400"/>
    <s v="Debit Card"/>
    <x v="0"/>
  </r>
  <r>
    <s v="ORD0397"/>
    <s v="CUST0397"/>
    <d v="2025-04-07T00:00:00"/>
    <s v="Kavya Reddy"/>
    <s v="Hyderabad"/>
    <s v="Telangana"/>
    <s v="South"/>
    <s v="Mouse"/>
    <s v="Accessories"/>
    <s v="Sneha Patil"/>
    <n v="7"/>
    <n v="800"/>
    <n v="450"/>
    <n v="0.24"/>
    <n v="4256"/>
    <n v="3150"/>
    <n v="1106"/>
    <s v="UPI"/>
    <x v="2"/>
  </r>
  <r>
    <s v="ORD0398"/>
    <s v="CUST0398"/>
    <d v="2025-06-17T00:00:00"/>
    <s v="Sneha Nair"/>
    <s v="Bengaluru"/>
    <s v="Karnataka"/>
    <s v="South"/>
    <s v="Smartphone"/>
    <s v="Electronics"/>
    <s v="Neha Gupta"/>
    <n v="2"/>
    <n v="35000"/>
    <n v="28000"/>
    <n v="0.14000000000000001"/>
    <n v="60200"/>
    <n v="56000"/>
    <n v="4200"/>
    <s v="Cash"/>
    <x v="0"/>
  </r>
  <r>
    <s v="ORD0399"/>
    <s v="CUST0399"/>
    <d v="2025-05-25T00:00:00"/>
    <s v="Priya Patel"/>
    <s v="Kolkata"/>
    <s v="West Bengal"/>
    <s v="East"/>
    <s v="Tablet"/>
    <s v="Electronics"/>
    <s v="Rahul Verma"/>
    <n v="1"/>
    <n v="25000"/>
    <n v="20000"/>
    <n v="7.0000000000000007E-2"/>
    <n v="23250"/>
    <n v="20000"/>
    <n v="3250"/>
    <s v="Credit Card"/>
    <x v="3"/>
  </r>
  <r>
    <s v="ORD0400"/>
    <s v="CUST0400"/>
    <d v="2024-12-13T00:00:00"/>
    <s v="Pooja Das"/>
    <s v="Hyderabad"/>
    <s v="Telangana"/>
    <s v="South"/>
    <s v="Mouse"/>
    <s v="Accessories"/>
    <s v="Vikram Joshi"/>
    <n v="3"/>
    <n v="800"/>
    <n v="450"/>
    <n v="0.15"/>
    <n v="2040"/>
    <n v="1350"/>
    <n v="690"/>
    <s v="UPI"/>
    <x v="0"/>
  </r>
  <r>
    <s v="ORD0401"/>
    <s v="CUST0401"/>
    <d v="2025-04-09T00:00:00"/>
    <s v="Arjun Mehta"/>
    <s v="New Delhi"/>
    <s v="Delhi"/>
    <s v="North"/>
    <s v="Speaker"/>
    <s v="Electronics"/>
    <s v="Arjun Rao"/>
    <n v="3"/>
    <n v="5000"/>
    <n v="3200"/>
    <n v="0.22"/>
    <n v="11700"/>
    <n v="9600"/>
    <n v="2100"/>
    <s v="UPI"/>
    <x v="3"/>
  </r>
  <r>
    <s v="ORD0402"/>
    <s v="CUST0402"/>
    <d v="2025-06-17T00:00:00"/>
    <s v="Rohan Kulkarni"/>
    <s v="Bengaluru"/>
    <s v="Karnataka"/>
    <s v="South"/>
    <s v="Keyboard"/>
    <s v="Accessories"/>
    <s v="Vikram Joshi"/>
    <n v="9"/>
    <n v="1500"/>
    <n v="900"/>
    <n v="0.1"/>
    <n v="12150"/>
    <n v="8100"/>
    <n v="4050"/>
    <s v="Credit Card"/>
    <x v="3"/>
  </r>
  <r>
    <s v="ORD0403"/>
    <s v="CUST0403"/>
    <d v="2025-10-20T00:00:00"/>
    <s v="Arjun Mehta"/>
    <s v="Coimbatore"/>
    <s v="Tamil Nadu"/>
    <s v="South"/>
    <s v="Monitor"/>
    <s v="Office"/>
    <s v="Neha Gupta"/>
    <n v="7"/>
    <n v="18000"/>
    <n v="14000"/>
    <n v="0.02"/>
    <n v="123480"/>
    <n v="98000"/>
    <n v="25480"/>
    <s v="UPI"/>
    <x v="2"/>
  </r>
  <r>
    <s v="ORD0404"/>
    <s v="CUST0404"/>
    <d v="2024-06-07T00:00:00"/>
    <s v="Anjali Rao"/>
    <s v="Surat"/>
    <s v="Gujarat"/>
    <s v="West"/>
    <s v="Keyboard"/>
    <s v="Accessories"/>
    <s v="Anjali Mehta"/>
    <n v="7"/>
    <n v="1500"/>
    <n v="900"/>
    <n v="0.06"/>
    <n v="9870"/>
    <n v="6300"/>
    <n v="3570"/>
    <s v="Cash"/>
    <x v="1"/>
  </r>
  <r>
    <s v="ORD0405"/>
    <s v="CUST0405"/>
    <d v="2024-06-30T00:00:00"/>
    <s v="Aditya Mishra"/>
    <s v="Hyderabad"/>
    <s v="Telangana"/>
    <s v="South"/>
    <s v="Mouse"/>
    <s v="Accessories"/>
    <s v="Neha Gupta"/>
    <n v="2"/>
    <n v="800"/>
    <n v="450"/>
    <n v="0.08"/>
    <n v="1472"/>
    <n v="900"/>
    <n v="572"/>
    <s v="UPI"/>
    <x v="3"/>
  </r>
  <r>
    <s v="ORD0406"/>
    <s v="CUST0406"/>
    <d v="2024-01-30T00:00:00"/>
    <s v="Arjun Mehta"/>
    <s v="Mumbai"/>
    <s v="Maharashtra"/>
    <s v="West"/>
    <s v="Headphones"/>
    <s v="Accessories"/>
    <s v="Sneha Patil"/>
    <n v="8"/>
    <n v="3000"/>
    <n v="1800"/>
    <n v="0.26"/>
    <n v="17760"/>
    <n v="14400"/>
    <n v="3360"/>
    <s v="Credit Card"/>
    <x v="1"/>
  </r>
  <r>
    <s v="ORD0407"/>
    <s v="CUST0407"/>
    <d v="2025-05-30T00:00:00"/>
    <s v="Rohan Kulkarni"/>
    <s v="Ahmedabad"/>
    <s v="Gujarat"/>
    <s v="West"/>
    <s v="Laptop"/>
    <s v="Electronics"/>
    <s v="Rahul Verma"/>
    <n v="1"/>
    <n v="65000"/>
    <n v="52000"/>
    <n v="0.28000000000000003"/>
    <n v="46800"/>
    <n v="52000"/>
    <n v="-5200"/>
    <s v="Credit Card"/>
    <x v="0"/>
  </r>
  <r>
    <s v="ORD0408"/>
    <s v="CUST0408"/>
    <d v="2025-10-21T00:00:00"/>
    <s v="Arjun Mehta"/>
    <s v="Jaipur"/>
    <s v="Rajasthan"/>
    <s v="North"/>
    <s v="Laptop"/>
    <s v="Electronics"/>
    <s v="Priya Nair"/>
    <n v="5"/>
    <n v="65000"/>
    <n v="52000"/>
    <n v="0.18"/>
    <n v="266500"/>
    <n v="260000"/>
    <n v="6500"/>
    <s v="Net Banking"/>
    <x v="3"/>
  </r>
  <r>
    <s v="ORD0409"/>
    <s v="CUST0409"/>
    <d v="2025-12-12T00:00:00"/>
    <s v="Kavya Reddy"/>
    <s v="Surat"/>
    <s v="Gujarat"/>
    <s v="West"/>
    <s v="Headphones"/>
    <s v="Accessories"/>
    <s v="Sneha Patil"/>
    <n v="6"/>
    <n v="3000"/>
    <n v="1800"/>
    <n v="0.1"/>
    <n v="16200"/>
    <n v="10800"/>
    <n v="5400"/>
    <s v="UPI"/>
    <x v="1"/>
  </r>
  <r>
    <s v="ORD0410"/>
    <s v="CUST0410"/>
    <d v="2025-10-18T00:00:00"/>
    <s v="Nikhil Jain"/>
    <s v="Pune"/>
    <s v="Maharashtra"/>
    <s v="West"/>
    <s v="Laptop"/>
    <s v="Electronics"/>
    <s v="Neha Gupta"/>
    <n v="5"/>
    <n v="65000"/>
    <n v="52000"/>
    <n v="0.01"/>
    <n v="321750"/>
    <n v="260000"/>
    <n v="61750"/>
    <s v="Net Banking"/>
    <x v="3"/>
  </r>
  <r>
    <s v="ORD0411"/>
    <s v="CUST0411"/>
    <d v="2025-01-22T00:00:00"/>
    <s v="Deepika Roy"/>
    <s v="Hyderabad"/>
    <s v="Telangana"/>
    <s v="South"/>
    <s v="Mouse"/>
    <s v="Accessories"/>
    <s v="Karan Singh"/>
    <n v="5"/>
    <n v="800"/>
    <n v="450"/>
    <n v="0.23"/>
    <n v="3080"/>
    <n v="2250"/>
    <n v="830"/>
    <s v="Credit Card"/>
    <x v="0"/>
  </r>
  <r>
    <s v="ORD0412"/>
    <s v="CUST0412"/>
    <d v="2024-12-15T00:00:00"/>
    <s v="Aisha Khan"/>
    <s v="Mumbai"/>
    <s v="Maharashtra"/>
    <s v="West"/>
    <s v="Monitor"/>
    <s v="Office"/>
    <s v="Neha Gupta"/>
    <n v="10"/>
    <n v="18000"/>
    <n v="14000"/>
    <n v="0.03"/>
    <n v="174600"/>
    <n v="140000"/>
    <n v="34600"/>
    <s v="Net Banking"/>
    <x v="2"/>
  </r>
  <r>
    <s v="ORD0413"/>
    <s v="CUST0413"/>
    <d v="2024-01-23T00:00:00"/>
    <s v="Aisha Khan"/>
    <s v="Bengaluru"/>
    <s v="Karnataka"/>
    <s v="South"/>
    <s v="Keyboard"/>
    <s v="Accessories"/>
    <s v="Rahul Verma"/>
    <n v="9"/>
    <n v="1500"/>
    <n v="900"/>
    <n v="0.03"/>
    <n v="13095"/>
    <n v="8100"/>
    <n v="4995"/>
    <s v="Debit Card"/>
    <x v="2"/>
  </r>
  <r>
    <s v="ORD0414"/>
    <s v="CUST0414"/>
    <d v="2024-04-30T00:00:00"/>
    <s v="Rahul Sharma"/>
    <s v="Surat"/>
    <s v="Gujarat"/>
    <s v="West"/>
    <s v="Printer"/>
    <s v="Office"/>
    <s v="Pooja Das"/>
    <n v="1"/>
    <n v="15000"/>
    <n v="11500"/>
    <n v="0.1"/>
    <n v="13500"/>
    <n v="11500"/>
    <n v="2000"/>
    <s v="Cash"/>
    <x v="1"/>
  </r>
  <r>
    <s v="ORD0415"/>
    <s v="CUST0415"/>
    <d v="2025-06-15T00:00:00"/>
    <s v="Suresh Iyer"/>
    <s v="Warangal"/>
    <s v="Telangana"/>
    <s v="South"/>
    <s v="Smartphone"/>
    <s v="Electronics"/>
    <s v="Sneha Patil"/>
    <n v="3"/>
    <n v="35000"/>
    <n v="28000"/>
    <n v="0.3"/>
    <n v="73500"/>
    <n v="84000"/>
    <n v="-10500"/>
    <s v="Debit Card"/>
    <x v="2"/>
  </r>
  <r>
    <s v="ORD0416"/>
    <s v="CUST0416"/>
    <d v="2025-05-31T00:00:00"/>
    <s v="Amit Kumar"/>
    <s v="Bengaluru"/>
    <s v="Karnataka"/>
    <s v="South"/>
    <s v="Laptop"/>
    <s v="Electronics"/>
    <s v="Arjun Rao"/>
    <n v="3"/>
    <n v="65000"/>
    <n v="52000"/>
    <n v="0.24"/>
    <n v="148200"/>
    <n v="156000"/>
    <n v="-7800"/>
    <s v="Net Banking"/>
    <x v="2"/>
  </r>
  <r>
    <s v="ORD0417"/>
    <s v="CUST0417"/>
    <d v="2025-07-22T00:00:00"/>
    <s v="Rohan Kulkarni"/>
    <s v="Jaipur"/>
    <s v="Rajasthan"/>
    <s v="North"/>
    <s v="Monitor"/>
    <s v="Office"/>
    <s v="Pooja Das"/>
    <n v="5"/>
    <n v="18000"/>
    <n v="14000"/>
    <n v="0.05"/>
    <n v="85500"/>
    <n v="70000"/>
    <n v="15500"/>
    <s v="Cash"/>
    <x v="1"/>
  </r>
  <r>
    <s v="ORD0418"/>
    <s v="CUST0418"/>
    <d v="2024-02-25T00:00:00"/>
    <s v="Suresh Iyer"/>
    <s v="Mumbai"/>
    <s v="Maharashtra"/>
    <s v="West"/>
    <s v="Headphones"/>
    <s v="Accessories"/>
    <s v="Anjali Mehta"/>
    <n v="2"/>
    <n v="3000"/>
    <n v="1800"/>
    <n v="0.19"/>
    <n v="4860"/>
    <n v="3600"/>
    <n v="1260"/>
    <s v="Net Banking"/>
    <x v="2"/>
  </r>
  <r>
    <s v="ORD0419"/>
    <s v="CUST0419"/>
    <d v="2024-05-15T00:00:00"/>
    <s v="Aditya Mishra"/>
    <s v="Jaipur"/>
    <s v="Rajasthan"/>
    <s v="North"/>
    <s v="Smartwatch"/>
    <s v="Wearables"/>
    <s v="Rahul Verma"/>
    <n v="3"/>
    <n v="12000"/>
    <n v="8500"/>
    <n v="0.28999999999999998"/>
    <n v="25560"/>
    <n v="25500"/>
    <n v="60"/>
    <s v="Credit Card"/>
    <x v="3"/>
  </r>
  <r>
    <s v="ORD0420"/>
    <s v="CUST0420"/>
    <d v="2024-10-17T00:00:00"/>
    <s v="Priya Patel"/>
    <s v="Kolkata"/>
    <s v="West Bengal"/>
    <s v="East"/>
    <s v="Mouse"/>
    <s v="Accessories"/>
    <s v="Amit Sharma"/>
    <n v="5"/>
    <n v="800"/>
    <n v="450"/>
    <n v="0.24"/>
    <n v="3040"/>
    <n v="2250"/>
    <n v="790"/>
    <s v="UPI"/>
    <x v="2"/>
  </r>
  <r>
    <s v="ORD0421"/>
    <s v="CUST0421"/>
    <d v="2025-05-06T00:00:00"/>
    <s v="Pooja Das"/>
    <s v="Bengaluru"/>
    <s v="Karnataka"/>
    <s v="South"/>
    <s v="Headphones"/>
    <s v="Accessories"/>
    <s v="Neha Gupta"/>
    <n v="7"/>
    <n v="3000"/>
    <n v="1800"/>
    <n v="0.22"/>
    <n v="16380"/>
    <n v="12600"/>
    <n v="3780"/>
    <s v="UPI"/>
    <x v="2"/>
  </r>
  <r>
    <s v="ORD0422"/>
    <s v="CUST0422"/>
    <d v="2025-08-10T00:00:00"/>
    <s v="Rohit Verma"/>
    <s v="Mumbai"/>
    <s v="Maharashtra"/>
    <s v="West"/>
    <s v="Laptop"/>
    <s v="Electronics"/>
    <s v="Rahul Verma"/>
    <n v="2"/>
    <n v="65000"/>
    <n v="52000"/>
    <n v="0.05"/>
    <n v="123500"/>
    <n v="104000"/>
    <n v="19500"/>
    <s v="UPI"/>
    <x v="2"/>
  </r>
  <r>
    <s v="ORD0423"/>
    <s v="CUST0423"/>
    <d v="2024-07-27T00:00:00"/>
    <s v="Meera Shah"/>
    <s v="New Delhi"/>
    <s v="Delhi"/>
    <s v="North"/>
    <s v="Keyboard"/>
    <s v="Accessories"/>
    <s v="Karan Singh"/>
    <n v="3"/>
    <n v="1500"/>
    <n v="900"/>
    <n v="0.25"/>
    <n v="3375"/>
    <n v="2700"/>
    <n v="675"/>
    <s v="Net Banking"/>
    <x v="2"/>
  </r>
  <r>
    <s v="ORD0424"/>
    <s v="CUST0424"/>
    <d v="2025-08-02T00:00:00"/>
    <s v="Arjun Mehta"/>
    <s v="Coimbatore"/>
    <s v="Tamil Nadu"/>
    <s v="South"/>
    <s v="Headphones"/>
    <s v="Accessories"/>
    <s v="Pooja Das"/>
    <n v="4"/>
    <n v="3000"/>
    <n v="1800"/>
    <n v="0.01"/>
    <n v="11880"/>
    <n v="7200"/>
    <n v="4680"/>
    <s v="Net Banking"/>
    <x v="3"/>
  </r>
  <r>
    <s v="ORD0425"/>
    <s v="CUST0425"/>
    <d v="2024-09-26T00:00:00"/>
    <s v="Aditya Mishra"/>
    <s v="Kolkata"/>
    <s v="West Bengal"/>
    <s v="East"/>
    <s v="Smartphone"/>
    <s v="Electronics"/>
    <s v="Pooja Das"/>
    <n v="5"/>
    <n v="35000"/>
    <n v="28000"/>
    <n v="0"/>
    <n v="175000"/>
    <n v="140000"/>
    <n v="35000"/>
    <s v="UPI"/>
    <x v="0"/>
  </r>
  <r>
    <s v="ORD0426"/>
    <s v="CUST0426"/>
    <d v="2024-01-04T00:00:00"/>
    <s v="Priya Patel"/>
    <s v="Mysuru"/>
    <s v="Karnataka"/>
    <s v="South"/>
    <s v="Laptop"/>
    <s v="Electronics"/>
    <s v="Priya Nair"/>
    <n v="6"/>
    <n v="65000"/>
    <n v="52000"/>
    <n v="0.22"/>
    <n v="304200"/>
    <n v="312000"/>
    <n v="-7800"/>
    <s v="Net Banking"/>
    <x v="1"/>
  </r>
  <r>
    <s v="ORD0427"/>
    <s v="CUST0427"/>
    <d v="2025-06-01T00:00:00"/>
    <s v="Rahul Sharma"/>
    <s v="Pune"/>
    <s v="Maharashtra"/>
    <s v="West"/>
    <s v="Smartwatch"/>
    <s v="Wearables"/>
    <s v="Neha Gupta"/>
    <n v="10"/>
    <n v="12000"/>
    <n v="8500"/>
    <n v="0.23"/>
    <n v="92400"/>
    <n v="85000"/>
    <n v="7400"/>
    <s v="UPI"/>
    <x v="3"/>
  </r>
  <r>
    <s v="ORD0428"/>
    <s v="CUST0428"/>
    <d v="2025-04-18T00:00:00"/>
    <s v="Divya Menon"/>
    <s v="Coimbatore"/>
    <s v="Tamil Nadu"/>
    <s v="South"/>
    <s v="Tablet"/>
    <s v="Electronics"/>
    <s v="Priya Nair"/>
    <n v="8"/>
    <n v="25000"/>
    <n v="20000"/>
    <n v="0.1"/>
    <n v="180000"/>
    <n v="160000"/>
    <n v="20000"/>
    <s v="UPI"/>
    <x v="1"/>
  </r>
  <r>
    <s v="ORD0429"/>
    <s v="CUST0429"/>
    <d v="2025-12-22T00:00:00"/>
    <s v="Aisha Khan"/>
    <s v="Chennai"/>
    <s v="Tamil Nadu"/>
    <s v="South"/>
    <s v="Printer"/>
    <s v="Office"/>
    <s v="Anjali Mehta"/>
    <n v="7"/>
    <n v="15000"/>
    <n v="11500"/>
    <n v="0.02"/>
    <n v="102900"/>
    <n v="80500"/>
    <n v="22400"/>
    <s v="Debit Card"/>
    <x v="2"/>
  </r>
  <r>
    <s v="ORD0430"/>
    <s v="CUST0430"/>
    <d v="2025-02-11T00:00:00"/>
    <s v="Anjali Rao"/>
    <s v="Bengaluru"/>
    <s v="Karnataka"/>
    <s v="South"/>
    <s v="Monitor"/>
    <s v="Office"/>
    <s v="Sneha Patil"/>
    <n v="8"/>
    <n v="18000"/>
    <n v="14000"/>
    <n v="0.25"/>
    <n v="108000"/>
    <n v="112000"/>
    <n v="-4000"/>
    <s v="Credit Card"/>
    <x v="2"/>
  </r>
  <r>
    <s v="ORD0431"/>
    <s v="CUST0431"/>
    <d v="2024-05-14T00:00:00"/>
    <s v="Sneha Nair"/>
    <s v="Pune"/>
    <s v="Maharashtra"/>
    <s v="West"/>
    <s v="Speaker"/>
    <s v="Electronics"/>
    <s v="Arjun Rao"/>
    <n v="5"/>
    <n v="5000"/>
    <n v="3200"/>
    <n v="0.25"/>
    <n v="18750"/>
    <n v="16000"/>
    <n v="2750"/>
    <s v="Net Banking"/>
    <x v="1"/>
  </r>
  <r>
    <s v="ORD0432"/>
    <s v="CUST0432"/>
    <d v="2025-07-15T00:00:00"/>
    <s v="Rohit Verma"/>
    <s v="Coimbatore"/>
    <s v="Tamil Nadu"/>
    <s v="South"/>
    <s v="Printer"/>
    <s v="Office"/>
    <s v="Priya Nair"/>
    <n v="10"/>
    <n v="15000"/>
    <n v="11500"/>
    <n v="0.3"/>
    <n v="105000"/>
    <n v="115000"/>
    <n v="-10000"/>
    <s v="Net Banking"/>
    <x v="2"/>
  </r>
  <r>
    <s v="ORD0433"/>
    <s v="CUST0433"/>
    <d v="2024-03-18T00:00:00"/>
    <s v="Meera Shah"/>
    <s v="New Delhi"/>
    <s v="Delhi"/>
    <s v="North"/>
    <s v="Smartphone"/>
    <s v="Electronics"/>
    <s v="Amit Sharma"/>
    <n v="7"/>
    <n v="35000"/>
    <n v="28000"/>
    <n v="0.03"/>
    <n v="237650"/>
    <n v="196000"/>
    <n v="41650"/>
    <s v="Debit Card"/>
    <x v="2"/>
  </r>
  <r>
    <s v="ORD0434"/>
    <s v="CUST0434"/>
    <d v="2024-03-20T00:00:00"/>
    <s v="Suresh Iyer"/>
    <s v="New Delhi"/>
    <s v="Delhi"/>
    <s v="North"/>
    <s v="Headphones"/>
    <s v="Accessories"/>
    <s v="Sneha Patil"/>
    <n v="6"/>
    <n v="3000"/>
    <n v="1800"/>
    <n v="0.12"/>
    <n v="15840"/>
    <n v="10800"/>
    <n v="5040"/>
    <s v="Credit Card"/>
    <x v="3"/>
  </r>
  <r>
    <s v="ORD0435"/>
    <s v="CUST0435"/>
    <d v="2024-12-14T00:00:00"/>
    <s v="Arjun Mehta"/>
    <s v="Hyderabad"/>
    <s v="Telangana"/>
    <s v="South"/>
    <s v="Laptop"/>
    <s v="Electronics"/>
    <s v="Pooja Das"/>
    <n v="2"/>
    <n v="65000"/>
    <n v="52000"/>
    <n v="0.15"/>
    <n v="110500"/>
    <n v="104000"/>
    <n v="6500"/>
    <s v="Credit Card"/>
    <x v="2"/>
  </r>
  <r>
    <s v="ORD0436"/>
    <s v="CUST0436"/>
    <d v="2024-01-14T00:00:00"/>
    <s v="Sneha Nair"/>
    <s v="Kolkata"/>
    <s v="West Bengal"/>
    <s v="East"/>
    <s v="Laptop"/>
    <s v="Electronics"/>
    <s v="Rahul Verma"/>
    <n v="4"/>
    <n v="65000"/>
    <n v="52000"/>
    <n v="0.02"/>
    <n v="254800"/>
    <n v="208000"/>
    <n v="46800"/>
    <s v="Credit Card"/>
    <x v="0"/>
  </r>
  <r>
    <s v="ORD0437"/>
    <s v="CUST0437"/>
    <d v="2024-01-16T00:00:00"/>
    <s v="Nikhil Jain"/>
    <s v="Coimbatore"/>
    <s v="Tamil Nadu"/>
    <s v="South"/>
    <s v="Printer"/>
    <s v="Office"/>
    <s v="Pooja Das"/>
    <n v="7"/>
    <n v="15000"/>
    <n v="11500"/>
    <n v="0.13"/>
    <n v="91350"/>
    <n v="80500"/>
    <n v="10850"/>
    <s v="UPI"/>
    <x v="3"/>
  </r>
  <r>
    <s v="ORD0438"/>
    <s v="CUST0438"/>
    <d v="2024-09-11T00:00:00"/>
    <s v="Aisha Khan"/>
    <s v="Kolkata"/>
    <s v="West Bengal"/>
    <s v="East"/>
    <s v="Smartwatch"/>
    <s v="Wearables"/>
    <s v="Sneha Patil"/>
    <n v="3"/>
    <n v="12000"/>
    <n v="8500"/>
    <n v="0.15"/>
    <n v="30600"/>
    <n v="25500"/>
    <n v="5100"/>
    <s v="Debit Card"/>
    <x v="0"/>
  </r>
  <r>
    <s v="ORD0439"/>
    <s v="CUST0439"/>
    <d v="2025-08-06T00:00:00"/>
    <s v="Deepika Roy"/>
    <s v="Kolkata"/>
    <s v="West Bengal"/>
    <s v="East"/>
    <s v="Keyboard"/>
    <s v="Accessories"/>
    <s v="Pooja Das"/>
    <n v="5"/>
    <n v="1500"/>
    <n v="900"/>
    <n v="0.09"/>
    <n v="6825"/>
    <n v="4500"/>
    <n v="2325"/>
    <s v="UPI"/>
    <x v="3"/>
  </r>
  <r>
    <s v="ORD0440"/>
    <s v="CUST0440"/>
    <d v="2024-04-27T00:00:00"/>
    <s v="Vikram Singh"/>
    <s v="Pune"/>
    <s v="Maharashtra"/>
    <s v="West"/>
    <s v="Smartphone"/>
    <s v="Electronics"/>
    <s v="Arjun Rao"/>
    <n v="1"/>
    <n v="35000"/>
    <n v="28000"/>
    <n v="7.0000000000000007E-2"/>
    <n v="32549.999999999996"/>
    <n v="28000"/>
    <n v="4549.9999999999964"/>
    <s v="Cash"/>
    <x v="3"/>
  </r>
  <r>
    <s v="ORD0441"/>
    <s v="CUST0441"/>
    <d v="2024-03-25T00:00:00"/>
    <s v="Rahul Sharma"/>
    <s v="Chennai"/>
    <s v="Tamil Nadu"/>
    <s v="South"/>
    <s v="Speaker"/>
    <s v="Electronics"/>
    <s v="Vikram Joshi"/>
    <n v="10"/>
    <n v="5000"/>
    <n v="3200"/>
    <n v="0.09"/>
    <n v="45500"/>
    <n v="32000"/>
    <n v="13500"/>
    <s v="Net Banking"/>
    <x v="2"/>
  </r>
  <r>
    <s v="ORD0442"/>
    <s v="CUST0442"/>
    <d v="2024-07-22T00:00:00"/>
    <s v="Vikram Singh"/>
    <s v="Bengaluru"/>
    <s v="Karnataka"/>
    <s v="South"/>
    <s v="Speaker"/>
    <s v="Electronics"/>
    <s v="Rahul Verma"/>
    <n v="2"/>
    <n v="5000"/>
    <n v="3200"/>
    <n v="0.19"/>
    <n v="8100.0000000000009"/>
    <n v="6400"/>
    <n v="1700.0000000000009"/>
    <s v="UPI"/>
    <x v="0"/>
  </r>
  <r>
    <s v="ORD0443"/>
    <s v="CUST0443"/>
    <d v="2024-03-30T00:00:00"/>
    <s v="Suresh Iyer"/>
    <s v="Bengaluru"/>
    <s v="Karnataka"/>
    <s v="South"/>
    <s v="Monitor"/>
    <s v="Office"/>
    <s v="Karan Singh"/>
    <n v="5"/>
    <n v="18000"/>
    <n v="14000"/>
    <n v="0.3"/>
    <n v="62999.999999999993"/>
    <n v="70000"/>
    <n v="-7000.0000000000073"/>
    <s v="Net Banking"/>
    <x v="0"/>
  </r>
  <r>
    <s v="ORD0444"/>
    <s v="CUST0444"/>
    <d v="2025-07-04T00:00:00"/>
    <s v="Vikram Singh"/>
    <s v="Bengaluru"/>
    <s v="Karnataka"/>
    <s v="South"/>
    <s v="Printer"/>
    <s v="Office"/>
    <s v="Pooja Das"/>
    <n v="1"/>
    <n v="15000"/>
    <n v="11500"/>
    <n v="0.1"/>
    <n v="13500"/>
    <n v="11500"/>
    <n v="2000"/>
    <s v="Debit Card"/>
    <x v="2"/>
  </r>
  <r>
    <s v="ORD0445"/>
    <s v="CUST0445"/>
    <d v="2024-12-28T00:00:00"/>
    <s v="Meera Shah"/>
    <s v="Pune"/>
    <s v="Maharashtra"/>
    <s v="West"/>
    <s v="Printer"/>
    <s v="Office"/>
    <s v="Sneha Patil"/>
    <n v="8"/>
    <n v="15000"/>
    <n v="11500"/>
    <n v="0.23"/>
    <n v="92400"/>
    <n v="92000"/>
    <n v="400"/>
    <s v="Cash"/>
    <x v="1"/>
  </r>
  <r>
    <s v="ORD0446"/>
    <s v="CUST0446"/>
    <d v="2024-04-14T00:00:00"/>
    <s v="Deepika Roy"/>
    <s v="Mumbai"/>
    <s v="Maharashtra"/>
    <s v="West"/>
    <s v="Laptop"/>
    <s v="Electronics"/>
    <s v="Karan Singh"/>
    <n v="3"/>
    <n v="65000"/>
    <n v="52000"/>
    <n v="0.2"/>
    <n v="156000"/>
    <n v="156000"/>
    <n v="0"/>
    <s v="Debit Card"/>
    <x v="1"/>
  </r>
  <r>
    <s v="ORD0447"/>
    <s v="CUST0447"/>
    <d v="2024-09-12T00:00:00"/>
    <s v="Sneha Nair"/>
    <s v="Kolkata"/>
    <s v="West Bengal"/>
    <s v="East"/>
    <s v="Tablet"/>
    <s v="Electronics"/>
    <s v="Vikram Joshi"/>
    <n v="6"/>
    <n v="25000"/>
    <n v="20000"/>
    <n v="0.19"/>
    <n v="121500.00000000001"/>
    <n v="120000"/>
    <n v="1500.0000000000146"/>
    <s v="Debit Card"/>
    <x v="0"/>
  </r>
  <r>
    <s v="ORD0448"/>
    <s v="CUST0448"/>
    <d v="2025-03-31T00:00:00"/>
    <s v="Divya Menon"/>
    <s v="Hyderabad"/>
    <s v="Telangana"/>
    <s v="South"/>
    <s v="Smartphone"/>
    <s v="Electronics"/>
    <s v="Pooja Das"/>
    <n v="9"/>
    <n v="35000"/>
    <n v="28000"/>
    <n v="0.11"/>
    <n v="280350"/>
    <n v="252000"/>
    <n v="28350"/>
    <s v="Cash"/>
    <x v="1"/>
  </r>
  <r>
    <s v="ORD0449"/>
    <s v="CUST0449"/>
    <d v="2024-08-08T00:00:00"/>
    <s v="Rahul Sharma"/>
    <s v="Surat"/>
    <s v="Gujarat"/>
    <s v="West"/>
    <s v="Smartphone"/>
    <s v="Electronics"/>
    <s v="Pooja Das"/>
    <n v="3"/>
    <n v="35000"/>
    <n v="28000"/>
    <n v="0.24"/>
    <n v="79800"/>
    <n v="84000"/>
    <n v="-4200"/>
    <s v="Net Banking"/>
    <x v="1"/>
  </r>
  <r>
    <s v="ORD0450"/>
    <s v="CUST0450"/>
    <d v="2024-03-20T00:00:00"/>
    <s v="Deepika Roy"/>
    <s v="Chennai"/>
    <s v="Tamil Nadu"/>
    <s v="South"/>
    <s v="Keyboard"/>
    <s v="Accessories"/>
    <s v="Neha Gupta"/>
    <n v="5"/>
    <n v="1500"/>
    <n v="900"/>
    <n v="0.1"/>
    <n v="6750"/>
    <n v="4500"/>
    <n v="2250"/>
    <s v="UPI"/>
    <x v="0"/>
  </r>
  <r>
    <s v="ORD0451"/>
    <s v="CUST0451"/>
    <d v="2025-04-06T00:00:00"/>
    <s v="Meera Shah"/>
    <s v="Bengaluru"/>
    <s v="Karnataka"/>
    <s v="South"/>
    <s v="Laptop"/>
    <s v="Electronics"/>
    <s v="Pooja Das"/>
    <n v="9"/>
    <n v="65000"/>
    <n v="52000"/>
    <n v="0.02"/>
    <n v="573300"/>
    <n v="468000"/>
    <n v="105300"/>
    <s v="Credit Card"/>
    <x v="3"/>
  </r>
  <r>
    <s v="ORD0452"/>
    <s v="CUST0452"/>
    <d v="2025-06-25T00:00:00"/>
    <s v="Sneha Nair"/>
    <s v="Kolkata"/>
    <s v="West Bengal"/>
    <s v="East"/>
    <s v="Smartphone"/>
    <s v="Electronics"/>
    <s v="Amit Sharma"/>
    <n v="10"/>
    <n v="35000"/>
    <n v="28000"/>
    <n v="0.28000000000000003"/>
    <n v="252000"/>
    <n v="280000"/>
    <n v="-28000"/>
    <s v="Debit Card"/>
    <x v="3"/>
  </r>
  <r>
    <s v="ORD0453"/>
    <s v="CUST0453"/>
    <d v="2025-08-02T00:00:00"/>
    <s v="Rohit Verma"/>
    <s v="Mysuru"/>
    <s v="Karnataka"/>
    <s v="South"/>
    <s v="Headphones"/>
    <s v="Accessories"/>
    <s v="Anjali Mehta"/>
    <n v="9"/>
    <n v="3000"/>
    <n v="1800"/>
    <n v="0.27"/>
    <n v="19710"/>
    <n v="16200"/>
    <n v="3510"/>
    <s v="Debit Card"/>
    <x v="2"/>
  </r>
  <r>
    <s v="ORD0454"/>
    <s v="CUST0454"/>
    <d v="2025-04-04T00:00:00"/>
    <s v="Priya Patel"/>
    <s v="Surat"/>
    <s v="Gujarat"/>
    <s v="West"/>
    <s v="Smartphone"/>
    <s v="Electronics"/>
    <s v="Karan Singh"/>
    <n v="6"/>
    <n v="35000"/>
    <n v="28000"/>
    <n v="0.08"/>
    <n v="193200"/>
    <n v="168000"/>
    <n v="25200"/>
    <s v="UPI"/>
    <x v="2"/>
  </r>
  <r>
    <s v="ORD0455"/>
    <s v="CUST0455"/>
    <d v="2024-02-05T00:00:00"/>
    <s v="Amit Kumar"/>
    <s v="Mysuru"/>
    <s v="Karnataka"/>
    <s v="South"/>
    <s v="Monitor"/>
    <s v="Office"/>
    <s v="Arjun Rao"/>
    <n v="1"/>
    <n v="18000"/>
    <n v="14000"/>
    <n v="0.06"/>
    <n v="16920"/>
    <n v="14000"/>
    <n v="2920"/>
    <s v="Credit Card"/>
    <x v="0"/>
  </r>
  <r>
    <s v="ORD0456"/>
    <s v="CUST0456"/>
    <d v="2024-06-13T00:00:00"/>
    <s v="Aditya Mishra"/>
    <s v="Kolkata"/>
    <s v="West Bengal"/>
    <s v="East"/>
    <s v="Smartwatch"/>
    <s v="Wearables"/>
    <s v="Pooja Das"/>
    <n v="4"/>
    <n v="12000"/>
    <n v="8500"/>
    <n v="0.26"/>
    <n v="35520"/>
    <n v="34000"/>
    <n v="1520"/>
    <s v="Cash"/>
    <x v="1"/>
  </r>
  <r>
    <s v="ORD0457"/>
    <s v="CUST0457"/>
    <d v="2025-01-15T00:00:00"/>
    <s v="Sneha Nair"/>
    <s v="Mumbai"/>
    <s v="Maharashtra"/>
    <s v="West"/>
    <s v="Headphones"/>
    <s v="Accessories"/>
    <s v="Sneha Patil"/>
    <n v="6"/>
    <n v="3000"/>
    <n v="1800"/>
    <n v="0.16"/>
    <n v="15120"/>
    <n v="10800"/>
    <n v="4320"/>
    <s v="Debit Card"/>
    <x v="1"/>
  </r>
  <r>
    <s v="ORD0458"/>
    <s v="CUST0458"/>
    <d v="2025-04-10T00:00:00"/>
    <s v="Neha Gupta"/>
    <s v="Hyderabad"/>
    <s v="Telangana"/>
    <s v="South"/>
    <s v="Printer"/>
    <s v="Office"/>
    <s v="Priya Nair"/>
    <n v="3"/>
    <n v="15000"/>
    <n v="11500"/>
    <n v="0.15"/>
    <n v="38250"/>
    <n v="34500"/>
    <n v="3750"/>
    <s v="Debit Card"/>
    <x v="0"/>
  </r>
  <r>
    <s v="ORD0459"/>
    <s v="CUST0459"/>
    <d v="2025-06-17T00:00:00"/>
    <s v="Priya Patel"/>
    <s v="Kolkata"/>
    <s v="West Bengal"/>
    <s v="East"/>
    <s v="Laptop"/>
    <s v="Electronics"/>
    <s v="Sneha Patil"/>
    <n v="5"/>
    <n v="65000"/>
    <n v="52000"/>
    <n v="0.15"/>
    <n v="276250"/>
    <n v="260000"/>
    <n v="16250"/>
    <s v="Cash"/>
    <x v="2"/>
  </r>
  <r>
    <s v="ORD0460"/>
    <s v="CUST0460"/>
    <d v="2025-06-18T00:00:00"/>
    <s v="Sneha Nair"/>
    <s v="Jaipur"/>
    <s v="Rajasthan"/>
    <s v="North"/>
    <s v="Laptop"/>
    <s v="Electronics"/>
    <s v="Pooja Das"/>
    <n v="10"/>
    <n v="65000"/>
    <n v="52000"/>
    <n v="0.03"/>
    <n v="630500"/>
    <n v="520000"/>
    <n v="110500"/>
    <s v="UPI"/>
    <x v="2"/>
  </r>
  <r>
    <s v="ORD0461"/>
    <s v="CUST0461"/>
    <d v="2024-06-22T00:00:00"/>
    <s v="Aditya Mishra"/>
    <s v="Ahmedabad"/>
    <s v="Gujarat"/>
    <s v="West"/>
    <s v="Mouse"/>
    <s v="Accessories"/>
    <s v="Neha Gupta"/>
    <n v="2"/>
    <n v="800"/>
    <n v="450"/>
    <n v="0.18"/>
    <n v="1312"/>
    <n v="900"/>
    <n v="412"/>
    <s v="Net Banking"/>
    <x v="2"/>
  </r>
  <r>
    <s v="ORD0462"/>
    <s v="CUST0462"/>
    <d v="2025-12-28T00:00:00"/>
    <s v="Anjali Rao"/>
    <s v="Coimbatore"/>
    <s v="Tamil Nadu"/>
    <s v="South"/>
    <s v="Mouse"/>
    <s v="Accessories"/>
    <s v="Sneha Patil"/>
    <n v="3"/>
    <n v="800"/>
    <n v="450"/>
    <n v="0.04"/>
    <n v="2304"/>
    <n v="1350"/>
    <n v="954"/>
    <s v="UPI"/>
    <x v="2"/>
  </r>
  <r>
    <s v="ORD0463"/>
    <s v="CUST0463"/>
    <d v="2024-10-26T00:00:00"/>
    <s v="Priya Patel"/>
    <s v="Surat"/>
    <s v="Gujarat"/>
    <s v="West"/>
    <s v="Monitor"/>
    <s v="Office"/>
    <s v="Amit Sharma"/>
    <n v="6"/>
    <n v="18000"/>
    <n v="14000"/>
    <n v="0.25"/>
    <n v="81000"/>
    <n v="84000"/>
    <n v="-3000"/>
    <s v="Cash"/>
    <x v="1"/>
  </r>
  <r>
    <s v="ORD0464"/>
    <s v="CUST0464"/>
    <d v="2024-01-04T00:00:00"/>
    <s v="Divya Menon"/>
    <s v="Warangal"/>
    <s v="Telangana"/>
    <s v="South"/>
    <s v="Smartwatch"/>
    <s v="Wearables"/>
    <s v="Neha Gupta"/>
    <n v="10"/>
    <n v="12000"/>
    <n v="8500"/>
    <n v="0.06"/>
    <n v="112800"/>
    <n v="85000"/>
    <n v="27800"/>
    <s v="Net Banking"/>
    <x v="0"/>
  </r>
  <r>
    <s v="ORD0465"/>
    <s v="CUST0465"/>
    <d v="2024-10-09T00:00:00"/>
    <s v="Rahul Sharma"/>
    <s v="Bengaluru"/>
    <s v="Karnataka"/>
    <s v="South"/>
    <s v="Headphones"/>
    <s v="Accessories"/>
    <s v="Anjali Mehta"/>
    <n v="2"/>
    <n v="3000"/>
    <n v="1800"/>
    <n v="0.22"/>
    <n v="4680"/>
    <n v="3600"/>
    <n v="1080"/>
    <s v="Cash"/>
    <x v="2"/>
  </r>
  <r>
    <s v="ORD0466"/>
    <s v="CUST0466"/>
    <d v="2025-02-05T00:00:00"/>
    <s v="Suresh Iyer"/>
    <s v="Jaipur"/>
    <s v="Rajasthan"/>
    <s v="North"/>
    <s v="Mouse"/>
    <s v="Accessories"/>
    <s v="Neha Gupta"/>
    <n v="10"/>
    <n v="800"/>
    <n v="450"/>
    <n v="0.26"/>
    <n v="5920"/>
    <n v="4500"/>
    <n v="1420"/>
    <s v="Credit Card"/>
    <x v="0"/>
  </r>
  <r>
    <s v="ORD0467"/>
    <s v="CUST0467"/>
    <d v="2024-12-23T00:00:00"/>
    <s v="Deepika Roy"/>
    <s v="Mysuru"/>
    <s v="Karnataka"/>
    <s v="South"/>
    <s v="Printer"/>
    <s v="Office"/>
    <s v="Priya Nair"/>
    <n v="1"/>
    <n v="15000"/>
    <n v="11500"/>
    <n v="0.03"/>
    <n v="14550"/>
    <n v="11500"/>
    <n v="3050"/>
    <s v="Debit Card"/>
    <x v="1"/>
  </r>
  <r>
    <s v="ORD0468"/>
    <s v="CUST0468"/>
    <d v="2024-06-24T00:00:00"/>
    <s v="Suresh Iyer"/>
    <s v="Mysuru"/>
    <s v="Karnataka"/>
    <s v="South"/>
    <s v="Keyboard"/>
    <s v="Accessories"/>
    <s v="Rahul Verma"/>
    <n v="3"/>
    <n v="1500"/>
    <n v="900"/>
    <n v="0.24"/>
    <n v="3420"/>
    <n v="2700"/>
    <n v="720"/>
    <s v="Cash"/>
    <x v="3"/>
  </r>
  <r>
    <s v="ORD0469"/>
    <s v="CUST0469"/>
    <d v="2025-07-04T00:00:00"/>
    <s v="Deepika Roy"/>
    <s v="Surat"/>
    <s v="Gujarat"/>
    <s v="West"/>
    <s v="Tablet"/>
    <s v="Electronics"/>
    <s v="Sneha Patil"/>
    <n v="6"/>
    <n v="25000"/>
    <n v="20000"/>
    <n v="0.18"/>
    <n v="123000.00000000001"/>
    <n v="120000"/>
    <n v="3000.0000000000146"/>
    <s v="UPI"/>
    <x v="2"/>
  </r>
  <r>
    <s v="ORD0470"/>
    <s v="CUST0470"/>
    <d v="2025-10-21T00:00:00"/>
    <s v="Rohit Verma"/>
    <s v="New Delhi"/>
    <s v="Delhi"/>
    <s v="North"/>
    <s v="Mouse"/>
    <s v="Accessories"/>
    <s v="Karan Singh"/>
    <n v="7"/>
    <n v="800"/>
    <n v="450"/>
    <n v="0.05"/>
    <n v="5320"/>
    <n v="3150"/>
    <n v="2170"/>
    <s v="UPI"/>
    <x v="3"/>
  </r>
  <r>
    <s v="ORD0471"/>
    <s v="CUST0471"/>
    <d v="2024-08-31T00:00:00"/>
    <s v="Rohan Kulkarni"/>
    <s v="Bengaluru"/>
    <s v="Karnataka"/>
    <s v="South"/>
    <s v="Mouse"/>
    <s v="Accessories"/>
    <s v="Sneha Patil"/>
    <n v="1"/>
    <n v="800"/>
    <n v="450"/>
    <n v="0.19"/>
    <n v="648"/>
    <n v="450"/>
    <n v="198"/>
    <s v="Cash"/>
    <x v="3"/>
  </r>
  <r>
    <s v="ORD0472"/>
    <s v="CUST0472"/>
    <d v="2025-05-31T00:00:00"/>
    <s v="Aisha Khan"/>
    <s v="Warangal"/>
    <s v="Telangana"/>
    <s v="South"/>
    <s v="Printer"/>
    <s v="Office"/>
    <s v="Pooja Das"/>
    <n v="7"/>
    <n v="15000"/>
    <n v="11500"/>
    <n v="0.05"/>
    <n v="99750"/>
    <n v="80500"/>
    <n v="19250"/>
    <s v="Credit Card"/>
    <x v="0"/>
  </r>
  <r>
    <s v="ORD0473"/>
    <s v="CUST0473"/>
    <d v="2024-05-09T00:00:00"/>
    <s v="Neha Gupta"/>
    <s v="New Delhi"/>
    <s v="Delhi"/>
    <s v="North"/>
    <s v="Mouse"/>
    <s v="Accessories"/>
    <s v="Rahul Verma"/>
    <n v="2"/>
    <n v="800"/>
    <n v="450"/>
    <n v="7.0000000000000007E-2"/>
    <n v="1488"/>
    <n v="900"/>
    <n v="588"/>
    <s v="Cash"/>
    <x v="1"/>
  </r>
  <r>
    <s v="ORD0474"/>
    <s v="CUST0474"/>
    <d v="2024-10-09T00:00:00"/>
    <s v="Suresh Iyer"/>
    <s v="Jaipur"/>
    <s v="Rajasthan"/>
    <s v="North"/>
    <s v="Tablet"/>
    <s v="Electronics"/>
    <s v="Neha Gupta"/>
    <n v="7"/>
    <n v="25000"/>
    <n v="20000"/>
    <n v="0.18"/>
    <n v="143500"/>
    <n v="140000"/>
    <n v="3500"/>
    <s v="UPI"/>
    <x v="1"/>
  </r>
  <r>
    <s v="ORD0475"/>
    <s v="CUST0475"/>
    <d v="2025-03-14T00:00:00"/>
    <s v="Aditya Mishra"/>
    <s v="Mysuru"/>
    <s v="Karnataka"/>
    <s v="South"/>
    <s v="Mouse"/>
    <s v="Accessories"/>
    <s v="Sneha Patil"/>
    <n v="7"/>
    <n v="800"/>
    <n v="450"/>
    <n v="0.18"/>
    <n v="4592"/>
    <n v="3150"/>
    <n v="1442"/>
    <s v="UPI"/>
    <x v="3"/>
  </r>
  <r>
    <s v="ORD0476"/>
    <s v="CUST0476"/>
    <d v="2024-10-31T00:00:00"/>
    <s v="Divya Menon"/>
    <s v="Hyderabad"/>
    <s v="Telangana"/>
    <s v="South"/>
    <s v="Keyboard"/>
    <s v="Accessories"/>
    <s v="Arjun Rao"/>
    <n v="7"/>
    <n v="1500"/>
    <n v="900"/>
    <n v="0.09"/>
    <n v="9555"/>
    <n v="6300"/>
    <n v="3255"/>
    <s v="Cash"/>
    <x v="2"/>
  </r>
  <r>
    <s v="ORD0477"/>
    <s v="CUST0477"/>
    <d v="2025-01-24T00:00:00"/>
    <s v="Nikhil Jain"/>
    <s v="Pune"/>
    <s v="Maharashtra"/>
    <s v="West"/>
    <s v="Tablet"/>
    <s v="Electronics"/>
    <s v="Sneha Patil"/>
    <n v="1"/>
    <n v="25000"/>
    <n v="20000"/>
    <n v="0.21"/>
    <n v="19750"/>
    <n v="20000"/>
    <n v="-250"/>
    <s v="UPI"/>
    <x v="3"/>
  </r>
  <r>
    <s v="ORD0478"/>
    <s v="CUST0478"/>
    <d v="2025-04-30T00:00:00"/>
    <s v="Aisha Khan"/>
    <s v="Mumbai"/>
    <s v="Maharashtra"/>
    <s v="West"/>
    <s v="Tablet"/>
    <s v="Electronics"/>
    <s v="Pooja Das"/>
    <n v="5"/>
    <n v="25000"/>
    <n v="20000"/>
    <n v="0.05"/>
    <n v="118750"/>
    <n v="100000"/>
    <n v="18750"/>
    <s v="Credit Card"/>
    <x v="2"/>
  </r>
  <r>
    <s v="ORD0479"/>
    <s v="CUST0479"/>
    <d v="2025-09-08T00:00:00"/>
    <s v="Rahul Sharma"/>
    <s v="Pune"/>
    <s v="Maharashtra"/>
    <s v="West"/>
    <s v="Mouse"/>
    <s v="Accessories"/>
    <s v="Neha Gupta"/>
    <n v="2"/>
    <n v="800"/>
    <n v="450"/>
    <n v="0.13"/>
    <n v="1392"/>
    <n v="900"/>
    <n v="492"/>
    <s v="UPI"/>
    <x v="0"/>
  </r>
  <r>
    <s v="ORD0480"/>
    <s v="CUST0480"/>
    <d v="2025-02-26T00:00:00"/>
    <s v="Rahul Sharma"/>
    <s v="Surat"/>
    <s v="Gujarat"/>
    <s v="West"/>
    <s v="Headphones"/>
    <s v="Accessories"/>
    <s v="Pooja Das"/>
    <n v="4"/>
    <n v="3000"/>
    <n v="1800"/>
    <n v="0.02"/>
    <n v="11760"/>
    <n v="7200"/>
    <n v="4560"/>
    <s v="Credit Card"/>
    <x v="2"/>
  </r>
  <r>
    <s v="ORD0481"/>
    <s v="CUST0481"/>
    <d v="2025-08-04T00:00:00"/>
    <s v="Sneha Nair"/>
    <s v="Kolkata"/>
    <s v="West Bengal"/>
    <s v="East"/>
    <s v="Laptop"/>
    <s v="Electronics"/>
    <s v="Rahul Verma"/>
    <n v="9"/>
    <n v="65000"/>
    <n v="52000"/>
    <n v="0.17"/>
    <n v="485550"/>
    <n v="468000"/>
    <n v="17550"/>
    <s v="Debit Card"/>
    <x v="0"/>
  </r>
  <r>
    <s v="ORD0482"/>
    <s v="CUST0482"/>
    <d v="2025-09-11T00:00:00"/>
    <s v="Karan Joshi"/>
    <s v="New Delhi"/>
    <s v="Delhi"/>
    <s v="North"/>
    <s v="Speaker"/>
    <s v="Electronics"/>
    <s v="Neha Gupta"/>
    <n v="7"/>
    <n v="5000"/>
    <n v="3200"/>
    <n v="0.19"/>
    <n v="28350.000000000004"/>
    <n v="22400"/>
    <n v="5950.0000000000036"/>
    <s v="Net Banking"/>
    <x v="2"/>
  </r>
  <r>
    <s v="ORD0483"/>
    <s v="CUST0483"/>
    <d v="2025-02-18T00:00:00"/>
    <s v="Aisha Khan"/>
    <s v="Chennai"/>
    <s v="Tamil Nadu"/>
    <s v="South"/>
    <s v="Tablet"/>
    <s v="Electronics"/>
    <s v="Sneha Patil"/>
    <n v="10"/>
    <n v="25000"/>
    <n v="20000"/>
    <n v="7.0000000000000007E-2"/>
    <n v="232499.99999999997"/>
    <n v="200000"/>
    <n v="32499.999999999971"/>
    <s v="Cash"/>
    <x v="0"/>
  </r>
  <r>
    <s v="ORD0484"/>
    <s v="CUST0484"/>
    <d v="2025-10-31T00:00:00"/>
    <s v="Aditya Mishra"/>
    <s v="Jaipur"/>
    <s v="Rajasthan"/>
    <s v="North"/>
    <s v="Smartphone"/>
    <s v="Electronics"/>
    <s v="Arjun Rao"/>
    <n v="7"/>
    <n v="35000"/>
    <n v="28000"/>
    <n v="0.12"/>
    <n v="215600"/>
    <n v="196000"/>
    <n v="19600"/>
    <s v="Net Banking"/>
    <x v="2"/>
  </r>
  <r>
    <s v="ORD0485"/>
    <s v="CUST0485"/>
    <d v="2025-04-27T00:00:00"/>
    <s v="Aditya Mishra"/>
    <s v="Coimbatore"/>
    <s v="Tamil Nadu"/>
    <s v="South"/>
    <s v="Printer"/>
    <s v="Office"/>
    <s v="Vikram Joshi"/>
    <n v="1"/>
    <n v="15000"/>
    <n v="11500"/>
    <n v="0.04"/>
    <n v="14400"/>
    <n v="11500"/>
    <n v="2900"/>
    <s v="Cash"/>
    <x v="1"/>
  </r>
  <r>
    <s v="ORD0486"/>
    <s v="CUST0486"/>
    <d v="2024-08-28T00:00:00"/>
    <s v="Arjun Mehta"/>
    <s v="Coimbatore"/>
    <s v="Tamil Nadu"/>
    <s v="South"/>
    <s v="Laptop"/>
    <s v="Electronics"/>
    <s v="Arjun Rao"/>
    <n v="4"/>
    <n v="65000"/>
    <n v="52000"/>
    <n v="0.11"/>
    <n v="231400"/>
    <n v="208000"/>
    <n v="23400"/>
    <s v="Credit Card"/>
    <x v="1"/>
  </r>
  <r>
    <s v="ORD0487"/>
    <s v="CUST0487"/>
    <d v="2024-09-09T00:00:00"/>
    <s v="Rohit Verma"/>
    <s v="Mysuru"/>
    <s v="Karnataka"/>
    <s v="South"/>
    <s v="Mouse"/>
    <s v="Accessories"/>
    <s v="Pooja Das"/>
    <n v="3"/>
    <n v="800"/>
    <n v="450"/>
    <n v="0.2"/>
    <n v="1920"/>
    <n v="1350"/>
    <n v="570"/>
    <s v="Cash"/>
    <x v="1"/>
  </r>
  <r>
    <s v="ORD0488"/>
    <s v="CUST0488"/>
    <d v="2024-09-29T00:00:00"/>
    <s v="Arjun Mehta"/>
    <s v="Ahmedabad"/>
    <s v="Gujarat"/>
    <s v="West"/>
    <s v="Headphones"/>
    <s v="Accessories"/>
    <s v="Rahul Verma"/>
    <n v="10"/>
    <n v="3000"/>
    <n v="1800"/>
    <n v="0.22"/>
    <n v="23400"/>
    <n v="18000"/>
    <n v="5400"/>
    <s v="Credit Card"/>
    <x v="0"/>
  </r>
  <r>
    <s v="ORD0489"/>
    <s v="CUST0489"/>
    <d v="2025-08-31T00:00:00"/>
    <s v="Divya Menon"/>
    <s v="Bengaluru"/>
    <s v="Karnataka"/>
    <s v="South"/>
    <s v="Mouse"/>
    <s v="Accessories"/>
    <s v="Rahul Verma"/>
    <n v="9"/>
    <n v="800"/>
    <n v="450"/>
    <n v="0.03"/>
    <n v="6984"/>
    <n v="4050"/>
    <n v="2934"/>
    <s v="Net Banking"/>
    <x v="1"/>
  </r>
  <r>
    <s v="ORD0490"/>
    <s v="CUST0490"/>
    <d v="2024-12-06T00:00:00"/>
    <s v="Arjun Mehta"/>
    <s v="Chennai"/>
    <s v="Tamil Nadu"/>
    <s v="South"/>
    <s v="Mouse"/>
    <s v="Accessories"/>
    <s v="Vikram Joshi"/>
    <n v="8"/>
    <n v="800"/>
    <n v="450"/>
    <n v="0.25"/>
    <n v="4800"/>
    <n v="3600"/>
    <n v="1200"/>
    <s v="UPI"/>
    <x v="0"/>
  </r>
  <r>
    <s v="ORD0491"/>
    <s v="CUST0491"/>
    <d v="2025-05-24T00:00:00"/>
    <s v="Priya Patel"/>
    <s v="Ahmedabad"/>
    <s v="Gujarat"/>
    <s v="West"/>
    <s v="Tablet"/>
    <s v="Electronics"/>
    <s v="Neha Gupta"/>
    <n v="3"/>
    <n v="25000"/>
    <n v="20000"/>
    <n v="0.15"/>
    <n v="63750"/>
    <n v="60000"/>
    <n v="3750"/>
    <s v="Credit Card"/>
    <x v="1"/>
  </r>
  <r>
    <s v="ORD0492"/>
    <s v="CUST0492"/>
    <d v="2024-10-21T00:00:00"/>
    <s v="Neha Gupta"/>
    <s v="Kolkata"/>
    <s v="West Bengal"/>
    <s v="East"/>
    <s v="Smartphone"/>
    <s v="Electronics"/>
    <s v="Anjali Mehta"/>
    <n v="7"/>
    <n v="35000"/>
    <n v="28000"/>
    <n v="0.02"/>
    <n v="240100"/>
    <n v="196000"/>
    <n v="44100"/>
    <s v="Debit Card"/>
    <x v="3"/>
  </r>
  <r>
    <s v="ORD0493"/>
    <s v="CUST0493"/>
    <d v="2025-01-05T00:00:00"/>
    <s v="Nikhil Jain"/>
    <s v="Mysuru"/>
    <s v="Karnataka"/>
    <s v="South"/>
    <s v="Keyboard"/>
    <s v="Accessories"/>
    <s v="Vikram Joshi"/>
    <n v="1"/>
    <n v="1500"/>
    <n v="900"/>
    <n v="7.0000000000000007E-2"/>
    <n v="1395"/>
    <n v="900"/>
    <n v="495"/>
    <s v="Debit Card"/>
    <x v="2"/>
  </r>
  <r>
    <s v="ORD0494"/>
    <s v="CUST0494"/>
    <d v="2024-05-01T00:00:00"/>
    <s v="Neha Gupta"/>
    <s v="Kolkata"/>
    <s v="West Bengal"/>
    <s v="East"/>
    <s v="Smartphone"/>
    <s v="Electronics"/>
    <s v="Pooja Das"/>
    <n v="5"/>
    <n v="35000"/>
    <n v="28000"/>
    <n v="0.21"/>
    <n v="138250"/>
    <n v="140000"/>
    <n v="-1750"/>
    <s v="Debit Card"/>
    <x v="2"/>
  </r>
  <r>
    <s v="ORD0495"/>
    <s v="CUST0495"/>
    <d v="2024-05-25T00:00:00"/>
    <s v="Vikram Singh"/>
    <s v="Ahmedabad"/>
    <s v="Gujarat"/>
    <s v="West"/>
    <s v="Printer"/>
    <s v="Office"/>
    <s v="Vikram Joshi"/>
    <n v="3"/>
    <n v="15000"/>
    <n v="11500"/>
    <n v="0.17"/>
    <n v="37350"/>
    <n v="34500"/>
    <n v="2850"/>
    <s v="Debit Card"/>
    <x v="2"/>
  </r>
  <r>
    <s v="ORD0496"/>
    <s v="CUST0496"/>
    <d v="2024-02-20T00:00:00"/>
    <s v="Amit Kumar"/>
    <s v="Coimbatore"/>
    <s v="Tamil Nadu"/>
    <s v="South"/>
    <s v="Smartwatch"/>
    <s v="Wearables"/>
    <s v="Vikram Joshi"/>
    <n v="10"/>
    <n v="12000"/>
    <n v="8500"/>
    <n v="0.19"/>
    <n v="97200"/>
    <n v="85000"/>
    <n v="12200"/>
    <s v="Credit Card"/>
    <x v="3"/>
  </r>
  <r>
    <s v="ORD0497"/>
    <s v="CUST0497"/>
    <d v="2024-11-01T00:00:00"/>
    <s v="Anjali Rao"/>
    <s v="Jaipur"/>
    <s v="Rajasthan"/>
    <s v="North"/>
    <s v="Laptop"/>
    <s v="Electronics"/>
    <s v="Pooja Das"/>
    <n v="1"/>
    <n v="65000"/>
    <n v="52000"/>
    <n v="0.23"/>
    <n v="50050"/>
    <n v="52000"/>
    <n v="-1950"/>
    <s v="Credit Card"/>
    <x v="0"/>
  </r>
  <r>
    <s v="ORD0498"/>
    <s v="CUST0498"/>
    <d v="2024-08-01T00:00:00"/>
    <s v="Karan Joshi"/>
    <s v="Pune"/>
    <s v="Maharashtra"/>
    <s v="West"/>
    <s v="Mouse"/>
    <s v="Accessories"/>
    <s v="Vikram Joshi"/>
    <n v="10"/>
    <n v="800"/>
    <n v="450"/>
    <n v="0.04"/>
    <n v="7680"/>
    <n v="4500"/>
    <n v="3180"/>
    <s v="UPI"/>
    <x v="1"/>
  </r>
  <r>
    <s v="ORD0499"/>
    <s v="CUST0499"/>
    <d v="2024-08-09T00:00:00"/>
    <s v="Amit Kumar"/>
    <s v="Kolkata"/>
    <s v="West Bengal"/>
    <s v="East"/>
    <s v="Speaker"/>
    <s v="Electronics"/>
    <s v="Pooja Das"/>
    <n v="1"/>
    <n v="5000"/>
    <n v="3200"/>
    <n v="7.0000000000000007E-2"/>
    <n v="4650"/>
    <n v="3200"/>
    <n v="1450"/>
    <s v="Credit Card"/>
    <x v="3"/>
  </r>
  <r>
    <s v="ORD0500"/>
    <s v="CUST0500"/>
    <d v="2025-05-19T00:00:00"/>
    <s v="Deepika Roy"/>
    <s v="Bengaluru"/>
    <s v="Karnataka"/>
    <s v="South"/>
    <s v="Smartwatch"/>
    <s v="Wearables"/>
    <s v="Vikram Joshi"/>
    <n v="3"/>
    <n v="12000"/>
    <n v="8500"/>
    <n v="0.06"/>
    <n v="33840"/>
    <n v="25500"/>
    <n v="8340"/>
    <s v="Credit Card"/>
    <x v="1"/>
  </r>
  <r>
    <s v="ORD0501"/>
    <s v="CUST0501"/>
    <d v="2024-03-23T00:00:00"/>
    <s v="Rohan Kulkarni"/>
    <s v="Jaipur"/>
    <s v="Rajasthan"/>
    <s v="North"/>
    <s v="Keyboard"/>
    <s v="Accessories"/>
    <s v="Karan Singh"/>
    <n v="2"/>
    <n v="1500"/>
    <n v="900"/>
    <n v="0.01"/>
    <n v="2970"/>
    <n v="1800"/>
    <n v="1170"/>
    <s v="Debit Card"/>
    <x v="0"/>
  </r>
  <r>
    <s v="ORD0502"/>
    <s v="CUST0502"/>
    <d v="2025-08-10T00:00:00"/>
    <s v="Divya Menon"/>
    <s v="Hyderabad"/>
    <s v="Telangana"/>
    <s v="South"/>
    <s v="Tablet"/>
    <s v="Electronics"/>
    <s v="Neha Gupta"/>
    <n v="7"/>
    <n v="25000"/>
    <n v="20000"/>
    <n v="0.06"/>
    <n v="164500"/>
    <n v="140000"/>
    <n v="24500"/>
    <s v="UPI"/>
    <x v="0"/>
  </r>
  <r>
    <s v="ORD0503"/>
    <s v="CUST0503"/>
    <d v="2024-07-13T00:00:00"/>
    <s v="Karan Joshi"/>
    <s v="Warangal"/>
    <s v="Telangana"/>
    <s v="South"/>
    <s v="Headphones"/>
    <s v="Accessories"/>
    <s v="Vikram Joshi"/>
    <n v="3"/>
    <n v="3000"/>
    <n v="1800"/>
    <n v="0.21"/>
    <n v="7110"/>
    <n v="5400"/>
    <n v="1710"/>
    <s v="Net Banking"/>
    <x v="0"/>
  </r>
  <r>
    <s v="ORD0504"/>
    <s v="CUST0504"/>
    <d v="2025-03-11T00:00:00"/>
    <s v="Rohit Verma"/>
    <s v="Mumbai"/>
    <s v="Maharashtra"/>
    <s v="West"/>
    <s v="Mouse"/>
    <s v="Accessories"/>
    <s v="Arjun Rao"/>
    <n v="6"/>
    <n v="800"/>
    <n v="450"/>
    <n v="0"/>
    <n v="4800"/>
    <n v="2700"/>
    <n v="2100"/>
    <s v="Debit Card"/>
    <x v="3"/>
  </r>
  <r>
    <s v="ORD0505"/>
    <s v="CUST0505"/>
    <d v="2024-11-27T00:00:00"/>
    <s v="Rohan Kulkarni"/>
    <s v="Mumbai"/>
    <s v="Maharashtra"/>
    <s v="West"/>
    <s v="Speaker"/>
    <s v="Electronics"/>
    <s v="Anjali Mehta"/>
    <n v="5"/>
    <n v="5000"/>
    <n v="3200"/>
    <n v="0.28000000000000003"/>
    <n v="18000"/>
    <n v="16000"/>
    <n v="2000"/>
    <s v="Cash"/>
    <x v="0"/>
  </r>
  <r>
    <s v="ORD0506"/>
    <s v="CUST0506"/>
    <d v="2025-07-17T00:00:00"/>
    <s v="Kavya Reddy"/>
    <s v="Mysuru"/>
    <s v="Karnataka"/>
    <s v="South"/>
    <s v="Headphones"/>
    <s v="Accessories"/>
    <s v="Anjali Mehta"/>
    <n v="4"/>
    <n v="3000"/>
    <n v="1800"/>
    <n v="0.14000000000000001"/>
    <n v="10320"/>
    <n v="7200"/>
    <n v="3120"/>
    <s v="UPI"/>
    <x v="2"/>
  </r>
  <r>
    <s v="ORD0507"/>
    <s v="CUST0507"/>
    <d v="2024-07-13T00:00:00"/>
    <s v="Rohan Kulkarni"/>
    <s v="Hyderabad"/>
    <s v="Telangana"/>
    <s v="South"/>
    <s v="Tablet"/>
    <s v="Electronics"/>
    <s v="Neha Gupta"/>
    <n v="1"/>
    <n v="25000"/>
    <n v="20000"/>
    <n v="0.13"/>
    <n v="21750"/>
    <n v="20000"/>
    <n v="1750"/>
    <s v="Cash"/>
    <x v="2"/>
  </r>
  <r>
    <s v="ORD0508"/>
    <s v="CUST0508"/>
    <d v="2025-03-19T00:00:00"/>
    <s v="Anjali Rao"/>
    <s v="Kolkata"/>
    <s v="West Bengal"/>
    <s v="East"/>
    <s v="Smartphone"/>
    <s v="Electronics"/>
    <s v="Neha Gupta"/>
    <n v="6"/>
    <n v="35000"/>
    <n v="28000"/>
    <n v="0.25"/>
    <n v="157500"/>
    <n v="168000"/>
    <n v="-10500"/>
    <s v="Debit Card"/>
    <x v="1"/>
  </r>
  <r>
    <s v="ORD0509"/>
    <s v="CUST0509"/>
    <d v="2025-07-22T00:00:00"/>
    <s v="Amit Kumar"/>
    <s v="Chennai"/>
    <s v="Tamil Nadu"/>
    <s v="South"/>
    <s v="Printer"/>
    <s v="Office"/>
    <s v="Sneha Patil"/>
    <n v="5"/>
    <n v="15000"/>
    <n v="11500"/>
    <n v="0.26"/>
    <n v="55500"/>
    <n v="57500"/>
    <n v="-2000"/>
    <s v="UPI"/>
    <x v="0"/>
  </r>
  <r>
    <s v="ORD0510"/>
    <s v="CUST0510"/>
    <d v="2024-10-06T00:00:00"/>
    <s v="Neha Gupta"/>
    <s v="Bengaluru"/>
    <s v="Karnataka"/>
    <s v="South"/>
    <s v="Speaker"/>
    <s v="Electronics"/>
    <s v="Vikram Joshi"/>
    <n v="7"/>
    <n v="5000"/>
    <n v="3200"/>
    <n v="0.02"/>
    <n v="34300"/>
    <n v="22400"/>
    <n v="11900"/>
    <s v="UPI"/>
    <x v="0"/>
  </r>
  <r>
    <s v="ORD0511"/>
    <s v="CUST0511"/>
    <d v="2024-05-26T00:00:00"/>
    <s v="Karan Joshi"/>
    <s v="Chennai"/>
    <s v="Tamil Nadu"/>
    <s v="South"/>
    <s v="Smartphone"/>
    <s v="Electronics"/>
    <s v="Neha Gupta"/>
    <n v="2"/>
    <n v="35000"/>
    <n v="28000"/>
    <n v="0.3"/>
    <n v="49000"/>
    <n v="56000"/>
    <n v="-7000"/>
    <s v="Debit Card"/>
    <x v="0"/>
  </r>
  <r>
    <s v="ORD0512"/>
    <s v="CUST0512"/>
    <d v="2025-04-27T00:00:00"/>
    <s v="Aditya Mishra"/>
    <s v="Mumbai"/>
    <s v="Maharashtra"/>
    <s v="West"/>
    <s v="Printer"/>
    <s v="Office"/>
    <s v="Anjali Mehta"/>
    <n v="1"/>
    <n v="15000"/>
    <n v="11500"/>
    <n v="0.27"/>
    <n v="10950"/>
    <n v="11500"/>
    <n v="-550"/>
    <s v="Cash"/>
    <x v="2"/>
  </r>
  <r>
    <s v="ORD0513"/>
    <s v="CUST0513"/>
    <d v="2024-02-10T00:00:00"/>
    <s v="Neha Gupta"/>
    <s v="Mumbai"/>
    <s v="Maharashtra"/>
    <s v="West"/>
    <s v="Smartphone"/>
    <s v="Electronics"/>
    <s v="Neha Gupta"/>
    <n v="10"/>
    <n v="35000"/>
    <n v="28000"/>
    <n v="0.18"/>
    <n v="287000"/>
    <n v="280000"/>
    <n v="7000"/>
    <s v="Debit Card"/>
    <x v="3"/>
  </r>
  <r>
    <s v="ORD0514"/>
    <s v="CUST0514"/>
    <d v="2024-05-25T00:00:00"/>
    <s v="Neha Gupta"/>
    <s v="New Delhi"/>
    <s v="Delhi"/>
    <s v="North"/>
    <s v="Mouse"/>
    <s v="Accessories"/>
    <s v="Neha Gupta"/>
    <n v="5"/>
    <n v="800"/>
    <n v="450"/>
    <n v="0.12"/>
    <n v="3520"/>
    <n v="2250"/>
    <n v="1270"/>
    <s v="UPI"/>
    <x v="1"/>
  </r>
  <r>
    <s v="ORD0515"/>
    <s v="CUST0515"/>
    <d v="2025-07-31T00:00:00"/>
    <s v="Amit Kumar"/>
    <s v="Coimbatore"/>
    <s v="Tamil Nadu"/>
    <s v="South"/>
    <s v="Tablet"/>
    <s v="Electronics"/>
    <s v="Sneha Patil"/>
    <n v="9"/>
    <n v="25000"/>
    <n v="20000"/>
    <n v="0.17"/>
    <n v="186750"/>
    <n v="180000"/>
    <n v="6750"/>
    <s v="Net Banking"/>
    <x v="2"/>
  </r>
  <r>
    <s v="ORD0516"/>
    <s v="CUST0516"/>
    <d v="2024-08-29T00:00:00"/>
    <s v="Vikram Singh"/>
    <s v="Pune"/>
    <s v="Maharashtra"/>
    <s v="West"/>
    <s v="Monitor"/>
    <s v="Office"/>
    <s v="Vikram Joshi"/>
    <n v="2"/>
    <n v="18000"/>
    <n v="14000"/>
    <n v="0.23"/>
    <n v="27720"/>
    <n v="28000"/>
    <n v="-280"/>
    <s v="Cash"/>
    <x v="3"/>
  </r>
  <r>
    <s v="ORD0517"/>
    <s v="CUST0517"/>
    <d v="2024-10-24T00:00:00"/>
    <s v="Deepika Roy"/>
    <s v="Kolkata"/>
    <s v="West Bengal"/>
    <s v="East"/>
    <s v="Smartwatch"/>
    <s v="Wearables"/>
    <s v="Neha Gupta"/>
    <n v="3"/>
    <n v="12000"/>
    <n v="8500"/>
    <n v="0.25"/>
    <n v="27000"/>
    <n v="25500"/>
    <n v="1500"/>
    <s v="Net Banking"/>
    <x v="0"/>
  </r>
  <r>
    <s v="ORD0518"/>
    <s v="CUST0518"/>
    <d v="2024-01-10T00:00:00"/>
    <s v="Neha Gupta"/>
    <s v="Hyderabad"/>
    <s v="Telangana"/>
    <s v="South"/>
    <s v="Headphones"/>
    <s v="Accessories"/>
    <s v="Karan Singh"/>
    <n v="8"/>
    <n v="3000"/>
    <n v="1800"/>
    <n v="0.12"/>
    <n v="21120"/>
    <n v="14400"/>
    <n v="6720"/>
    <s v="Credit Card"/>
    <x v="2"/>
  </r>
  <r>
    <s v="ORD0519"/>
    <s v="CUST0519"/>
    <d v="2024-11-30T00:00:00"/>
    <s v="Neha Gupta"/>
    <s v="Mysuru"/>
    <s v="Karnataka"/>
    <s v="South"/>
    <s v="Laptop"/>
    <s v="Electronics"/>
    <s v="Neha Gupta"/>
    <n v="1"/>
    <n v="65000"/>
    <n v="52000"/>
    <n v="0.17"/>
    <n v="53950"/>
    <n v="52000"/>
    <n v="1950"/>
    <s v="Debit Card"/>
    <x v="3"/>
  </r>
  <r>
    <s v="ORD0520"/>
    <s v="CUST0520"/>
    <d v="2024-01-05T00:00:00"/>
    <s v="Neha Gupta"/>
    <s v="Mysuru"/>
    <s v="Karnataka"/>
    <s v="South"/>
    <s v="Tablet"/>
    <s v="Electronics"/>
    <s v="Karan Singh"/>
    <n v="2"/>
    <n v="25000"/>
    <n v="20000"/>
    <n v="0.22"/>
    <n v="39000"/>
    <n v="40000"/>
    <n v="-1000"/>
    <s v="Debit Card"/>
    <x v="2"/>
  </r>
  <r>
    <s v="ORD0521"/>
    <s v="CUST0521"/>
    <d v="2024-08-21T00:00:00"/>
    <s v="Kavya Reddy"/>
    <s v="Ahmedabad"/>
    <s v="Gujarat"/>
    <s v="West"/>
    <s v="Monitor"/>
    <s v="Office"/>
    <s v="Anjali Mehta"/>
    <n v="3"/>
    <n v="18000"/>
    <n v="14000"/>
    <n v="0.11"/>
    <n v="48060"/>
    <n v="42000"/>
    <n v="6060"/>
    <s v="Debit Card"/>
    <x v="3"/>
  </r>
  <r>
    <s v="ORD0522"/>
    <s v="CUST0522"/>
    <d v="2024-05-26T00:00:00"/>
    <s v="Karan Joshi"/>
    <s v="Warangal"/>
    <s v="Telangana"/>
    <s v="South"/>
    <s v="Printer"/>
    <s v="Office"/>
    <s v="Neha Gupta"/>
    <n v="5"/>
    <n v="15000"/>
    <n v="11500"/>
    <n v="0.11"/>
    <n v="66750"/>
    <n v="57500"/>
    <n v="9250"/>
    <s v="Cash"/>
    <x v="3"/>
  </r>
  <r>
    <s v="ORD0523"/>
    <s v="CUST0523"/>
    <d v="2025-02-22T00:00:00"/>
    <s v="Rohan Kulkarni"/>
    <s v="Surat"/>
    <s v="Gujarat"/>
    <s v="West"/>
    <s v="Printer"/>
    <s v="Office"/>
    <s v="Neha Gupta"/>
    <n v="2"/>
    <n v="15000"/>
    <n v="11500"/>
    <n v="0"/>
    <n v="30000"/>
    <n v="23000"/>
    <n v="7000"/>
    <s v="UPI"/>
    <x v="1"/>
  </r>
  <r>
    <s v="ORD0524"/>
    <s v="CUST0524"/>
    <d v="2024-08-08T00:00:00"/>
    <s v="Arjun Mehta"/>
    <s v="Kolkata"/>
    <s v="West Bengal"/>
    <s v="East"/>
    <s v="Tablet"/>
    <s v="Electronics"/>
    <s v="Priya Nair"/>
    <n v="9"/>
    <n v="25000"/>
    <n v="20000"/>
    <n v="0.06"/>
    <n v="211500"/>
    <n v="180000"/>
    <n v="31500"/>
    <s v="Net Banking"/>
    <x v="3"/>
  </r>
  <r>
    <s v="ORD0525"/>
    <s v="CUST0525"/>
    <d v="2025-05-28T00:00:00"/>
    <s v="Suresh Iyer"/>
    <s v="Kolkata"/>
    <s v="West Bengal"/>
    <s v="East"/>
    <s v="Headphones"/>
    <s v="Accessories"/>
    <s v="Rahul Verma"/>
    <n v="1"/>
    <n v="3000"/>
    <n v="1800"/>
    <n v="0.04"/>
    <n v="2880"/>
    <n v="1800"/>
    <n v="1080"/>
    <s v="Net Banking"/>
    <x v="3"/>
  </r>
  <r>
    <s v="ORD0526"/>
    <s v="CUST0526"/>
    <d v="2025-08-16T00:00:00"/>
    <s v="Kavya Reddy"/>
    <s v="Chennai"/>
    <s v="Tamil Nadu"/>
    <s v="South"/>
    <s v="Headphones"/>
    <s v="Accessories"/>
    <s v="Sneha Patil"/>
    <n v="3"/>
    <n v="3000"/>
    <n v="1800"/>
    <n v="0.08"/>
    <n v="8280"/>
    <n v="5400"/>
    <n v="2880"/>
    <s v="Debit Card"/>
    <x v="1"/>
  </r>
  <r>
    <s v="ORD0527"/>
    <s v="CUST0527"/>
    <d v="2025-03-02T00:00:00"/>
    <s v="Arjun Mehta"/>
    <s v="Hyderabad"/>
    <s v="Telangana"/>
    <s v="South"/>
    <s v="Speaker"/>
    <s v="Electronics"/>
    <s v="Priya Nair"/>
    <n v="9"/>
    <n v="5000"/>
    <n v="3200"/>
    <n v="0.02"/>
    <n v="44100"/>
    <n v="28800"/>
    <n v="15300"/>
    <s v="Net Banking"/>
    <x v="3"/>
  </r>
  <r>
    <s v="ORD0528"/>
    <s v="CUST0528"/>
    <d v="2025-08-15T00:00:00"/>
    <s v="Pooja Das"/>
    <s v="Hyderabad"/>
    <s v="Telangana"/>
    <s v="South"/>
    <s v="Keyboard"/>
    <s v="Accessories"/>
    <s v="Anjali Mehta"/>
    <n v="8"/>
    <n v="1500"/>
    <n v="900"/>
    <n v="0.21"/>
    <n v="9480"/>
    <n v="7200"/>
    <n v="2280"/>
    <s v="Net Banking"/>
    <x v="3"/>
  </r>
  <r>
    <s v="ORD0529"/>
    <s v="CUST0529"/>
    <d v="2024-08-02T00:00:00"/>
    <s v="Sneha Nair"/>
    <s v="Mysuru"/>
    <s v="Karnataka"/>
    <s v="South"/>
    <s v="Printer"/>
    <s v="Office"/>
    <s v="Anjali Mehta"/>
    <n v="10"/>
    <n v="15000"/>
    <n v="11500"/>
    <n v="0.13"/>
    <n v="130500"/>
    <n v="115000"/>
    <n v="15500"/>
    <s v="Net Banking"/>
    <x v="2"/>
  </r>
  <r>
    <s v="ORD0530"/>
    <s v="CUST0530"/>
    <d v="2024-12-17T00:00:00"/>
    <s v="Rahul Sharma"/>
    <s v="Warangal"/>
    <s v="Telangana"/>
    <s v="South"/>
    <s v="Mouse"/>
    <s v="Accessories"/>
    <s v="Vikram Joshi"/>
    <n v="3"/>
    <n v="800"/>
    <n v="450"/>
    <n v="0.16"/>
    <n v="2016"/>
    <n v="1350"/>
    <n v="666"/>
    <s v="Debit Card"/>
    <x v="1"/>
  </r>
  <r>
    <s v="ORD0531"/>
    <s v="CUST0531"/>
    <d v="2025-11-13T00:00:00"/>
    <s v="Rahul Sharma"/>
    <s v="Warangal"/>
    <s v="Telangana"/>
    <s v="South"/>
    <s v="Keyboard"/>
    <s v="Accessories"/>
    <s v="Amit Sharma"/>
    <n v="4"/>
    <n v="1500"/>
    <n v="900"/>
    <n v="0.27"/>
    <n v="4380"/>
    <n v="3600"/>
    <n v="780"/>
    <s v="Net Banking"/>
    <x v="3"/>
  </r>
  <r>
    <s v="ORD0532"/>
    <s v="CUST0532"/>
    <d v="2025-10-19T00:00:00"/>
    <s v="Rahul Sharma"/>
    <s v="New Delhi"/>
    <s v="Delhi"/>
    <s v="North"/>
    <s v="Keyboard"/>
    <s v="Accessories"/>
    <s v="Rahul Verma"/>
    <n v="9"/>
    <n v="1500"/>
    <n v="900"/>
    <n v="0.05"/>
    <n v="12825"/>
    <n v="8100"/>
    <n v="4725"/>
    <s v="UPI"/>
    <x v="2"/>
  </r>
  <r>
    <s v="ORD0533"/>
    <s v="CUST0533"/>
    <d v="2024-08-04T00:00:00"/>
    <s v="Aditya Mishra"/>
    <s v="Ahmedabad"/>
    <s v="Gujarat"/>
    <s v="West"/>
    <s v="Smartwatch"/>
    <s v="Wearables"/>
    <s v="Pooja Das"/>
    <n v="8"/>
    <n v="12000"/>
    <n v="8500"/>
    <n v="0.05"/>
    <n v="91200"/>
    <n v="68000"/>
    <n v="23200"/>
    <s v="UPI"/>
    <x v="3"/>
  </r>
  <r>
    <s v="ORD0534"/>
    <s v="CUST0534"/>
    <d v="2024-04-23T00:00:00"/>
    <s v="Anjali Rao"/>
    <s v="Bengaluru"/>
    <s v="Karnataka"/>
    <s v="South"/>
    <s v="Mouse"/>
    <s v="Accessories"/>
    <s v="Karan Singh"/>
    <n v="5"/>
    <n v="800"/>
    <n v="450"/>
    <n v="0.04"/>
    <n v="3840"/>
    <n v="2250"/>
    <n v="1590"/>
    <s v="Cash"/>
    <x v="0"/>
  </r>
  <r>
    <s v="ORD0535"/>
    <s v="CUST0535"/>
    <d v="2024-03-03T00:00:00"/>
    <s v="Karan Joshi"/>
    <s v="Surat"/>
    <s v="Gujarat"/>
    <s v="West"/>
    <s v="Smartwatch"/>
    <s v="Wearables"/>
    <s v="Neha Gupta"/>
    <n v="5"/>
    <n v="12000"/>
    <n v="8500"/>
    <n v="0.19"/>
    <n v="48600"/>
    <n v="42500"/>
    <n v="6100"/>
    <s v="Net Banking"/>
    <x v="2"/>
  </r>
  <r>
    <s v="ORD0536"/>
    <s v="CUST0536"/>
    <d v="2025-08-03T00:00:00"/>
    <s v="Rahul Sharma"/>
    <s v="Ahmedabad"/>
    <s v="Gujarat"/>
    <s v="West"/>
    <s v="Tablet"/>
    <s v="Electronics"/>
    <s v="Karan Singh"/>
    <n v="2"/>
    <n v="25000"/>
    <n v="20000"/>
    <n v="0.27"/>
    <n v="36500"/>
    <n v="40000"/>
    <n v="-3500"/>
    <s v="Credit Card"/>
    <x v="0"/>
  </r>
  <r>
    <s v="ORD0537"/>
    <s v="CUST0537"/>
    <d v="2025-07-27T00:00:00"/>
    <s v="Sneha Nair"/>
    <s v="Warangal"/>
    <s v="Telangana"/>
    <s v="South"/>
    <s v="Printer"/>
    <s v="Office"/>
    <s v="Neha Gupta"/>
    <n v="7"/>
    <n v="15000"/>
    <n v="11500"/>
    <n v="0.23"/>
    <n v="80850"/>
    <n v="80500"/>
    <n v="350"/>
    <s v="Cash"/>
    <x v="3"/>
  </r>
  <r>
    <s v="ORD0538"/>
    <s v="CUST0538"/>
    <d v="2025-10-13T00:00:00"/>
    <s v="Vikram Singh"/>
    <s v="Warangal"/>
    <s v="Telangana"/>
    <s v="South"/>
    <s v="Printer"/>
    <s v="Office"/>
    <s v="Rahul Verma"/>
    <n v="9"/>
    <n v="15000"/>
    <n v="11500"/>
    <n v="0.28999999999999998"/>
    <n v="95850"/>
    <n v="103500"/>
    <n v="-7650"/>
    <s v="Net Banking"/>
    <x v="2"/>
  </r>
  <r>
    <s v="ORD0539"/>
    <s v="CUST0539"/>
    <d v="2024-06-01T00:00:00"/>
    <s v="Meera Shah"/>
    <s v="New Delhi"/>
    <s v="Delhi"/>
    <s v="North"/>
    <s v="Printer"/>
    <s v="Office"/>
    <s v="Pooja Das"/>
    <n v="2"/>
    <n v="15000"/>
    <n v="11500"/>
    <n v="0.22"/>
    <n v="23400"/>
    <n v="23000"/>
    <n v="400"/>
    <s v="Net Banking"/>
    <x v="3"/>
  </r>
  <r>
    <s v="ORD0540"/>
    <s v="CUST0540"/>
    <d v="2024-07-30T00:00:00"/>
    <s v="Aisha Khan"/>
    <s v="Chennai"/>
    <s v="Tamil Nadu"/>
    <s v="South"/>
    <s v="Headphones"/>
    <s v="Accessories"/>
    <s v="Neha Gupta"/>
    <n v="7"/>
    <n v="3000"/>
    <n v="1800"/>
    <n v="0.28000000000000003"/>
    <n v="15120"/>
    <n v="12600"/>
    <n v="2520"/>
    <s v="Net Banking"/>
    <x v="3"/>
  </r>
  <r>
    <s v="ORD0541"/>
    <s v="CUST0541"/>
    <d v="2025-09-05T00:00:00"/>
    <s v="Sneha Nair"/>
    <s v="Surat"/>
    <s v="Gujarat"/>
    <s v="West"/>
    <s v="Keyboard"/>
    <s v="Accessories"/>
    <s v="Priya Nair"/>
    <n v="5"/>
    <n v="1500"/>
    <n v="900"/>
    <n v="0.04"/>
    <n v="7200"/>
    <n v="4500"/>
    <n v="2700"/>
    <s v="Cash"/>
    <x v="3"/>
  </r>
  <r>
    <s v="ORD0542"/>
    <s v="CUST0542"/>
    <d v="2025-10-26T00:00:00"/>
    <s v="Pooja Das"/>
    <s v="Jaipur"/>
    <s v="Rajasthan"/>
    <s v="North"/>
    <s v="Printer"/>
    <s v="Office"/>
    <s v="Arjun Rao"/>
    <n v="3"/>
    <n v="15000"/>
    <n v="11500"/>
    <n v="0.14000000000000001"/>
    <n v="38700"/>
    <n v="34500"/>
    <n v="4200"/>
    <s v="Debit Card"/>
    <x v="0"/>
  </r>
  <r>
    <s v="ORD0543"/>
    <s v="CUST0543"/>
    <d v="2025-05-03T00:00:00"/>
    <s v="Rohit Verma"/>
    <s v="Hyderabad"/>
    <s v="Telangana"/>
    <s v="South"/>
    <s v="Headphones"/>
    <s v="Accessories"/>
    <s v="Arjun Rao"/>
    <n v="2"/>
    <n v="3000"/>
    <n v="1800"/>
    <n v="0.2"/>
    <n v="4800"/>
    <n v="3600"/>
    <n v="1200"/>
    <s v="Credit Card"/>
    <x v="2"/>
  </r>
  <r>
    <s v="ORD0544"/>
    <s v="CUST0544"/>
    <d v="2025-10-21T00:00:00"/>
    <s v="Amit Kumar"/>
    <s v="Warangal"/>
    <s v="Telangana"/>
    <s v="South"/>
    <s v="Smartwatch"/>
    <s v="Wearables"/>
    <s v="Amit Sharma"/>
    <n v="3"/>
    <n v="12000"/>
    <n v="8500"/>
    <n v="0.21"/>
    <n v="28440"/>
    <n v="25500"/>
    <n v="2940"/>
    <s v="Debit Card"/>
    <x v="1"/>
  </r>
  <r>
    <s v="ORD0545"/>
    <s v="CUST0545"/>
    <d v="2025-07-18T00:00:00"/>
    <s v="Aisha Khan"/>
    <s v="Surat"/>
    <s v="Gujarat"/>
    <s v="West"/>
    <s v="Printer"/>
    <s v="Office"/>
    <s v="Anjali Mehta"/>
    <n v="1"/>
    <n v="15000"/>
    <n v="11500"/>
    <n v="0.3"/>
    <n v="10500"/>
    <n v="11500"/>
    <n v="-1000"/>
    <s v="UPI"/>
    <x v="0"/>
  </r>
  <r>
    <s v="ORD0546"/>
    <s v="CUST0546"/>
    <d v="2024-08-23T00:00:00"/>
    <s v="Suresh Iyer"/>
    <s v="Pune"/>
    <s v="Maharashtra"/>
    <s v="West"/>
    <s v="Tablet"/>
    <s v="Electronics"/>
    <s v="Pooja Das"/>
    <n v="10"/>
    <n v="25000"/>
    <n v="20000"/>
    <n v="0.15"/>
    <n v="212500"/>
    <n v="200000"/>
    <n v="12500"/>
    <s v="Debit Card"/>
    <x v="0"/>
  </r>
  <r>
    <s v="ORD0547"/>
    <s v="CUST0547"/>
    <d v="2025-03-13T00:00:00"/>
    <s v="Amit Kumar"/>
    <s v="Jaipur"/>
    <s v="Rajasthan"/>
    <s v="North"/>
    <s v="Laptop"/>
    <s v="Electronics"/>
    <s v="Amit Sharma"/>
    <n v="7"/>
    <n v="65000"/>
    <n v="52000"/>
    <n v="0.02"/>
    <n v="445900"/>
    <n v="364000"/>
    <n v="81900"/>
    <s v="Debit Card"/>
    <x v="0"/>
  </r>
  <r>
    <s v="ORD0548"/>
    <s v="CUST0548"/>
    <d v="2024-04-29T00:00:00"/>
    <s v="Meera Shah"/>
    <s v="Pune"/>
    <s v="Maharashtra"/>
    <s v="West"/>
    <s v="Laptop"/>
    <s v="Electronics"/>
    <s v="Rahul Verma"/>
    <n v="2"/>
    <n v="65000"/>
    <n v="52000"/>
    <n v="0.02"/>
    <n v="127400"/>
    <n v="104000"/>
    <n v="23400"/>
    <s v="Credit Card"/>
    <x v="0"/>
  </r>
  <r>
    <s v="ORD0549"/>
    <s v="CUST0549"/>
    <d v="2024-02-29T00:00:00"/>
    <s v="Divya Menon"/>
    <s v="Coimbatore"/>
    <s v="Tamil Nadu"/>
    <s v="South"/>
    <s v="Keyboard"/>
    <s v="Accessories"/>
    <s v="Karan Singh"/>
    <n v="7"/>
    <n v="1500"/>
    <n v="900"/>
    <n v="0.22"/>
    <n v="8190"/>
    <n v="6300"/>
    <n v="1890"/>
    <s v="Credit Card"/>
    <x v="3"/>
  </r>
  <r>
    <s v="ORD0550"/>
    <s v="CUST0550"/>
    <d v="2024-04-03T00:00:00"/>
    <s v="Rahul Sharma"/>
    <s v="New Delhi"/>
    <s v="Delhi"/>
    <s v="North"/>
    <s v="Headphones"/>
    <s v="Accessories"/>
    <s v="Rahul Verma"/>
    <n v="2"/>
    <n v="3000"/>
    <n v="1800"/>
    <n v="0.13"/>
    <n v="5220"/>
    <n v="3600"/>
    <n v="1620"/>
    <s v="Net Banking"/>
    <x v="0"/>
  </r>
  <r>
    <s v="ORD0551"/>
    <s v="CUST0551"/>
    <d v="2024-05-04T00:00:00"/>
    <s v="Kavya Reddy"/>
    <s v="Ahmedabad"/>
    <s v="Gujarat"/>
    <s v="West"/>
    <s v="Keyboard"/>
    <s v="Accessories"/>
    <s v="Neha Gupta"/>
    <n v="2"/>
    <n v="1500"/>
    <n v="900"/>
    <n v="0.09"/>
    <n v="2730"/>
    <n v="1800"/>
    <n v="930"/>
    <s v="Cash"/>
    <x v="1"/>
  </r>
  <r>
    <s v="ORD0552"/>
    <s v="CUST0552"/>
    <d v="2025-07-09T00:00:00"/>
    <s v="Neha Gupta"/>
    <s v="Surat"/>
    <s v="Gujarat"/>
    <s v="West"/>
    <s v="Smartphone"/>
    <s v="Electronics"/>
    <s v="Sneha Patil"/>
    <n v="6"/>
    <n v="35000"/>
    <n v="28000"/>
    <n v="0.08"/>
    <n v="193200"/>
    <n v="168000"/>
    <n v="25200"/>
    <s v="Cash"/>
    <x v="2"/>
  </r>
  <r>
    <s v="ORD0553"/>
    <s v="CUST0553"/>
    <d v="2024-08-01T00:00:00"/>
    <s v="Priya Patel"/>
    <s v="Coimbatore"/>
    <s v="Tamil Nadu"/>
    <s v="South"/>
    <s v="Laptop"/>
    <s v="Electronics"/>
    <s v="Arjun Rao"/>
    <n v="1"/>
    <n v="65000"/>
    <n v="52000"/>
    <n v="0.28000000000000003"/>
    <n v="46800"/>
    <n v="52000"/>
    <n v="-5200"/>
    <s v="UPI"/>
    <x v="0"/>
  </r>
  <r>
    <s v="ORD0554"/>
    <s v="CUST0554"/>
    <d v="2025-07-03T00:00:00"/>
    <s v="Pooja Das"/>
    <s v="Kolkata"/>
    <s v="West Bengal"/>
    <s v="East"/>
    <s v="Printer"/>
    <s v="Office"/>
    <s v="Vikram Joshi"/>
    <n v="9"/>
    <n v="15000"/>
    <n v="11500"/>
    <n v="0.3"/>
    <n v="94500"/>
    <n v="103500"/>
    <n v="-9000"/>
    <s v="UPI"/>
    <x v="3"/>
  </r>
  <r>
    <s v="ORD0555"/>
    <s v="CUST0555"/>
    <d v="2025-01-21T00:00:00"/>
    <s v="Priya Patel"/>
    <s v="Ahmedabad"/>
    <s v="Gujarat"/>
    <s v="West"/>
    <s v="Laptop"/>
    <s v="Electronics"/>
    <s v="Pooja Das"/>
    <n v="7"/>
    <n v="65000"/>
    <n v="52000"/>
    <n v="0.12"/>
    <n v="400400"/>
    <n v="364000"/>
    <n v="36400"/>
    <s v="Debit Card"/>
    <x v="2"/>
  </r>
  <r>
    <s v="ORD0556"/>
    <s v="CUST0556"/>
    <d v="2024-04-19T00:00:00"/>
    <s v="Rohit Verma"/>
    <s v="New Delhi"/>
    <s v="Delhi"/>
    <s v="North"/>
    <s v="Tablet"/>
    <s v="Electronics"/>
    <s v="Anjali Mehta"/>
    <n v="6"/>
    <n v="25000"/>
    <n v="20000"/>
    <n v="0.28000000000000003"/>
    <n v="108000"/>
    <n v="120000"/>
    <n v="-12000"/>
    <s v="Credit Card"/>
    <x v="3"/>
  </r>
  <r>
    <s v="ORD0557"/>
    <s v="CUST0557"/>
    <d v="2024-10-02T00:00:00"/>
    <s v="Deepika Roy"/>
    <s v="Mumbai"/>
    <s v="Maharashtra"/>
    <s v="West"/>
    <s v="Speaker"/>
    <s v="Electronics"/>
    <s v="Arjun Rao"/>
    <n v="4"/>
    <n v="5000"/>
    <n v="3200"/>
    <n v="0.15"/>
    <n v="17000"/>
    <n v="12800"/>
    <n v="4200"/>
    <s v="Net Banking"/>
    <x v="3"/>
  </r>
  <r>
    <s v="ORD0558"/>
    <s v="CUST0558"/>
    <d v="2025-05-02T00:00:00"/>
    <s v="Neha Gupta"/>
    <s v="New Delhi"/>
    <s v="Delhi"/>
    <s v="North"/>
    <s v="Printer"/>
    <s v="Office"/>
    <s v="Neha Gupta"/>
    <n v="1"/>
    <n v="15000"/>
    <n v="11500"/>
    <n v="7.0000000000000007E-2"/>
    <n v="13949.999999999998"/>
    <n v="11500"/>
    <n v="2449.9999999999982"/>
    <s v="UPI"/>
    <x v="3"/>
  </r>
  <r>
    <s v="ORD0559"/>
    <s v="CUST0559"/>
    <d v="2025-03-06T00:00:00"/>
    <s v="Pooja Das"/>
    <s v="Jaipur"/>
    <s v="Rajasthan"/>
    <s v="North"/>
    <s v="Printer"/>
    <s v="Office"/>
    <s v="Neha Gupta"/>
    <n v="4"/>
    <n v="15000"/>
    <n v="11500"/>
    <n v="0.18"/>
    <n v="49200.000000000007"/>
    <n v="46000"/>
    <n v="3200.0000000000073"/>
    <s v="Net Banking"/>
    <x v="1"/>
  </r>
  <r>
    <s v="ORD0560"/>
    <s v="CUST0560"/>
    <d v="2025-05-19T00:00:00"/>
    <s v="Vikram Singh"/>
    <s v="Jaipur"/>
    <s v="Rajasthan"/>
    <s v="North"/>
    <s v="Keyboard"/>
    <s v="Accessories"/>
    <s v="Amit Sharma"/>
    <n v="10"/>
    <n v="1500"/>
    <n v="900"/>
    <n v="0.26"/>
    <n v="11100"/>
    <n v="9000"/>
    <n v="2100"/>
    <s v="UPI"/>
    <x v="3"/>
  </r>
  <r>
    <s v="ORD0561"/>
    <s v="CUST0561"/>
    <d v="2024-12-22T00:00:00"/>
    <s v="Divya Menon"/>
    <s v="New Delhi"/>
    <s v="Delhi"/>
    <s v="North"/>
    <s v="Monitor"/>
    <s v="Office"/>
    <s v="Karan Singh"/>
    <n v="6"/>
    <n v="18000"/>
    <n v="14000"/>
    <n v="0.21"/>
    <n v="85320"/>
    <n v="84000"/>
    <n v="1320"/>
    <s v="Net Banking"/>
    <x v="0"/>
  </r>
  <r>
    <s v="ORD0562"/>
    <s v="CUST0562"/>
    <d v="2024-11-19T00:00:00"/>
    <s v="Karan Joshi"/>
    <s v="Jaipur"/>
    <s v="Rajasthan"/>
    <s v="North"/>
    <s v="Tablet"/>
    <s v="Electronics"/>
    <s v="Amit Sharma"/>
    <n v="7"/>
    <n v="25000"/>
    <n v="20000"/>
    <n v="0"/>
    <n v="175000"/>
    <n v="140000"/>
    <n v="35000"/>
    <s v="Net Banking"/>
    <x v="0"/>
  </r>
  <r>
    <s v="ORD0563"/>
    <s v="CUST0563"/>
    <d v="2024-01-04T00:00:00"/>
    <s v="Deepika Roy"/>
    <s v="Coimbatore"/>
    <s v="Tamil Nadu"/>
    <s v="South"/>
    <s v="Laptop"/>
    <s v="Electronics"/>
    <s v="Rahul Verma"/>
    <n v="1"/>
    <n v="65000"/>
    <n v="52000"/>
    <n v="0.17"/>
    <n v="53950"/>
    <n v="52000"/>
    <n v="1950"/>
    <s v="Credit Card"/>
    <x v="2"/>
  </r>
  <r>
    <s v="ORD0564"/>
    <s v="CUST0564"/>
    <d v="2025-03-12T00:00:00"/>
    <s v="Sneha Nair"/>
    <s v="Bengaluru"/>
    <s v="Karnataka"/>
    <s v="South"/>
    <s v="Speaker"/>
    <s v="Electronics"/>
    <s v="Sneha Patil"/>
    <n v="10"/>
    <n v="5000"/>
    <n v="3200"/>
    <n v="0.24"/>
    <n v="38000"/>
    <n v="32000"/>
    <n v="6000"/>
    <s v="Credit Card"/>
    <x v="1"/>
  </r>
  <r>
    <s v="ORD0565"/>
    <s v="CUST0565"/>
    <d v="2024-10-03T00:00:00"/>
    <s v="Karan Joshi"/>
    <s v="Mumbai"/>
    <s v="Maharashtra"/>
    <s v="West"/>
    <s v="Smartphone"/>
    <s v="Electronics"/>
    <s v="Sneha Patil"/>
    <n v="7"/>
    <n v="35000"/>
    <n v="28000"/>
    <n v="0.05"/>
    <n v="232750"/>
    <n v="196000"/>
    <n v="36750"/>
    <s v="Credit Card"/>
    <x v="0"/>
  </r>
  <r>
    <s v="ORD0566"/>
    <s v="CUST0566"/>
    <d v="2024-02-06T00:00:00"/>
    <s v="Aditya Mishra"/>
    <s v="Surat"/>
    <s v="Gujarat"/>
    <s v="West"/>
    <s v="Laptop"/>
    <s v="Electronics"/>
    <s v="Priya Nair"/>
    <n v="9"/>
    <n v="65000"/>
    <n v="52000"/>
    <n v="0.19"/>
    <n v="473850.00000000006"/>
    <n v="468000"/>
    <n v="5850.0000000000582"/>
    <s v="Cash"/>
    <x v="3"/>
  </r>
  <r>
    <s v="ORD0567"/>
    <s v="CUST0567"/>
    <d v="2025-11-23T00:00:00"/>
    <s v="Neha Gupta"/>
    <s v="Ahmedabad"/>
    <s v="Gujarat"/>
    <s v="West"/>
    <s v="Monitor"/>
    <s v="Office"/>
    <s v="Amit Sharma"/>
    <n v="8"/>
    <n v="18000"/>
    <n v="14000"/>
    <n v="0.01"/>
    <n v="142560"/>
    <n v="112000"/>
    <n v="30560"/>
    <s v="Cash"/>
    <x v="3"/>
  </r>
  <r>
    <s v="ORD0568"/>
    <s v="CUST0568"/>
    <d v="2024-06-05T00:00:00"/>
    <s v="Neha Gupta"/>
    <s v="Jaipur"/>
    <s v="Rajasthan"/>
    <s v="North"/>
    <s v="Tablet"/>
    <s v="Electronics"/>
    <s v="Amit Sharma"/>
    <n v="3"/>
    <n v="25000"/>
    <n v="20000"/>
    <n v="0.3"/>
    <n v="52500"/>
    <n v="60000"/>
    <n v="-7500"/>
    <s v="Credit Card"/>
    <x v="1"/>
  </r>
  <r>
    <s v="ORD0569"/>
    <s v="CUST0569"/>
    <d v="2024-02-13T00:00:00"/>
    <s v="Divya Menon"/>
    <s v="Ahmedabad"/>
    <s v="Gujarat"/>
    <s v="West"/>
    <s v="Printer"/>
    <s v="Office"/>
    <s v="Vikram Joshi"/>
    <n v="8"/>
    <n v="15000"/>
    <n v="11500"/>
    <n v="0.23"/>
    <n v="92400"/>
    <n v="92000"/>
    <n v="400"/>
    <s v="UPI"/>
    <x v="0"/>
  </r>
  <r>
    <s v="ORD0570"/>
    <s v="CUST0570"/>
    <d v="2024-08-26T00:00:00"/>
    <s v="Nikhil Jain"/>
    <s v="Jaipur"/>
    <s v="Rajasthan"/>
    <s v="North"/>
    <s v="Tablet"/>
    <s v="Electronics"/>
    <s v="Pooja Das"/>
    <n v="10"/>
    <n v="25000"/>
    <n v="20000"/>
    <n v="0.04"/>
    <n v="240000"/>
    <n v="200000"/>
    <n v="40000"/>
    <s v="Cash"/>
    <x v="0"/>
  </r>
  <r>
    <s v="ORD0571"/>
    <s v="CUST0571"/>
    <d v="2025-03-22T00:00:00"/>
    <s v="Rohan Kulkarni"/>
    <s v="Pune"/>
    <s v="Maharashtra"/>
    <s v="West"/>
    <s v="Laptop"/>
    <s v="Electronics"/>
    <s v="Neha Gupta"/>
    <n v="2"/>
    <n v="65000"/>
    <n v="52000"/>
    <n v="0.11"/>
    <n v="115700"/>
    <n v="104000"/>
    <n v="11700"/>
    <s v="Cash"/>
    <x v="2"/>
  </r>
  <r>
    <s v="ORD0572"/>
    <s v="CUST0572"/>
    <d v="2025-12-09T00:00:00"/>
    <s v="Meera Shah"/>
    <s v="Coimbatore"/>
    <s v="Tamil Nadu"/>
    <s v="South"/>
    <s v="Monitor"/>
    <s v="Office"/>
    <s v="Vikram Joshi"/>
    <n v="6"/>
    <n v="18000"/>
    <n v="14000"/>
    <n v="0.04"/>
    <n v="103680"/>
    <n v="84000"/>
    <n v="19680"/>
    <s v="Debit Card"/>
    <x v="1"/>
  </r>
  <r>
    <s v="ORD0573"/>
    <s v="CUST0573"/>
    <d v="2024-04-22T00:00:00"/>
    <s v="Neha Gupta"/>
    <s v="Kolkata"/>
    <s v="West Bengal"/>
    <s v="East"/>
    <s v="Speaker"/>
    <s v="Electronics"/>
    <s v="Neha Gupta"/>
    <n v="7"/>
    <n v="5000"/>
    <n v="3200"/>
    <n v="0.18"/>
    <n v="28700.000000000004"/>
    <n v="22400"/>
    <n v="6300.0000000000036"/>
    <s v="UPI"/>
    <x v="2"/>
  </r>
  <r>
    <s v="ORD0574"/>
    <s v="CUST0574"/>
    <d v="2024-07-12T00:00:00"/>
    <s v="Deepika Roy"/>
    <s v="Bengaluru"/>
    <s v="Karnataka"/>
    <s v="South"/>
    <s v="Printer"/>
    <s v="Office"/>
    <s v="Amit Sharma"/>
    <n v="9"/>
    <n v="15000"/>
    <n v="11500"/>
    <n v="0.1"/>
    <n v="121500"/>
    <n v="103500"/>
    <n v="18000"/>
    <s v="Debit Card"/>
    <x v="2"/>
  </r>
  <r>
    <s v="ORD0575"/>
    <s v="CUST0575"/>
    <d v="2024-01-15T00:00:00"/>
    <s v="Vikram Singh"/>
    <s v="Surat"/>
    <s v="Gujarat"/>
    <s v="West"/>
    <s v="Smartphone"/>
    <s v="Electronics"/>
    <s v="Arjun Rao"/>
    <n v="6"/>
    <n v="35000"/>
    <n v="28000"/>
    <n v="0.09"/>
    <n v="191100"/>
    <n v="168000"/>
    <n v="23100"/>
    <s v="Net Banking"/>
    <x v="3"/>
  </r>
  <r>
    <s v="ORD0576"/>
    <s v="CUST0576"/>
    <d v="2024-08-27T00:00:00"/>
    <s v="Vikram Singh"/>
    <s v="Mumbai"/>
    <s v="Maharashtra"/>
    <s v="West"/>
    <s v="Smartwatch"/>
    <s v="Wearables"/>
    <s v="Neha Gupta"/>
    <n v="8"/>
    <n v="12000"/>
    <n v="8500"/>
    <n v="0.23"/>
    <n v="73920"/>
    <n v="68000"/>
    <n v="5920"/>
    <s v="Debit Card"/>
    <x v="3"/>
  </r>
  <r>
    <s v="ORD0577"/>
    <s v="CUST0577"/>
    <d v="2025-05-23T00:00:00"/>
    <s v="Nikhil Jain"/>
    <s v="Kolkata"/>
    <s v="West Bengal"/>
    <s v="East"/>
    <s v="Keyboard"/>
    <s v="Accessories"/>
    <s v="Vikram Joshi"/>
    <n v="5"/>
    <n v="1500"/>
    <n v="900"/>
    <n v="0.06"/>
    <n v="7050"/>
    <n v="4500"/>
    <n v="2550"/>
    <s v="Debit Card"/>
    <x v="2"/>
  </r>
  <r>
    <s v="ORD0578"/>
    <s v="CUST0578"/>
    <d v="2024-06-28T00:00:00"/>
    <s v="Divya Menon"/>
    <s v="Warangal"/>
    <s v="Telangana"/>
    <s v="South"/>
    <s v="Monitor"/>
    <s v="Office"/>
    <s v="Priya Nair"/>
    <n v="9"/>
    <n v="18000"/>
    <n v="14000"/>
    <n v="0.22"/>
    <n v="126360"/>
    <n v="126000"/>
    <n v="360"/>
    <s v="Credit Card"/>
    <x v="0"/>
  </r>
  <r>
    <s v="ORD0579"/>
    <s v="CUST0579"/>
    <d v="2025-08-20T00:00:00"/>
    <s v="Priya Patel"/>
    <s v="Ahmedabad"/>
    <s v="Gujarat"/>
    <s v="West"/>
    <s v="Printer"/>
    <s v="Office"/>
    <s v="Karan Singh"/>
    <n v="10"/>
    <n v="15000"/>
    <n v="11500"/>
    <n v="0.15"/>
    <n v="127500"/>
    <n v="115000"/>
    <n v="12500"/>
    <s v="Debit Card"/>
    <x v="1"/>
  </r>
  <r>
    <s v="ORD0580"/>
    <s v="CUST0580"/>
    <d v="2024-12-12T00:00:00"/>
    <s v="Meera Shah"/>
    <s v="New Delhi"/>
    <s v="Delhi"/>
    <s v="North"/>
    <s v="Speaker"/>
    <s v="Electronics"/>
    <s v="Amit Sharma"/>
    <n v="6"/>
    <n v="5000"/>
    <n v="3200"/>
    <n v="0.28999999999999998"/>
    <n v="21300"/>
    <n v="19200"/>
    <n v="2100"/>
    <s v="Debit Card"/>
    <x v="3"/>
  </r>
  <r>
    <s v="ORD0581"/>
    <s v="CUST0581"/>
    <d v="2025-10-25T00:00:00"/>
    <s v="Vikram Singh"/>
    <s v="Chennai"/>
    <s v="Tamil Nadu"/>
    <s v="South"/>
    <s v="Monitor"/>
    <s v="Office"/>
    <s v="Vikram Joshi"/>
    <n v="8"/>
    <n v="18000"/>
    <n v="14000"/>
    <n v="0.25"/>
    <n v="108000"/>
    <n v="112000"/>
    <n v="-4000"/>
    <s v="Debit Card"/>
    <x v="1"/>
  </r>
  <r>
    <s v="ORD0582"/>
    <s v="CUST0582"/>
    <d v="2025-07-09T00:00:00"/>
    <s v="Priya Patel"/>
    <s v="Ahmedabad"/>
    <s v="Gujarat"/>
    <s v="West"/>
    <s v="Speaker"/>
    <s v="Electronics"/>
    <s v="Pooja Das"/>
    <n v="9"/>
    <n v="5000"/>
    <n v="3200"/>
    <n v="0.11"/>
    <n v="40050"/>
    <n v="28800"/>
    <n v="11250"/>
    <s v="Credit Card"/>
    <x v="0"/>
  </r>
  <r>
    <s v="ORD0583"/>
    <s v="CUST0583"/>
    <d v="2024-11-10T00:00:00"/>
    <s v="Anjali Rao"/>
    <s v="New Delhi"/>
    <s v="Delhi"/>
    <s v="North"/>
    <s v="Mouse"/>
    <s v="Accessories"/>
    <s v="Karan Singh"/>
    <n v="6"/>
    <n v="800"/>
    <n v="450"/>
    <n v="0.24"/>
    <n v="3648"/>
    <n v="2700"/>
    <n v="948"/>
    <s v="Debit Card"/>
    <x v="2"/>
  </r>
  <r>
    <s v="ORD0584"/>
    <s v="CUST0584"/>
    <d v="2025-08-07T00:00:00"/>
    <s v="Vikram Singh"/>
    <s v="Ahmedabad"/>
    <s v="Gujarat"/>
    <s v="West"/>
    <s v="Laptop"/>
    <s v="Electronics"/>
    <s v="Priya Nair"/>
    <n v="9"/>
    <n v="65000"/>
    <n v="52000"/>
    <n v="0.09"/>
    <n v="532350"/>
    <n v="468000"/>
    <n v="64350"/>
    <s v="Cash"/>
    <x v="0"/>
  </r>
  <r>
    <s v="ORD0585"/>
    <s v="CUST0585"/>
    <d v="2024-05-19T00:00:00"/>
    <s v="Rahul Sharma"/>
    <s v="Bengaluru"/>
    <s v="Karnataka"/>
    <s v="South"/>
    <s v="Smartwatch"/>
    <s v="Wearables"/>
    <s v="Sneha Patil"/>
    <n v="1"/>
    <n v="12000"/>
    <n v="8500"/>
    <n v="0.06"/>
    <n v="11280"/>
    <n v="8500"/>
    <n v="2780"/>
    <s v="Cash"/>
    <x v="3"/>
  </r>
  <r>
    <s v="ORD0586"/>
    <s v="CUST0586"/>
    <d v="2025-07-30T00:00:00"/>
    <s v="Arjun Mehta"/>
    <s v="Jaipur"/>
    <s v="Rajasthan"/>
    <s v="North"/>
    <s v="Smartwatch"/>
    <s v="Wearables"/>
    <s v="Pooja Das"/>
    <n v="1"/>
    <n v="12000"/>
    <n v="8500"/>
    <n v="0.03"/>
    <n v="11640"/>
    <n v="8500"/>
    <n v="3140"/>
    <s v="Debit Card"/>
    <x v="2"/>
  </r>
  <r>
    <s v="ORD0587"/>
    <s v="CUST0587"/>
    <d v="2025-06-25T00:00:00"/>
    <s v="Sneha Nair"/>
    <s v="Warangal"/>
    <s v="Telangana"/>
    <s v="South"/>
    <s v="Headphones"/>
    <s v="Accessories"/>
    <s v="Vikram Joshi"/>
    <n v="9"/>
    <n v="3000"/>
    <n v="1800"/>
    <n v="0.08"/>
    <n v="24840"/>
    <n v="16200"/>
    <n v="8640"/>
    <s v="Cash"/>
    <x v="1"/>
  </r>
  <r>
    <s v="ORD0588"/>
    <s v="CUST0588"/>
    <d v="2024-07-21T00:00:00"/>
    <s v="Aditya Mishra"/>
    <s v="Mysuru"/>
    <s v="Karnataka"/>
    <s v="South"/>
    <s v="Laptop"/>
    <s v="Electronics"/>
    <s v="Arjun Rao"/>
    <n v="7"/>
    <n v="65000"/>
    <n v="52000"/>
    <n v="0.19"/>
    <n v="368550"/>
    <n v="364000"/>
    <n v="4550"/>
    <s v="Cash"/>
    <x v="3"/>
  </r>
  <r>
    <s v="ORD0589"/>
    <s v="CUST0589"/>
    <d v="2024-01-09T00:00:00"/>
    <s v="Amit Kumar"/>
    <s v="Bengaluru"/>
    <s v="Karnataka"/>
    <s v="South"/>
    <s v="Monitor"/>
    <s v="Office"/>
    <s v="Vikram Joshi"/>
    <n v="5"/>
    <n v="18000"/>
    <n v="14000"/>
    <n v="0.3"/>
    <n v="62999.999999999993"/>
    <n v="70000"/>
    <n v="-7000.0000000000073"/>
    <s v="Credit Card"/>
    <x v="2"/>
  </r>
  <r>
    <s v="ORD0590"/>
    <s v="CUST0590"/>
    <d v="2024-04-06T00:00:00"/>
    <s v="Aditya Mishra"/>
    <s v="Coimbatore"/>
    <s v="Tamil Nadu"/>
    <s v="South"/>
    <s v="Keyboard"/>
    <s v="Accessories"/>
    <s v="Sneha Patil"/>
    <n v="4"/>
    <n v="1500"/>
    <n v="900"/>
    <n v="0.01"/>
    <n v="5940"/>
    <n v="3600"/>
    <n v="2340"/>
    <s v="Cash"/>
    <x v="1"/>
  </r>
  <r>
    <s v="ORD0591"/>
    <s v="CUST0591"/>
    <d v="2025-11-27T00:00:00"/>
    <s v="Meera Shah"/>
    <s v="Surat"/>
    <s v="Gujarat"/>
    <s v="West"/>
    <s v="Headphones"/>
    <s v="Accessories"/>
    <s v="Sneha Patil"/>
    <n v="6"/>
    <n v="3000"/>
    <n v="1800"/>
    <n v="0.28999999999999998"/>
    <n v="12780"/>
    <n v="10800"/>
    <n v="1980"/>
    <s v="UPI"/>
    <x v="2"/>
  </r>
  <r>
    <s v="ORD0592"/>
    <s v="CUST0592"/>
    <d v="2024-12-22T00:00:00"/>
    <s v="Neha Gupta"/>
    <s v="New Delhi"/>
    <s v="Delhi"/>
    <s v="North"/>
    <s v="Printer"/>
    <s v="Office"/>
    <s v="Anjali Mehta"/>
    <n v="8"/>
    <n v="15000"/>
    <n v="11500"/>
    <n v="0.22"/>
    <n v="93600"/>
    <n v="92000"/>
    <n v="1600"/>
    <s v="Credit Card"/>
    <x v="1"/>
  </r>
  <r>
    <s v="ORD0593"/>
    <s v="CUST0593"/>
    <d v="2024-01-25T00:00:00"/>
    <s v="Rohan Kulkarni"/>
    <s v="Jaipur"/>
    <s v="Rajasthan"/>
    <s v="North"/>
    <s v="Tablet"/>
    <s v="Electronics"/>
    <s v="Arjun Rao"/>
    <n v="5"/>
    <n v="25000"/>
    <n v="20000"/>
    <n v="7.0000000000000007E-2"/>
    <n v="116249.99999999999"/>
    <n v="100000"/>
    <n v="16249.999999999985"/>
    <s v="UPI"/>
    <x v="2"/>
  </r>
  <r>
    <s v="ORD0594"/>
    <s v="CUST0594"/>
    <d v="2025-05-02T00:00:00"/>
    <s v="Neha Gupta"/>
    <s v="Chennai"/>
    <s v="Tamil Nadu"/>
    <s v="South"/>
    <s v="Keyboard"/>
    <s v="Accessories"/>
    <s v="Sneha Patil"/>
    <n v="7"/>
    <n v="1500"/>
    <n v="900"/>
    <n v="0.23"/>
    <n v="8085"/>
    <n v="6300"/>
    <n v="1785"/>
    <s v="Net Banking"/>
    <x v="1"/>
  </r>
  <r>
    <s v="ORD0595"/>
    <s v="CUST0595"/>
    <d v="2024-08-25T00:00:00"/>
    <s v="Suresh Iyer"/>
    <s v="New Delhi"/>
    <s v="Delhi"/>
    <s v="North"/>
    <s v="Smartphone"/>
    <s v="Electronics"/>
    <s v="Rahul Verma"/>
    <n v="2"/>
    <n v="35000"/>
    <n v="28000"/>
    <n v="0.13"/>
    <n v="60900"/>
    <n v="56000"/>
    <n v="4900"/>
    <s v="Net Banking"/>
    <x v="0"/>
  </r>
  <r>
    <s v="ORD0596"/>
    <s v="CUST0596"/>
    <d v="2025-06-10T00:00:00"/>
    <s v="Arjun Mehta"/>
    <s v="Chennai"/>
    <s v="Tamil Nadu"/>
    <s v="South"/>
    <s v="Laptop"/>
    <s v="Electronics"/>
    <s v="Vikram Joshi"/>
    <n v="2"/>
    <n v="65000"/>
    <n v="52000"/>
    <n v="0.28999999999999998"/>
    <n v="92300"/>
    <n v="104000"/>
    <n v="-11700"/>
    <s v="Cash"/>
    <x v="1"/>
  </r>
  <r>
    <s v="ORD0597"/>
    <s v="CUST0597"/>
    <d v="2024-01-22T00:00:00"/>
    <s v="Neha Gupta"/>
    <s v="Chennai"/>
    <s v="Tamil Nadu"/>
    <s v="South"/>
    <s v="Headphones"/>
    <s v="Accessories"/>
    <s v="Neha Gupta"/>
    <n v="6"/>
    <n v="3000"/>
    <n v="1800"/>
    <n v="0.13"/>
    <n v="15660"/>
    <n v="10800"/>
    <n v="4860"/>
    <s v="Credit Card"/>
    <x v="1"/>
  </r>
  <r>
    <s v="ORD0598"/>
    <s v="CUST0598"/>
    <d v="2025-03-30T00:00:00"/>
    <s v="Pooja Das"/>
    <s v="Hyderabad"/>
    <s v="Telangana"/>
    <s v="South"/>
    <s v="Smartwatch"/>
    <s v="Wearables"/>
    <s v="Karan Singh"/>
    <n v="8"/>
    <n v="12000"/>
    <n v="8500"/>
    <n v="0.3"/>
    <n v="67200"/>
    <n v="68000"/>
    <n v="-800"/>
    <s v="Credit Card"/>
    <x v="1"/>
  </r>
  <r>
    <s v="ORD0599"/>
    <s v="CUST0599"/>
    <d v="2024-09-03T00:00:00"/>
    <s v="Vikram Singh"/>
    <s v="Mysuru"/>
    <s v="Karnataka"/>
    <s v="South"/>
    <s v="Speaker"/>
    <s v="Electronics"/>
    <s v="Amit Sharma"/>
    <n v="2"/>
    <n v="5000"/>
    <n v="3200"/>
    <n v="0.19"/>
    <n v="8100.0000000000009"/>
    <n v="6400"/>
    <n v="1700.0000000000009"/>
    <s v="UPI"/>
    <x v="1"/>
  </r>
  <r>
    <s v="ORD0600"/>
    <s v="CUST0600"/>
    <d v="2025-09-06T00:00:00"/>
    <s v="Rohan Kulkarni"/>
    <s v="Jaipur"/>
    <s v="Rajasthan"/>
    <s v="North"/>
    <s v="Printer"/>
    <s v="Office"/>
    <s v="Pooja Das"/>
    <n v="3"/>
    <n v="15000"/>
    <n v="11500"/>
    <n v="0.24"/>
    <n v="34200"/>
    <n v="34500"/>
    <n v="-300"/>
    <s v="Debit Card"/>
    <x v="2"/>
  </r>
  <r>
    <s v="ORD0601"/>
    <s v="CUST0601"/>
    <d v="2024-02-07T00:00:00"/>
    <s v="Amit Kumar"/>
    <s v="Jaipur"/>
    <s v="Rajasthan"/>
    <s v="North"/>
    <s v="Smartphone"/>
    <s v="Electronics"/>
    <s v="Karan Singh"/>
    <n v="9"/>
    <n v="35000"/>
    <n v="28000"/>
    <n v="0.25"/>
    <n v="236250"/>
    <n v="252000"/>
    <n v="-15750"/>
    <s v="UPI"/>
    <x v="0"/>
  </r>
  <r>
    <s v="ORD0602"/>
    <s v="CUST0602"/>
    <d v="2025-05-31T00:00:00"/>
    <s v="Nikhil Jain"/>
    <s v="Pune"/>
    <s v="Maharashtra"/>
    <s v="West"/>
    <s v="Monitor"/>
    <s v="Office"/>
    <s v="Anjali Mehta"/>
    <n v="9"/>
    <n v="18000"/>
    <n v="14000"/>
    <n v="0.15"/>
    <n v="137700"/>
    <n v="126000"/>
    <n v="11700"/>
    <s v="Debit Card"/>
    <x v="3"/>
  </r>
  <r>
    <s v="ORD0603"/>
    <s v="CUST0603"/>
    <d v="2024-12-29T00:00:00"/>
    <s v="Suresh Iyer"/>
    <s v="New Delhi"/>
    <s v="Delhi"/>
    <s v="North"/>
    <s v="Smartphone"/>
    <s v="Electronics"/>
    <s v="Sneha Patil"/>
    <n v="9"/>
    <n v="35000"/>
    <n v="28000"/>
    <n v="0.28999999999999998"/>
    <n v="223650"/>
    <n v="252000"/>
    <n v="-28350"/>
    <s v="UPI"/>
    <x v="0"/>
  </r>
  <r>
    <s v="ORD0604"/>
    <s v="CUST0604"/>
    <d v="2024-01-04T00:00:00"/>
    <s v="Rahul Sharma"/>
    <s v="Pune"/>
    <s v="Maharashtra"/>
    <s v="West"/>
    <s v="Laptop"/>
    <s v="Electronics"/>
    <s v="Pooja Das"/>
    <n v="5"/>
    <n v="65000"/>
    <n v="52000"/>
    <n v="0"/>
    <n v="325000"/>
    <n v="260000"/>
    <n v="65000"/>
    <s v="Credit Card"/>
    <x v="2"/>
  </r>
  <r>
    <s v="ORD0605"/>
    <s v="CUST0605"/>
    <d v="2024-09-30T00:00:00"/>
    <s v="Neha Gupta"/>
    <s v="Hyderabad"/>
    <s v="Telangana"/>
    <s v="South"/>
    <s v="Laptop"/>
    <s v="Electronics"/>
    <s v="Karan Singh"/>
    <n v="8"/>
    <n v="65000"/>
    <n v="52000"/>
    <n v="0.05"/>
    <n v="494000"/>
    <n v="416000"/>
    <n v="78000"/>
    <s v="Net Banking"/>
    <x v="1"/>
  </r>
  <r>
    <s v="ORD0606"/>
    <s v="CUST0606"/>
    <d v="2025-02-12T00:00:00"/>
    <s v="Kavya Reddy"/>
    <s v="Hyderabad"/>
    <s v="Telangana"/>
    <s v="South"/>
    <s v="Smartwatch"/>
    <s v="Wearables"/>
    <s v="Amit Sharma"/>
    <n v="6"/>
    <n v="12000"/>
    <n v="8500"/>
    <n v="0.11"/>
    <n v="64080"/>
    <n v="51000"/>
    <n v="13080"/>
    <s v="Cash"/>
    <x v="0"/>
  </r>
  <r>
    <s v="ORD0607"/>
    <s v="CUST0607"/>
    <d v="2025-06-17T00:00:00"/>
    <s v="Divya Menon"/>
    <s v="Mysuru"/>
    <s v="Karnataka"/>
    <s v="South"/>
    <s v="Speaker"/>
    <s v="Electronics"/>
    <s v="Neha Gupta"/>
    <n v="4"/>
    <n v="5000"/>
    <n v="3200"/>
    <n v="0.26"/>
    <n v="14800"/>
    <n v="12800"/>
    <n v="2000"/>
    <s v="Cash"/>
    <x v="3"/>
  </r>
  <r>
    <s v="ORD0608"/>
    <s v="CUST0608"/>
    <d v="2024-04-25T00:00:00"/>
    <s v="Rohit Verma"/>
    <s v="Mumbai"/>
    <s v="Maharashtra"/>
    <s v="West"/>
    <s v="Mouse"/>
    <s v="Accessories"/>
    <s v="Sneha Patil"/>
    <n v="3"/>
    <n v="800"/>
    <n v="450"/>
    <n v="0.11"/>
    <n v="2136"/>
    <n v="1350"/>
    <n v="786"/>
    <s v="Net Banking"/>
    <x v="0"/>
  </r>
  <r>
    <s v="ORD0609"/>
    <s v="CUST0609"/>
    <d v="2024-05-25T00:00:00"/>
    <s v="Rohit Verma"/>
    <s v="Coimbatore"/>
    <s v="Tamil Nadu"/>
    <s v="South"/>
    <s v="Printer"/>
    <s v="Office"/>
    <s v="Sneha Patil"/>
    <n v="6"/>
    <n v="15000"/>
    <n v="11500"/>
    <n v="0.06"/>
    <n v="84600"/>
    <n v="69000"/>
    <n v="15600"/>
    <s v="Credit Card"/>
    <x v="2"/>
  </r>
  <r>
    <s v="ORD0610"/>
    <s v="CUST0610"/>
    <d v="2025-09-24T00:00:00"/>
    <s v="Aditya Mishra"/>
    <s v="Chennai"/>
    <s v="Tamil Nadu"/>
    <s v="South"/>
    <s v="Speaker"/>
    <s v="Electronics"/>
    <s v="Priya Nair"/>
    <n v="1"/>
    <n v="5000"/>
    <n v="3200"/>
    <n v="0.13"/>
    <n v="4350"/>
    <n v="3200"/>
    <n v="1150"/>
    <s v="Credit Card"/>
    <x v="1"/>
  </r>
  <r>
    <s v="ORD0611"/>
    <s v="CUST0611"/>
    <d v="2025-12-11T00:00:00"/>
    <s v="Rohan Kulkarni"/>
    <s v="Surat"/>
    <s v="Gujarat"/>
    <s v="West"/>
    <s v="Mouse"/>
    <s v="Accessories"/>
    <s v="Pooja Das"/>
    <n v="8"/>
    <n v="800"/>
    <n v="450"/>
    <n v="0.04"/>
    <n v="6144"/>
    <n v="3600"/>
    <n v="2544"/>
    <s v="Debit Card"/>
    <x v="0"/>
  </r>
  <r>
    <s v="ORD0612"/>
    <s v="CUST0612"/>
    <d v="2024-08-04T00:00:00"/>
    <s v="Aisha Khan"/>
    <s v="Kolkata"/>
    <s v="West Bengal"/>
    <s v="East"/>
    <s v="Smartwatch"/>
    <s v="Wearables"/>
    <s v="Sneha Patil"/>
    <n v="6"/>
    <n v="12000"/>
    <n v="8500"/>
    <n v="0.17"/>
    <n v="59760"/>
    <n v="51000"/>
    <n v="8760"/>
    <s v="Debit Card"/>
    <x v="2"/>
  </r>
  <r>
    <s v="ORD0613"/>
    <s v="CUST0613"/>
    <d v="2024-06-08T00:00:00"/>
    <s v="Divya Menon"/>
    <s v="Coimbatore"/>
    <s v="Tamil Nadu"/>
    <s v="South"/>
    <s v="Smartwatch"/>
    <s v="Wearables"/>
    <s v="Pooja Das"/>
    <n v="5"/>
    <n v="12000"/>
    <n v="8500"/>
    <n v="0.03"/>
    <n v="58200"/>
    <n v="42500"/>
    <n v="15700"/>
    <s v="UPI"/>
    <x v="1"/>
  </r>
  <r>
    <s v="ORD0614"/>
    <s v="CUST0614"/>
    <d v="2024-11-27T00:00:00"/>
    <s v="Pooja Das"/>
    <s v="Chennai"/>
    <s v="Tamil Nadu"/>
    <s v="South"/>
    <s v="Headphones"/>
    <s v="Accessories"/>
    <s v="Vikram Joshi"/>
    <n v="6"/>
    <n v="3000"/>
    <n v="1800"/>
    <n v="0.21"/>
    <n v="14220"/>
    <n v="10800"/>
    <n v="3420"/>
    <s v="Net Banking"/>
    <x v="2"/>
  </r>
  <r>
    <s v="ORD0615"/>
    <s v="CUST0615"/>
    <d v="2024-04-16T00:00:00"/>
    <s v="Rahul Sharma"/>
    <s v="Mumbai"/>
    <s v="Maharashtra"/>
    <s v="West"/>
    <s v="Speaker"/>
    <s v="Electronics"/>
    <s v="Amit Sharma"/>
    <n v="1"/>
    <n v="5000"/>
    <n v="3200"/>
    <n v="0.02"/>
    <n v="4900"/>
    <n v="3200"/>
    <n v="1700"/>
    <s v="Cash"/>
    <x v="3"/>
  </r>
  <r>
    <s v="ORD0616"/>
    <s v="CUST0616"/>
    <d v="2024-09-26T00:00:00"/>
    <s v="Kavya Reddy"/>
    <s v="Chennai"/>
    <s v="Tamil Nadu"/>
    <s v="South"/>
    <s v="Laptop"/>
    <s v="Electronics"/>
    <s v="Arjun Rao"/>
    <n v="5"/>
    <n v="65000"/>
    <n v="52000"/>
    <n v="0.28000000000000003"/>
    <n v="234000"/>
    <n v="260000"/>
    <n v="-26000"/>
    <s v="UPI"/>
    <x v="1"/>
  </r>
  <r>
    <s v="ORD0617"/>
    <s v="CUST0617"/>
    <d v="2025-03-04T00:00:00"/>
    <s v="Meera Shah"/>
    <s v="Mumbai"/>
    <s v="Maharashtra"/>
    <s v="West"/>
    <s v="Speaker"/>
    <s v="Electronics"/>
    <s v="Arjun Rao"/>
    <n v="7"/>
    <n v="5000"/>
    <n v="3200"/>
    <n v="0.14000000000000001"/>
    <n v="30100"/>
    <n v="22400"/>
    <n v="7700"/>
    <s v="Debit Card"/>
    <x v="3"/>
  </r>
  <r>
    <s v="ORD0618"/>
    <s v="CUST0618"/>
    <d v="2025-09-21T00:00:00"/>
    <s v="Rohan Kulkarni"/>
    <s v="Jaipur"/>
    <s v="Rajasthan"/>
    <s v="North"/>
    <s v="Tablet"/>
    <s v="Electronics"/>
    <s v="Rahul Verma"/>
    <n v="7"/>
    <n v="25000"/>
    <n v="20000"/>
    <n v="0.1"/>
    <n v="157500"/>
    <n v="140000"/>
    <n v="17500"/>
    <s v="Debit Card"/>
    <x v="2"/>
  </r>
  <r>
    <s v="ORD0619"/>
    <s v="CUST0619"/>
    <d v="2025-09-12T00:00:00"/>
    <s v="Rohit Verma"/>
    <s v="Ahmedabad"/>
    <s v="Gujarat"/>
    <s v="West"/>
    <s v="Laptop"/>
    <s v="Electronics"/>
    <s v="Anjali Mehta"/>
    <n v="1"/>
    <n v="65000"/>
    <n v="52000"/>
    <n v="0.19"/>
    <n v="52650"/>
    <n v="52000"/>
    <n v="650"/>
    <s v="Credit Card"/>
    <x v="0"/>
  </r>
  <r>
    <s v="ORD0620"/>
    <s v="CUST0620"/>
    <d v="2024-04-08T00:00:00"/>
    <s v="Rohit Verma"/>
    <s v="Mumbai"/>
    <s v="Maharashtra"/>
    <s v="West"/>
    <s v="Headphones"/>
    <s v="Accessories"/>
    <s v="Karan Singh"/>
    <n v="3"/>
    <n v="3000"/>
    <n v="1800"/>
    <n v="0.08"/>
    <n v="8280"/>
    <n v="5400"/>
    <n v="2880"/>
    <s v="Net Banking"/>
    <x v="3"/>
  </r>
  <r>
    <s v="ORD0621"/>
    <s v="CUST0621"/>
    <d v="2024-02-25T00:00:00"/>
    <s v="Aisha Khan"/>
    <s v="Hyderabad"/>
    <s v="Telangana"/>
    <s v="South"/>
    <s v="Smartphone"/>
    <s v="Electronics"/>
    <s v="Sneha Patil"/>
    <n v="6"/>
    <n v="35000"/>
    <n v="28000"/>
    <n v="7.0000000000000007E-2"/>
    <n v="195300"/>
    <n v="168000"/>
    <n v="27300"/>
    <s v="Cash"/>
    <x v="3"/>
  </r>
  <r>
    <s v="ORD0622"/>
    <s v="CUST0622"/>
    <d v="2025-02-13T00:00:00"/>
    <s v="Aisha Khan"/>
    <s v="New Delhi"/>
    <s v="Delhi"/>
    <s v="North"/>
    <s v="Keyboard"/>
    <s v="Accessories"/>
    <s v="Priya Nair"/>
    <n v="4"/>
    <n v="1500"/>
    <n v="900"/>
    <n v="0.06"/>
    <n v="5640"/>
    <n v="3600"/>
    <n v="2040"/>
    <s v="Credit Card"/>
    <x v="1"/>
  </r>
  <r>
    <s v="ORD0623"/>
    <s v="CUST0623"/>
    <d v="2024-11-04T00:00:00"/>
    <s v="Suresh Iyer"/>
    <s v="Ahmedabad"/>
    <s v="Gujarat"/>
    <s v="West"/>
    <s v="Tablet"/>
    <s v="Electronics"/>
    <s v="Karan Singh"/>
    <n v="6"/>
    <n v="25000"/>
    <n v="20000"/>
    <n v="0.12"/>
    <n v="132000"/>
    <n v="120000"/>
    <n v="12000"/>
    <s v="Debit Card"/>
    <x v="2"/>
  </r>
  <r>
    <s v="ORD0624"/>
    <s v="CUST0624"/>
    <d v="2024-05-31T00:00:00"/>
    <s v="Rahul Sharma"/>
    <s v="Warangal"/>
    <s v="Telangana"/>
    <s v="South"/>
    <s v="Smartwatch"/>
    <s v="Wearables"/>
    <s v="Arjun Rao"/>
    <n v="5"/>
    <n v="12000"/>
    <n v="8500"/>
    <n v="0.27"/>
    <n v="43800"/>
    <n v="42500"/>
    <n v="1300"/>
    <s v="Credit Card"/>
    <x v="1"/>
  </r>
  <r>
    <s v="ORD0625"/>
    <s v="CUST0625"/>
    <d v="2025-07-30T00:00:00"/>
    <s v="Neha Gupta"/>
    <s v="Ahmedabad"/>
    <s v="Gujarat"/>
    <s v="West"/>
    <s v="Tablet"/>
    <s v="Electronics"/>
    <s v="Amit Sharma"/>
    <n v="9"/>
    <n v="25000"/>
    <n v="20000"/>
    <n v="0.14000000000000001"/>
    <n v="193500"/>
    <n v="180000"/>
    <n v="13500"/>
    <s v="UPI"/>
    <x v="3"/>
  </r>
  <r>
    <s v="ORD0626"/>
    <s v="CUST0626"/>
    <d v="2025-09-12T00:00:00"/>
    <s v="Priya Patel"/>
    <s v="Warangal"/>
    <s v="Telangana"/>
    <s v="South"/>
    <s v="Printer"/>
    <s v="Office"/>
    <s v="Arjun Rao"/>
    <n v="4"/>
    <n v="15000"/>
    <n v="11500"/>
    <n v="0.03"/>
    <n v="58200"/>
    <n v="46000"/>
    <n v="12200"/>
    <s v="Net Banking"/>
    <x v="3"/>
  </r>
  <r>
    <s v="ORD0627"/>
    <s v="CUST0627"/>
    <d v="2025-04-16T00:00:00"/>
    <s v="Divya Menon"/>
    <s v="Jaipur"/>
    <s v="Rajasthan"/>
    <s v="North"/>
    <s v="Keyboard"/>
    <s v="Accessories"/>
    <s v="Neha Gupta"/>
    <n v="10"/>
    <n v="1500"/>
    <n v="900"/>
    <n v="0.3"/>
    <n v="10500"/>
    <n v="9000"/>
    <n v="1500"/>
    <s v="UPI"/>
    <x v="1"/>
  </r>
  <r>
    <s v="ORD0628"/>
    <s v="CUST0628"/>
    <d v="2025-04-01T00:00:00"/>
    <s v="Vikram Singh"/>
    <s v="Ahmedabad"/>
    <s v="Gujarat"/>
    <s v="West"/>
    <s v="Mouse"/>
    <s v="Accessories"/>
    <s v="Sneha Patil"/>
    <n v="1"/>
    <n v="800"/>
    <n v="450"/>
    <n v="0.15"/>
    <n v="680"/>
    <n v="450"/>
    <n v="230"/>
    <s v="Cash"/>
    <x v="3"/>
  </r>
  <r>
    <s v="ORD0629"/>
    <s v="CUST0629"/>
    <d v="2024-03-06T00:00:00"/>
    <s v="Karan Joshi"/>
    <s v="Surat"/>
    <s v="Gujarat"/>
    <s v="West"/>
    <s v="Headphones"/>
    <s v="Accessories"/>
    <s v="Vikram Joshi"/>
    <n v="7"/>
    <n v="3000"/>
    <n v="1800"/>
    <n v="0.12"/>
    <n v="18480"/>
    <n v="12600"/>
    <n v="5880"/>
    <s v="Net Banking"/>
    <x v="3"/>
  </r>
  <r>
    <s v="ORD0630"/>
    <s v="CUST0630"/>
    <d v="2024-09-26T00:00:00"/>
    <s v="Kavya Reddy"/>
    <s v="Kolkata"/>
    <s v="West Bengal"/>
    <s v="East"/>
    <s v="Headphones"/>
    <s v="Accessories"/>
    <s v="Sneha Patil"/>
    <n v="4"/>
    <n v="3000"/>
    <n v="1800"/>
    <n v="0.2"/>
    <n v="9600"/>
    <n v="7200"/>
    <n v="2400"/>
    <s v="Cash"/>
    <x v="2"/>
  </r>
  <r>
    <s v="ORD0631"/>
    <s v="CUST0631"/>
    <d v="2025-08-25T00:00:00"/>
    <s v="Kavya Reddy"/>
    <s v="Ahmedabad"/>
    <s v="Gujarat"/>
    <s v="West"/>
    <s v="Keyboard"/>
    <s v="Accessories"/>
    <s v="Arjun Rao"/>
    <n v="4"/>
    <n v="1500"/>
    <n v="900"/>
    <n v="0.09"/>
    <n v="5460"/>
    <n v="3600"/>
    <n v="1860"/>
    <s v="UPI"/>
    <x v="0"/>
  </r>
  <r>
    <s v="ORD0632"/>
    <s v="CUST0632"/>
    <d v="2024-10-23T00:00:00"/>
    <s v="Priya Patel"/>
    <s v="Mumbai"/>
    <s v="Maharashtra"/>
    <s v="West"/>
    <s v="Keyboard"/>
    <s v="Accessories"/>
    <s v="Karan Singh"/>
    <n v="6"/>
    <n v="1500"/>
    <n v="900"/>
    <n v="0.04"/>
    <n v="8640"/>
    <n v="5400"/>
    <n v="3240"/>
    <s v="UPI"/>
    <x v="3"/>
  </r>
  <r>
    <s v="ORD0633"/>
    <s v="CUST0633"/>
    <d v="2024-07-20T00:00:00"/>
    <s v="Suresh Iyer"/>
    <s v="Coimbatore"/>
    <s v="Tamil Nadu"/>
    <s v="South"/>
    <s v="Printer"/>
    <s v="Office"/>
    <s v="Priya Nair"/>
    <n v="10"/>
    <n v="15000"/>
    <n v="11500"/>
    <n v="0.01"/>
    <n v="148500"/>
    <n v="115000"/>
    <n v="33500"/>
    <s v="Credit Card"/>
    <x v="3"/>
  </r>
  <r>
    <s v="ORD0634"/>
    <s v="CUST0634"/>
    <d v="2025-07-17T00:00:00"/>
    <s v="Aisha Khan"/>
    <s v="Jaipur"/>
    <s v="Rajasthan"/>
    <s v="North"/>
    <s v="Printer"/>
    <s v="Office"/>
    <s v="Vikram Joshi"/>
    <n v="10"/>
    <n v="15000"/>
    <n v="11500"/>
    <n v="0.13"/>
    <n v="130500"/>
    <n v="115000"/>
    <n v="15500"/>
    <s v="Net Banking"/>
    <x v="3"/>
  </r>
  <r>
    <s v="ORD0635"/>
    <s v="CUST0635"/>
    <d v="2025-12-13T00:00:00"/>
    <s v="Kavya Reddy"/>
    <s v="Warangal"/>
    <s v="Telangana"/>
    <s v="South"/>
    <s v="Smartphone"/>
    <s v="Electronics"/>
    <s v="Anjali Mehta"/>
    <n v="10"/>
    <n v="35000"/>
    <n v="28000"/>
    <n v="0.04"/>
    <n v="336000"/>
    <n v="280000"/>
    <n v="56000"/>
    <s v="Net Banking"/>
    <x v="0"/>
  </r>
  <r>
    <s v="ORD0636"/>
    <s v="CUST0636"/>
    <d v="2024-03-12T00:00:00"/>
    <s v="Vikram Singh"/>
    <s v="Mumbai"/>
    <s v="Maharashtra"/>
    <s v="West"/>
    <s v="Printer"/>
    <s v="Office"/>
    <s v="Anjali Mehta"/>
    <n v="6"/>
    <n v="15000"/>
    <n v="11500"/>
    <n v="0.19"/>
    <n v="72900"/>
    <n v="69000"/>
    <n v="3900"/>
    <s v="UPI"/>
    <x v="2"/>
  </r>
  <r>
    <s v="ORD0637"/>
    <s v="CUST0637"/>
    <d v="2025-04-06T00:00:00"/>
    <s v="Nikhil Jain"/>
    <s v="Coimbatore"/>
    <s v="Tamil Nadu"/>
    <s v="South"/>
    <s v="Laptop"/>
    <s v="Electronics"/>
    <s v="Vikram Joshi"/>
    <n v="6"/>
    <n v="65000"/>
    <n v="52000"/>
    <n v="0.1"/>
    <n v="351000"/>
    <n v="312000"/>
    <n v="39000"/>
    <s v="Cash"/>
    <x v="0"/>
  </r>
  <r>
    <s v="ORD0638"/>
    <s v="CUST0638"/>
    <d v="2025-08-20T00:00:00"/>
    <s v="Deepika Roy"/>
    <s v="Mysuru"/>
    <s v="Karnataka"/>
    <s v="South"/>
    <s v="Mouse"/>
    <s v="Accessories"/>
    <s v="Rahul Verma"/>
    <n v="10"/>
    <n v="800"/>
    <n v="450"/>
    <n v="0.03"/>
    <n v="7760"/>
    <n v="4500"/>
    <n v="3260"/>
    <s v="Net Banking"/>
    <x v="0"/>
  </r>
  <r>
    <s v="ORD0639"/>
    <s v="CUST0639"/>
    <d v="2025-07-30T00:00:00"/>
    <s v="Deepika Roy"/>
    <s v="New Delhi"/>
    <s v="Delhi"/>
    <s v="North"/>
    <s v="Monitor"/>
    <s v="Office"/>
    <s v="Pooja Das"/>
    <n v="9"/>
    <n v="18000"/>
    <n v="14000"/>
    <n v="0.1"/>
    <n v="145800"/>
    <n v="126000"/>
    <n v="19800"/>
    <s v="Cash"/>
    <x v="1"/>
  </r>
  <r>
    <s v="ORD0640"/>
    <s v="CUST0640"/>
    <d v="2025-11-28T00:00:00"/>
    <s v="Deepika Roy"/>
    <s v="Jaipur"/>
    <s v="Rajasthan"/>
    <s v="North"/>
    <s v="Laptop"/>
    <s v="Electronics"/>
    <s v="Neha Gupta"/>
    <n v="8"/>
    <n v="65000"/>
    <n v="52000"/>
    <n v="0.22"/>
    <n v="405600"/>
    <n v="416000"/>
    <n v="-10400"/>
    <s v="UPI"/>
    <x v="2"/>
  </r>
  <r>
    <s v="ORD0641"/>
    <s v="CUST0641"/>
    <d v="2024-04-25T00:00:00"/>
    <s v="Arjun Mehta"/>
    <s v="Jaipur"/>
    <s v="Rajasthan"/>
    <s v="North"/>
    <s v="Keyboard"/>
    <s v="Accessories"/>
    <s v="Neha Gupta"/>
    <n v="9"/>
    <n v="1500"/>
    <n v="900"/>
    <n v="0.28999999999999998"/>
    <n v="9585"/>
    <n v="8100"/>
    <n v="1485"/>
    <s v="Net Banking"/>
    <x v="2"/>
  </r>
  <r>
    <s v="ORD0642"/>
    <s v="CUST0642"/>
    <d v="2025-03-31T00:00:00"/>
    <s v="Aditya Mishra"/>
    <s v="Hyderabad"/>
    <s v="Telangana"/>
    <s v="South"/>
    <s v="Keyboard"/>
    <s v="Accessories"/>
    <s v="Neha Gupta"/>
    <n v="8"/>
    <n v="1500"/>
    <n v="900"/>
    <n v="7.0000000000000007E-2"/>
    <n v="11160"/>
    <n v="7200"/>
    <n v="3960"/>
    <s v="Net Banking"/>
    <x v="3"/>
  </r>
  <r>
    <s v="ORD0643"/>
    <s v="CUST0643"/>
    <d v="2025-08-28T00:00:00"/>
    <s v="Deepika Roy"/>
    <s v="New Delhi"/>
    <s v="Delhi"/>
    <s v="North"/>
    <s v="Laptop"/>
    <s v="Electronics"/>
    <s v="Sneha Patil"/>
    <n v="10"/>
    <n v="65000"/>
    <n v="52000"/>
    <n v="0.24"/>
    <n v="494000"/>
    <n v="520000"/>
    <n v="-26000"/>
    <s v="Debit Card"/>
    <x v="1"/>
  </r>
  <r>
    <s v="ORD0644"/>
    <s v="CUST0644"/>
    <d v="2025-05-29T00:00:00"/>
    <s v="Neha Gupta"/>
    <s v="Hyderabad"/>
    <s v="Telangana"/>
    <s v="South"/>
    <s v="Headphones"/>
    <s v="Accessories"/>
    <s v="Vikram Joshi"/>
    <n v="10"/>
    <n v="3000"/>
    <n v="1800"/>
    <n v="7.0000000000000007E-2"/>
    <n v="27899.999999999996"/>
    <n v="18000"/>
    <n v="9899.9999999999964"/>
    <s v="UPI"/>
    <x v="2"/>
  </r>
  <r>
    <s v="ORD0645"/>
    <s v="CUST0645"/>
    <d v="2025-09-05T00:00:00"/>
    <s v="Arjun Mehta"/>
    <s v="Coimbatore"/>
    <s v="Tamil Nadu"/>
    <s v="South"/>
    <s v="Smartphone"/>
    <s v="Electronics"/>
    <s v="Vikram Joshi"/>
    <n v="8"/>
    <n v="35000"/>
    <n v="28000"/>
    <n v="0.27"/>
    <n v="204400"/>
    <n v="224000"/>
    <n v="-19600"/>
    <s v="Debit Card"/>
    <x v="2"/>
  </r>
  <r>
    <s v="ORD0646"/>
    <s v="CUST0646"/>
    <d v="2024-08-25T00:00:00"/>
    <s v="Rohan Kulkarni"/>
    <s v="Hyderabad"/>
    <s v="Telangana"/>
    <s v="South"/>
    <s v="Monitor"/>
    <s v="Office"/>
    <s v="Pooja Das"/>
    <n v="9"/>
    <n v="18000"/>
    <n v="14000"/>
    <n v="0.17"/>
    <n v="134460"/>
    <n v="126000"/>
    <n v="8460"/>
    <s v="Net Banking"/>
    <x v="3"/>
  </r>
  <r>
    <s v="ORD0647"/>
    <s v="CUST0647"/>
    <d v="2025-12-15T00:00:00"/>
    <s v="Deepika Roy"/>
    <s v="Coimbatore"/>
    <s v="Tamil Nadu"/>
    <s v="South"/>
    <s v="Smartwatch"/>
    <s v="Wearables"/>
    <s v="Karan Singh"/>
    <n v="10"/>
    <n v="12000"/>
    <n v="8500"/>
    <n v="0.14000000000000001"/>
    <n v="103200"/>
    <n v="85000"/>
    <n v="18200"/>
    <s v="Net Banking"/>
    <x v="1"/>
  </r>
  <r>
    <s v="ORD0648"/>
    <s v="CUST0648"/>
    <d v="2025-11-26T00:00:00"/>
    <s v="Rohan Kulkarni"/>
    <s v="Warangal"/>
    <s v="Telangana"/>
    <s v="South"/>
    <s v="Tablet"/>
    <s v="Electronics"/>
    <s v="Arjun Rao"/>
    <n v="4"/>
    <n v="25000"/>
    <n v="20000"/>
    <n v="0.04"/>
    <n v="96000"/>
    <n v="80000"/>
    <n v="16000"/>
    <s v="Debit Card"/>
    <x v="0"/>
  </r>
  <r>
    <s v="ORD0649"/>
    <s v="CUST0649"/>
    <d v="2025-06-22T00:00:00"/>
    <s v="Priya Patel"/>
    <s v="Mysuru"/>
    <s v="Karnataka"/>
    <s v="South"/>
    <s v="Speaker"/>
    <s v="Electronics"/>
    <s v="Neha Gupta"/>
    <n v="9"/>
    <n v="5000"/>
    <n v="3200"/>
    <n v="0.02"/>
    <n v="44100"/>
    <n v="28800"/>
    <n v="15300"/>
    <s v="Debit Card"/>
    <x v="1"/>
  </r>
  <r>
    <s v="ORD0650"/>
    <s v="CUST0650"/>
    <d v="2025-04-20T00:00:00"/>
    <s v="Neha Gupta"/>
    <s v="Surat"/>
    <s v="Gujarat"/>
    <s v="West"/>
    <s v="Printer"/>
    <s v="Office"/>
    <s v="Arjun Rao"/>
    <n v="3"/>
    <n v="15000"/>
    <n v="11500"/>
    <n v="0.21"/>
    <n v="35550"/>
    <n v="34500"/>
    <n v="1050"/>
    <s v="Net Banking"/>
    <x v="0"/>
  </r>
  <r>
    <s v="ORD0651"/>
    <s v="CUST0651"/>
    <d v="2025-11-05T00:00:00"/>
    <s v="Arjun Mehta"/>
    <s v="Pune"/>
    <s v="Maharashtra"/>
    <s v="West"/>
    <s v="Headphones"/>
    <s v="Accessories"/>
    <s v="Neha Gupta"/>
    <n v="7"/>
    <n v="3000"/>
    <n v="1800"/>
    <n v="0.03"/>
    <n v="20370"/>
    <n v="12600"/>
    <n v="7770"/>
    <s v="Cash"/>
    <x v="3"/>
  </r>
  <r>
    <s v="ORD0652"/>
    <s v="CUST0652"/>
    <d v="2025-01-31T00:00:00"/>
    <s v="Meera Shah"/>
    <s v="Kolkata"/>
    <s v="West Bengal"/>
    <s v="East"/>
    <s v="Keyboard"/>
    <s v="Accessories"/>
    <s v="Sneha Patil"/>
    <n v="9"/>
    <n v="1500"/>
    <n v="900"/>
    <n v="0.19"/>
    <n v="10935"/>
    <n v="8100"/>
    <n v="2835"/>
    <s v="Cash"/>
    <x v="3"/>
  </r>
  <r>
    <s v="ORD0653"/>
    <s v="CUST0653"/>
    <d v="2025-08-18T00:00:00"/>
    <s v="Vikram Singh"/>
    <s v="Chennai"/>
    <s v="Tamil Nadu"/>
    <s v="South"/>
    <s v="Printer"/>
    <s v="Office"/>
    <s v="Amit Sharma"/>
    <n v="4"/>
    <n v="15000"/>
    <n v="11500"/>
    <n v="0.2"/>
    <n v="48000"/>
    <n v="46000"/>
    <n v="2000"/>
    <s v="Net Banking"/>
    <x v="1"/>
  </r>
  <r>
    <s v="ORD0654"/>
    <s v="CUST0654"/>
    <d v="2024-01-11T00:00:00"/>
    <s v="Amit Kumar"/>
    <s v="Warangal"/>
    <s v="Telangana"/>
    <s v="South"/>
    <s v="Speaker"/>
    <s v="Electronics"/>
    <s v="Amit Sharma"/>
    <n v="7"/>
    <n v="5000"/>
    <n v="3200"/>
    <n v="0.14000000000000001"/>
    <n v="30100"/>
    <n v="22400"/>
    <n v="7700"/>
    <s v="Debit Card"/>
    <x v="1"/>
  </r>
  <r>
    <s v="ORD0655"/>
    <s v="CUST0655"/>
    <d v="2024-12-14T00:00:00"/>
    <s v="Amit Kumar"/>
    <s v="Mumbai"/>
    <s v="Maharashtra"/>
    <s v="West"/>
    <s v="Keyboard"/>
    <s v="Accessories"/>
    <s v="Vikram Joshi"/>
    <n v="1"/>
    <n v="1500"/>
    <n v="900"/>
    <n v="0.2"/>
    <n v="1200"/>
    <n v="900"/>
    <n v="300"/>
    <s v="Credit Card"/>
    <x v="3"/>
  </r>
  <r>
    <s v="ORD0656"/>
    <s v="CUST0656"/>
    <d v="2025-07-03T00:00:00"/>
    <s v="Pooja Das"/>
    <s v="Mumbai"/>
    <s v="Maharashtra"/>
    <s v="West"/>
    <s v="Headphones"/>
    <s v="Accessories"/>
    <s v="Neha Gupta"/>
    <n v="6"/>
    <n v="3000"/>
    <n v="1800"/>
    <n v="0.21"/>
    <n v="14220"/>
    <n v="10800"/>
    <n v="3420"/>
    <s v="Net Banking"/>
    <x v="0"/>
  </r>
  <r>
    <s v="ORD0657"/>
    <s v="CUST0657"/>
    <d v="2025-03-21T00:00:00"/>
    <s v="Meera Shah"/>
    <s v="Ahmedabad"/>
    <s v="Gujarat"/>
    <s v="West"/>
    <s v="Mouse"/>
    <s v="Accessories"/>
    <s v="Priya Nair"/>
    <n v="3"/>
    <n v="800"/>
    <n v="450"/>
    <n v="0.14000000000000001"/>
    <n v="2064"/>
    <n v="1350"/>
    <n v="714"/>
    <s v="Net Banking"/>
    <x v="2"/>
  </r>
  <r>
    <s v="ORD0658"/>
    <s v="CUST0658"/>
    <d v="2025-02-22T00:00:00"/>
    <s v="Priya Patel"/>
    <s v="Hyderabad"/>
    <s v="Telangana"/>
    <s v="South"/>
    <s v="Tablet"/>
    <s v="Electronics"/>
    <s v="Rahul Verma"/>
    <n v="6"/>
    <n v="25000"/>
    <n v="20000"/>
    <n v="0.06"/>
    <n v="141000"/>
    <n v="120000"/>
    <n v="21000"/>
    <s v="UPI"/>
    <x v="2"/>
  </r>
  <r>
    <s v="ORD0659"/>
    <s v="CUST0659"/>
    <d v="2024-10-01T00:00:00"/>
    <s v="Aditya Mishra"/>
    <s v="Coimbatore"/>
    <s v="Tamil Nadu"/>
    <s v="South"/>
    <s v="Tablet"/>
    <s v="Electronics"/>
    <s v="Pooja Das"/>
    <n v="6"/>
    <n v="25000"/>
    <n v="20000"/>
    <n v="0.27"/>
    <n v="109500"/>
    <n v="120000"/>
    <n v="-10500"/>
    <s v="Net Banking"/>
    <x v="1"/>
  </r>
  <r>
    <s v="ORD0660"/>
    <s v="CUST0660"/>
    <d v="2024-11-05T00:00:00"/>
    <s v="Suresh Iyer"/>
    <s v="Mumbai"/>
    <s v="Maharashtra"/>
    <s v="West"/>
    <s v="Monitor"/>
    <s v="Office"/>
    <s v="Neha Gupta"/>
    <n v="3"/>
    <n v="18000"/>
    <n v="14000"/>
    <n v="0.06"/>
    <n v="50760"/>
    <n v="42000"/>
    <n v="8760"/>
    <s v="Cash"/>
    <x v="2"/>
  </r>
  <r>
    <s v="ORD0661"/>
    <s v="CUST0661"/>
    <d v="2024-09-03T00:00:00"/>
    <s v="Nikhil Jain"/>
    <s v="New Delhi"/>
    <s v="Delhi"/>
    <s v="North"/>
    <s v="Smartphone"/>
    <s v="Electronics"/>
    <s v="Karan Singh"/>
    <n v="9"/>
    <n v="35000"/>
    <n v="28000"/>
    <n v="0.3"/>
    <n v="220500"/>
    <n v="252000"/>
    <n v="-31500"/>
    <s v="Debit Card"/>
    <x v="1"/>
  </r>
  <r>
    <s v="ORD0662"/>
    <s v="CUST0662"/>
    <d v="2024-09-11T00:00:00"/>
    <s v="Rahul Sharma"/>
    <s v="Surat"/>
    <s v="Gujarat"/>
    <s v="West"/>
    <s v="Keyboard"/>
    <s v="Accessories"/>
    <s v="Anjali Mehta"/>
    <n v="4"/>
    <n v="1500"/>
    <n v="900"/>
    <n v="0.15"/>
    <n v="5100"/>
    <n v="3600"/>
    <n v="1500"/>
    <s v="Net Banking"/>
    <x v="2"/>
  </r>
  <r>
    <s v="ORD0663"/>
    <s v="CUST0663"/>
    <d v="2024-10-19T00:00:00"/>
    <s v="Deepika Roy"/>
    <s v="Mumbai"/>
    <s v="Maharashtra"/>
    <s v="West"/>
    <s v="Keyboard"/>
    <s v="Accessories"/>
    <s v="Rahul Verma"/>
    <n v="9"/>
    <n v="1500"/>
    <n v="900"/>
    <n v="0.27"/>
    <n v="9855"/>
    <n v="8100"/>
    <n v="1755"/>
    <s v="Credit Card"/>
    <x v="3"/>
  </r>
  <r>
    <s v="ORD0664"/>
    <s v="CUST0664"/>
    <d v="2025-02-15T00:00:00"/>
    <s v="Rohit Verma"/>
    <s v="Mysuru"/>
    <s v="Karnataka"/>
    <s v="South"/>
    <s v="Keyboard"/>
    <s v="Accessories"/>
    <s v="Karan Singh"/>
    <n v="3"/>
    <n v="1500"/>
    <n v="900"/>
    <n v="0.01"/>
    <n v="4455"/>
    <n v="2700"/>
    <n v="1755"/>
    <s v="UPI"/>
    <x v="0"/>
  </r>
  <r>
    <s v="ORD0665"/>
    <s v="CUST0665"/>
    <d v="2025-03-27T00:00:00"/>
    <s v="Aditya Mishra"/>
    <s v="Kolkata"/>
    <s v="West Bengal"/>
    <s v="East"/>
    <s v="Smartwatch"/>
    <s v="Wearables"/>
    <s v="Rahul Verma"/>
    <n v="1"/>
    <n v="12000"/>
    <n v="8500"/>
    <n v="0.27"/>
    <n v="8760"/>
    <n v="8500"/>
    <n v="260"/>
    <s v="Debit Card"/>
    <x v="1"/>
  </r>
  <r>
    <s v="ORD0666"/>
    <s v="CUST0666"/>
    <d v="2024-10-16T00:00:00"/>
    <s v="Meera Shah"/>
    <s v="New Delhi"/>
    <s v="Delhi"/>
    <s v="North"/>
    <s v="Printer"/>
    <s v="Office"/>
    <s v="Anjali Mehta"/>
    <n v="3"/>
    <n v="15000"/>
    <n v="11500"/>
    <n v="0.27"/>
    <n v="32850"/>
    <n v="34500"/>
    <n v="-1650"/>
    <s v="Credit Card"/>
    <x v="3"/>
  </r>
  <r>
    <s v="ORD0667"/>
    <s v="CUST0667"/>
    <d v="2024-01-30T00:00:00"/>
    <s v="Priya Patel"/>
    <s v="Jaipur"/>
    <s v="Rajasthan"/>
    <s v="North"/>
    <s v="Speaker"/>
    <s v="Electronics"/>
    <s v="Anjali Mehta"/>
    <n v="3"/>
    <n v="5000"/>
    <n v="3200"/>
    <n v="0.02"/>
    <n v="14700"/>
    <n v="9600"/>
    <n v="5100"/>
    <s v="Debit Card"/>
    <x v="1"/>
  </r>
  <r>
    <s v="ORD0668"/>
    <s v="CUST0668"/>
    <d v="2024-09-07T00:00:00"/>
    <s v="Kavya Reddy"/>
    <s v="Bengaluru"/>
    <s v="Karnataka"/>
    <s v="South"/>
    <s v="Speaker"/>
    <s v="Electronics"/>
    <s v="Amit Sharma"/>
    <n v="3"/>
    <n v="5000"/>
    <n v="3200"/>
    <n v="0.09"/>
    <n v="13650"/>
    <n v="9600"/>
    <n v="4050"/>
    <s v="Debit Card"/>
    <x v="1"/>
  </r>
  <r>
    <s v="ORD0669"/>
    <s v="CUST0669"/>
    <d v="2025-05-24T00:00:00"/>
    <s v="Divya Menon"/>
    <s v="Jaipur"/>
    <s v="Rajasthan"/>
    <s v="North"/>
    <s v="Laptop"/>
    <s v="Electronics"/>
    <s v="Pooja Das"/>
    <n v="7"/>
    <n v="65000"/>
    <n v="52000"/>
    <n v="0.1"/>
    <n v="409500"/>
    <n v="364000"/>
    <n v="45500"/>
    <s v="Debit Card"/>
    <x v="2"/>
  </r>
  <r>
    <s v="ORD0670"/>
    <s v="CUST0670"/>
    <d v="2025-01-07T00:00:00"/>
    <s v="Rahul Sharma"/>
    <s v="Mumbai"/>
    <s v="Maharashtra"/>
    <s v="West"/>
    <s v="Mouse"/>
    <s v="Accessories"/>
    <s v="Anjali Mehta"/>
    <n v="10"/>
    <n v="800"/>
    <n v="450"/>
    <n v="0.01"/>
    <n v="7920"/>
    <n v="4500"/>
    <n v="3420"/>
    <s v="Cash"/>
    <x v="3"/>
  </r>
  <r>
    <s v="ORD0671"/>
    <s v="CUST0671"/>
    <d v="2024-04-11T00:00:00"/>
    <s v="Suresh Iyer"/>
    <s v="Pune"/>
    <s v="Maharashtra"/>
    <s v="West"/>
    <s v="Printer"/>
    <s v="Office"/>
    <s v="Priya Nair"/>
    <n v="6"/>
    <n v="15000"/>
    <n v="11500"/>
    <n v="0.23"/>
    <n v="69300"/>
    <n v="69000"/>
    <n v="300"/>
    <s v="Debit Card"/>
    <x v="3"/>
  </r>
  <r>
    <s v="ORD0672"/>
    <s v="CUST0672"/>
    <d v="2024-11-12T00:00:00"/>
    <s v="Rohit Verma"/>
    <s v="Jaipur"/>
    <s v="Rajasthan"/>
    <s v="North"/>
    <s v="Laptop"/>
    <s v="Electronics"/>
    <s v="Priya Nair"/>
    <n v="9"/>
    <n v="65000"/>
    <n v="52000"/>
    <n v="0.2"/>
    <n v="468000"/>
    <n v="468000"/>
    <n v="0"/>
    <s v="Credit Card"/>
    <x v="3"/>
  </r>
  <r>
    <s v="ORD0673"/>
    <s v="CUST0673"/>
    <d v="2024-12-12T00:00:00"/>
    <s v="Meera Shah"/>
    <s v="Bengaluru"/>
    <s v="Karnataka"/>
    <s v="South"/>
    <s v="Speaker"/>
    <s v="Electronics"/>
    <s v="Arjun Rao"/>
    <n v="5"/>
    <n v="5000"/>
    <n v="3200"/>
    <n v="0.15"/>
    <n v="21250"/>
    <n v="16000"/>
    <n v="5250"/>
    <s v="Credit Card"/>
    <x v="2"/>
  </r>
  <r>
    <s v="ORD0674"/>
    <s v="CUST0674"/>
    <d v="2025-09-10T00:00:00"/>
    <s v="Pooja Das"/>
    <s v="Surat"/>
    <s v="Gujarat"/>
    <s v="West"/>
    <s v="Keyboard"/>
    <s v="Accessories"/>
    <s v="Neha Gupta"/>
    <n v="3"/>
    <n v="1500"/>
    <n v="900"/>
    <n v="0.14000000000000001"/>
    <n v="3870"/>
    <n v="2700"/>
    <n v="1170"/>
    <s v="Credit Card"/>
    <x v="3"/>
  </r>
  <r>
    <s v="ORD0675"/>
    <s v="CUST0675"/>
    <d v="2025-07-26T00:00:00"/>
    <s v="Kavya Reddy"/>
    <s v="Hyderabad"/>
    <s v="Telangana"/>
    <s v="South"/>
    <s v="Smartwatch"/>
    <s v="Wearables"/>
    <s v="Anjali Mehta"/>
    <n v="8"/>
    <n v="12000"/>
    <n v="8500"/>
    <n v="0.18"/>
    <n v="78720"/>
    <n v="68000"/>
    <n v="10720"/>
    <s v="Net Banking"/>
    <x v="2"/>
  </r>
  <r>
    <s v="ORD0676"/>
    <s v="CUST0676"/>
    <d v="2024-11-13T00:00:00"/>
    <s v="Anjali Rao"/>
    <s v="Hyderabad"/>
    <s v="Telangana"/>
    <s v="South"/>
    <s v="Mouse"/>
    <s v="Accessories"/>
    <s v="Priya Nair"/>
    <n v="10"/>
    <n v="800"/>
    <n v="450"/>
    <n v="0.03"/>
    <n v="7760"/>
    <n v="4500"/>
    <n v="3260"/>
    <s v="UPI"/>
    <x v="0"/>
  </r>
  <r>
    <s v="ORD0677"/>
    <s v="CUST0677"/>
    <d v="2024-07-23T00:00:00"/>
    <s v="Arjun Mehta"/>
    <s v="Ahmedabad"/>
    <s v="Gujarat"/>
    <s v="West"/>
    <s v="Laptop"/>
    <s v="Electronics"/>
    <s v="Rahul Verma"/>
    <n v="1"/>
    <n v="65000"/>
    <n v="52000"/>
    <n v="0.04"/>
    <n v="62400"/>
    <n v="52000"/>
    <n v="10400"/>
    <s v="Net Banking"/>
    <x v="3"/>
  </r>
  <r>
    <s v="ORD0678"/>
    <s v="CUST0678"/>
    <d v="2024-09-23T00:00:00"/>
    <s v="Suresh Iyer"/>
    <s v="Mysuru"/>
    <s v="Karnataka"/>
    <s v="South"/>
    <s v="Printer"/>
    <s v="Office"/>
    <s v="Anjali Mehta"/>
    <n v="2"/>
    <n v="15000"/>
    <n v="11500"/>
    <n v="0.03"/>
    <n v="29100"/>
    <n v="23000"/>
    <n v="6100"/>
    <s v="UPI"/>
    <x v="0"/>
  </r>
  <r>
    <s v="ORD0679"/>
    <s v="CUST0679"/>
    <d v="2024-11-27T00:00:00"/>
    <s v="Rohit Verma"/>
    <s v="Pune"/>
    <s v="Maharashtra"/>
    <s v="West"/>
    <s v="Keyboard"/>
    <s v="Accessories"/>
    <s v="Amit Sharma"/>
    <n v="6"/>
    <n v="1500"/>
    <n v="900"/>
    <n v="0.04"/>
    <n v="8640"/>
    <n v="5400"/>
    <n v="3240"/>
    <s v="UPI"/>
    <x v="3"/>
  </r>
  <r>
    <s v="ORD0680"/>
    <s v="CUST0680"/>
    <d v="2025-09-01T00:00:00"/>
    <s v="Priya Patel"/>
    <s v="Pune"/>
    <s v="Maharashtra"/>
    <s v="West"/>
    <s v="Mouse"/>
    <s v="Accessories"/>
    <s v="Neha Gupta"/>
    <n v="9"/>
    <n v="800"/>
    <n v="450"/>
    <n v="0.15"/>
    <n v="6120"/>
    <n v="4050"/>
    <n v="2070"/>
    <s v="Credit Card"/>
    <x v="1"/>
  </r>
  <r>
    <s v="ORD0681"/>
    <s v="CUST0681"/>
    <d v="2025-05-09T00:00:00"/>
    <s v="Anjali Rao"/>
    <s v="Mysuru"/>
    <s v="Karnataka"/>
    <s v="South"/>
    <s v="Keyboard"/>
    <s v="Accessories"/>
    <s v="Arjun Rao"/>
    <n v="1"/>
    <n v="1500"/>
    <n v="900"/>
    <n v="0.15"/>
    <n v="1275"/>
    <n v="900"/>
    <n v="375"/>
    <s v="Debit Card"/>
    <x v="2"/>
  </r>
  <r>
    <s v="ORD0682"/>
    <s v="CUST0682"/>
    <d v="2025-10-14T00:00:00"/>
    <s v="Kavya Reddy"/>
    <s v="New Delhi"/>
    <s v="Delhi"/>
    <s v="North"/>
    <s v="Headphones"/>
    <s v="Accessories"/>
    <s v="Anjali Mehta"/>
    <n v="5"/>
    <n v="3000"/>
    <n v="1800"/>
    <n v="0.17"/>
    <n v="12450"/>
    <n v="9000"/>
    <n v="3450"/>
    <s v="Cash"/>
    <x v="2"/>
  </r>
  <r>
    <s v="ORD0683"/>
    <s v="CUST0683"/>
    <d v="2024-03-02T00:00:00"/>
    <s v="Sneha Nair"/>
    <s v="Chennai"/>
    <s v="Tamil Nadu"/>
    <s v="South"/>
    <s v="Laptop"/>
    <s v="Electronics"/>
    <s v="Pooja Das"/>
    <n v="2"/>
    <n v="65000"/>
    <n v="52000"/>
    <n v="0.17"/>
    <n v="107900"/>
    <n v="104000"/>
    <n v="3900"/>
    <s v="Debit Card"/>
    <x v="2"/>
  </r>
  <r>
    <s v="ORD0684"/>
    <s v="CUST0684"/>
    <d v="2025-01-12T00:00:00"/>
    <s v="Suresh Iyer"/>
    <s v="Ahmedabad"/>
    <s v="Gujarat"/>
    <s v="West"/>
    <s v="Smartphone"/>
    <s v="Electronics"/>
    <s v="Vikram Joshi"/>
    <n v="4"/>
    <n v="35000"/>
    <n v="28000"/>
    <n v="0.2"/>
    <n v="112000"/>
    <n v="112000"/>
    <n v="0"/>
    <s v="Cash"/>
    <x v="1"/>
  </r>
  <r>
    <s v="ORD0685"/>
    <s v="CUST0685"/>
    <d v="2025-05-03T00:00:00"/>
    <s v="Vikram Singh"/>
    <s v="Hyderabad"/>
    <s v="Telangana"/>
    <s v="South"/>
    <s v="Smartphone"/>
    <s v="Electronics"/>
    <s v="Priya Nair"/>
    <n v="3"/>
    <n v="35000"/>
    <n v="28000"/>
    <n v="0.03"/>
    <n v="101850"/>
    <n v="84000"/>
    <n v="17850"/>
    <s v="Net Banking"/>
    <x v="1"/>
  </r>
  <r>
    <s v="ORD0686"/>
    <s v="CUST0686"/>
    <d v="2024-04-03T00:00:00"/>
    <s v="Meera Shah"/>
    <s v="Mysuru"/>
    <s v="Karnataka"/>
    <s v="South"/>
    <s v="Speaker"/>
    <s v="Electronics"/>
    <s v="Rahul Verma"/>
    <n v="7"/>
    <n v="5000"/>
    <n v="3200"/>
    <n v="0.22"/>
    <n v="27300"/>
    <n v="22400"/>
    <n v="4900"/>
    <s v="Cash"/>
    <x v="2"/>
  </r>
  <r>
    <s v="ORD0687"/>
    <s v="CUST0687"/>
    <d v="2025-03-15T00:00:00"/>
    <s v="Karan Joshi"/>
    <s v="Jaipur"/>
    <s v="Rajasthan"/>
    <s v="North"/>
    <s v="Laptop"/>
    <s v="Electronics"/>
    <s v="Amit Sharma"/>
    <n v="8"/>
    <n v="65000"/>
    <n v="52000"/>
    <n v="0.23"/>
    <n v="400400"/>
    <n v="416000"/>
    <n v="-15600"/>
    <s v="Net Banking"/>
    <x v="2"/>
  </r>
  <r>
    <s v="ORD0688"/>
    <s v="CUST0688"/>
    <d v="2024-07-02T00:00:00"/>
    <s v="Meera Shah"/>
    <s v="Kolkata"/>
    <s v="West Bengal"/>
    <s v="East"/>
    <s v="Smartphone"/>
    <s v="Electronics"/>
    <s v="Anjali Mehta"/>
    <n v="8"/>
    <n v="35000"/>
    <n v="28000"/>
    <n v="0.27"/>
    <n v="204400"/>
    <n v="224000"/>
    <n v="-19600"/>
    <s v="Credit Card"/>
    <x v="1"/>
  </r>
  <r>
    <s v="ORD0689"/>
    <s v="CUST0689"/>
    <d v="2025-01-04T00:00:00"/>
    <s v="Aisha Khan"/>
    <s v="Bengaluru"/>
    <s v="Karnataka"/>
    <s v="South"/>
    <s v="Monitor"/>
    <s v="Office"/>
    <s v="Arjun Rao"/>
    <n v="8"/>
    <n v="18000"/>
    <n v="14000"/>
    <n v="0.28000000000000003"/>
    <n v="103680"/>
    <n v="112000"/>
    <n v="-8320"/>
    <s v="Net Banking"/>
    <x v="0"/>
  </r>
  <r>
    <s v="ORD0690"/>
    <s v="CUST0690"/>
    <d v="2024-08-17T00:00:00"/>
    <s v="Rohit Verma"/>
    <s v="Surat"/>
    <s v="Gujarat"/>
    <s v="West"/>
    <s v="Mouse"/>
    <s v="Accessories"/>
    <s v="Neha Gupta"/>
    <n v="5"/>
    <n v="800"/>
    <n v="450"/>
    <n v="0.1"/>
    <n v="3600"/>
    <n v="2250"/>
    <n v="1350"/>
    <s v="Cash"/>
    <x v="1"/>
  </r>
  <r>
    <s v="ORD0691"/>
    <s v="CUST0691"/>
    <d v="2025-12-10T00:00:00"/>
    <s v="Sneha Nair"/>
    <s v="Surat"/>
    <s v="Gujarat"/>
    <s v="West"/>
    <s v="Smartphone"/>
    <s v="Electronics"/>
    <s v="Sneha Patil"/>
    <n v="5"/>
    <n v="35000"/>
    <n v="28000"/>
    <n v="0"/>
    <n v="175000"/>
    <n v="140000"/>
    <n v="35000"/>
    <s v="Cash"/>
    <x v="2"/>
  </r>
  <r>
    <s v="ORD0692"/>
    <s v="CUST0692"/>
    <d v="2025-03-02T00:00:00"/>
    <s v="Divya Menon"/>
    <s v="Bengaluru"/>
    <s v="Karnataka"/>
    <s v="South"/>
    <s v="Smartwatch"/>
    <s v="Wearables"/>
    <s v="Anjali Mehta"/>
    <n v="8"/>
    <n v="12000"/>
    <n v="8500"/>
    <n v="0.23"/>
    <n v="73920"/>
    <n v="68000"/>
    <n v="5920"/>
    <s v="Net Banking"/>
    <x v="2"/>
  </r>
  <r>
    <s v="ORD0693"/>
    <s v="CUST0693"/>
    <d v="2025-05-15T00:00:00"/>
    <s v="Meera Shah"/>
    <s v="Surat"/>
    <s v="Gujarat"/>
    <s v="West"/>
    <s v="Smartwatch"/>
    <s v="Wearables"/>
    <s v="Priya Nair"/>
    <n v="3"/>
    <n v="12000"/>
    <n v="8500"/>
    <n v="0.12"/>
    <n v="31680"/>
    <n v="25500"/>
    <n v="6180"/>
    <s v="Cash"/>
    <x v="1"/>
  </r>
  <r>
    <s v="ORD0694"/>
    <s v="CUST0694"/>
    <d v="2024-06-27T00:00:00"/>
    <s v="Aisha Khan"/>
    <s v="Surat"/>
    <s v="Gujarat"/>
    <s v="West"/>
    <s v="Laptop"/>
    <s v="Electronics"/>
    <s v="Anjali Mehta"/>
    <n v="3"/>
    <n v="65000"/>
    <n v="52000"/>
    <n v="0.21"/>
    <n v="154050"/>
    <n v="156000"/>
    <n v="-1950"/>
    <s v="Cash"/>
    <x v="1"/>
  </r>
  <r>
    <s v="ORD0695"/>
    <s v="CUST0695"/>
    <d v="2024-07-03T00:00:00"/>
    <s v="Priya Patel"/>
    <s v="Surat"/>
    <s v="Gujarat"/>
    <s v="West"/>
    <s v="Printer"/>
    <s v="Office"/>
    <s v="Sneha Patil"/>
    <n v="6"/>
    <n v="15000"/>
    <n v="11500"/>
    <n v="0.27"/>
    <n v="65700"/>
    <n v="69000"/>
    <n v="-3300"/>
    <s v="Net Banking"/>
    <x v="2"/>
  </r>
  <r>
    <s v="ORD0696"/>
    <s v="CUST0696"/>
    <d v="2025-10-13T00:00:00"/>
    <s v="Pooja Das"/>
    <s v="Ahmedabad"/>
    <s v="Gujarat"/>
    <s v="West"/>
    <s v="Headphones"/>
    <s v="Accessories"/>
    <s v="Arjun Rao"/>
    <n v="9"/>
    <n v="3000"/>
    <n v="1800"/>
    <n v="0.11"/>
    <n v="24030"/>
    <n v="16200"/>
    <n v="7830"/>
    <s v="Net Banking"/>
    <x v="3"/>
  </r>
  <r>
    <s v="ORD0697"/>
    <s v="CUST0697"/>
    <d v="2024-01-08T00:00:00"/>
    <s v="Aditya Mishra"/>
    <s v="Surat"/>
    <s v="Gujarat"/>
    <s v="West"/>
    <s v="Mouse"/>
    <s v="Accessories"/>
    <s v="Pooja Das"/>
    <n v="3"/>
    <n v="800"/>
    <n v="450"/>
    <n v="0.24"/>
    <n v="1824"/>
    <n v="1350"/>
    <n v="474"/>
    <s v="UPI"/>
    <x v="0"/>
  </r>
  <r>
    <s v="ORD0698"/>
    <s v="CUST0698"/>
    <d v="2025-05-15T00:00:00"/>
    <s v="Sneha Nair"/>
    <s v="Chennai"/>
    <s v="Tamil Nadu"/>
    <s v="South"/>
    <s v="Keyboard"/>
    <s v="Accessories"/>
    <s v="Vikram Joshi"/>
    <n v="1"/>
    <n v="1500"/>
    <n v="900"/>
    <n v="0.16"/>
    <n v="1260"/>
    <n v="900"/>
    <n v="360"/>
    <s v="Net Banking"/>
    <x v="1"/>
  </r>
  <r>
    <s v="ORD0699"/>
    <s v="CUST0699"/>
    <d v="2025-12-29T00:00:00"/>
    <s v="Suresh Iyer"/>
    <s v="Chennai"/>
    <s v="Tamil Nadu"/>
    <s v="South"/>
    <s v="Headphones"/>
    <s v="Accessories"/>
    <s v="Amit Sharma"/>
    <n v="1"/>
    <n v="3000"/>
    <n v="1800"/>
    <n v="0.04"/>
    <n v="2880"/>
    <n v="1800"/>
    <n v="1080"/>
    <s v="Net Banking"/>
    <x v="2"/>
  </r>
  <r>
    <s v="ORD0700"/>
    <s v="CUST0700"/>
    <d v="2025-04-16T00:00:00"/>
    <s v="Divya Menon"/>
    <s v="Ahmedabad"/>
    <s v="Gujarat"/>
    <s v="West"/>
    <s v="Mouse"/>
    <s v="Accessories"/>
    <s v="Karan Singh"/>
    <n v="10"/>
    <n v="800"/>
    <n v="450"/>
    <n v="0.23"/>
    <n v="6160"/>
    <n v="4500"/>
    <n v="1660"/>
    <s v="Debit Card"/>
    <x v="1"/>
  </r>
  <r>
    <s v="ORD0701"/>
    <s v="CUST0701"/>
    <d v="2024-02-20T00:00:00"/>
    <s v="Neha Gupta"/>
    <s v="Jaipur"/>
    <s v="Rajasthan"/>
    <s v="North"/>
    <s v="Tablet"/>
    <s v="Electronics"/>
    <s v="Priya Nair"/>
    <n v="2"/>
    <n v="25000"/>
    <n v="20000"/>
    <n v="0.19"/>
    <n v="40500"/>
    <n v="40000"/>
    <n v="500"/>
    <s v="Debit Card"/>
    <x v="1"/>
  </r>
  <r>
    <s v="ORD0702"/>
    <s v="CUST0702"/>
    <d v="2025-11-26T00:00:00"/>
    <s v="Aditya Mishra"/>
    <s v="Kolkata"/>
    <s v="West Bengal"/>
    <s v="East"/>
    <s v="Headphones"/>
    <s v="Accessories"/>
    <s v="Arjun Rao"/>
    <n v="8"/>
    <n v="3000"/>
    <n v="1800"/>
    <n v="0.21"/>
    <n v="18960"/>
    <n v="14400"/>
    <n v="4560"/>
    <s v="Net Banking"/>
    <x v="3"/>
  </r>
  <r>
    <s v="ORD0703"/>
    <s v="CUST0703"/>
    <d v="2025-08-02T00:00:00"/>
    <s v="Aisha Khan"/>
    <s v="Bengaluru"/>
    <s v="Karnataka"/>
    <s v="South"/>
    <s v="Printer"/>
    <s v="Office"/>
    <s v="Rahul Verma"/>
    <n v="6"/>
    <n v="15000"/>
    <n v="11500"/>
    <n v="0.08"/>
    <n v="82800"/>
    <n v="69000"/>
    <n v="13800"/>
    <s v="UPI"/>
    <x v="0"/>
  </r>
  <r>
    <s v="ORD0704"/>
    <s v="CUST0704"/>
    <d v="2024-04-19T00:00:00"/>
    <s v="Neha Gupta"/>
    <s v="Mumbai"/>
    <s v="Maharashtra"/>
    <s v="West"/>
    <s v="Tablet"/>
    <s v="Electronics"/>
    <s v="Arjun Rao"/>
    <n v="6"/>
    <n v="25000"/>
    <n v="20000"/>
    <n v="0.27"/>
    <n v="109500"/>
    <n v="120000"/>
    <n v="-10500"/>
    <s v="Cash"/>
    <x v="0"/>
  </r>
  <r>
    <s v="ORD0705"/>
    <s v="CUST0705"/>
    <d v="2024-05-24T00:00:00"/>
    <s v="Pooja Das"/>
    <s v="Warangal"/>
    <s v="Telangana"/>
    <s v="South"/>
    <s v="Printer"/>
    <s v="Office"/>
    <s v="Anjali Mehta"/>
    <n v="4"/>
    <n v="15000"/>
    <n v="11500"/>
    <n v="0.27"/>
    <n v="43800"/>
    <n v="46000"/>
    <n v="-2200"/>
    <s v="Cash"/>
    <x v="0"/>
  </r>
  <r>
    <s v="ORD0706"/>
    <s v="CUST0706"/>
    <d v="2025-12-21T00:00:00"/>
    <s v="Vikram Singh"/>
    <s v="Coimbatore"/>
    <s v="Tamil Nadu"/>
    <s v="South"/>
    <s v="Keyboard"/>
    <s v="Accessories"/>
    <s v="Rahul Verma"/>
    <n v="7"/>
    <n v="1500"/>
    <n v="900"/>
    <n v="0.15"/>
    <n v="8925"/>
    <n v="6300"/>
    <n v="2625"/>
    <s v="Net Banking"/>
    <x v="3"/>
  </r>
  <r>
    <s v="ORD0707"/>
    <s v="CUST0707"/>
    <d v="2024-03-10T00:00:00"/>
    <s v="Sneha Nair"/>
    <s v="Jaipur"/>
    <s v="Rajasthan"/>
    <s v="North"/>
    <s v="Smartwatch"/>
    <s v="Wearables"/>
    <s v="Sneha Patil"/>
    <n v="8"/>
    <n v="12000"/>
    <n v="8500"/>
    <n v="0.15"/>
    <n v="81600"/>
    <n v="68000"/>
    <n v="13600"/>
    <s v="Credit Card"/>
    <x v="2"/>
  </r>
  <r>
    <s v="ORD0708"/>
    <s v="CUST0708"/>
    <d v="2025-07-11T00:00:00"/>
    <s v="Kavya Reddy"/>
    <s v="Mumbai"/>
    <s v="Maharashtra"/>
    <s v="West"/>
    <s v="Smartwatch"/>
    <s v="Wearables"/>
    <s v="Anjali Mehta"/>
    <n v="4"/>
    <n v="12000"/>
    <n v="8500"/>
    <n v="0.15"/>
    <n v="40800"/>
    <n v="34000"/>
    <n v="6800"/>
    <s v="Cash"/>
    <x v="0"/>
  </r>
  <r>
    <s v="ORD0709"/>
    <s v="CUST0709"/>
    <d v="2024-02-12T00:00:00"/>
    <s v="Meera Shah"/>
    <s v="New Delhi"/>
    <s v="Delhi"/>
    <s v="North"/>
    <s v="Keyboard"/>
    <s v="Accessories"/>
    <s v="Sneha Patil"/>
    <n v="9"/>
    <n v="1500"/>
    <n v="900"/>
    <n v="0.18"/>
    <n v="11070"/>
    <n v="8100"/>
    <n v="2970"/>
    <s v="Cash"/>
    <x v="2"/>
  </r>
  <r>
    <s v="ORD0710"/>
    <s v="CUST0710"/>
    <d v="2024-07-08T00:00:00"/>
    <s v="Aditya Mishra"/>
    <s v="New Delhi"/>
    <s v="Delhi"/>
    <s v="North"/>
    <s v="Mouse"/>
    <s v="Accessories"/>
    <s v="Vikram Joshi"/>
    <n v="9"/>
    <n v="800"/>
    <n v="450"/>
    <n v="0.19"/>
    <n v="5832"/>
    <n v="4050"/>
    <n v="1782"/>
    <s v="UPI"/>
    <x v="0"/>
  </r>
  <r>
    <s v="ORD0711"/>
    <s v="CUST0711"/>
    <d v="2024-01-27T00:00:00"/>
    <s v="Arjun Mehta"/>
    <s v="Bengaluru"/>
    <s v="Karnataka"/>
    <s v="South"/>
    <s v="Printer"/>
    <s v="Office"/>
    <s v="Karan Singh"/>
    <n v="8"/>
    <n v="15000"/>
    <n v="11500"/>
    <n v="0.16"/>
    <n v="100800"/>
    <n v="92000"/>
    <n v="8800"/>
    <s v="Debit Card"/>
    <x v="1"/>
  </r>
  <r>
    <s v="ORD0712"/>
    <s v="CUST0712"/>
    <d v="2025-07-22T00:00:00"/>
    <s v="Suresh Iyer"/>
    <s v="New Delhi"/>
    <s v="Delhi"/>
    <s v="North"/>
    <s v="Keyboard"/>
    <s v="Accessories"/>
    <s v="Anjali Mehta"/>
    <n v="8"/>
    <n v="1500"/>
    <n v="900"/>
    <n v="0.23"/>
    <n v="9240"/>
    <n v="7200"/>
    <n v="2040"/>
    <s v="UPI"/>
    <x v="3"/>
  </r>
  <r>
    <s v="ORD0713"/>
    <s v="CUST0713"/>
    <d v="2025-08-17T00:00:00"/>
    <s v="Suresh Iyer"/>
    <s v="Bengaluru"/>
    <s v="Karnataka"/>
    <s v="South"/>
    <s v="Tablet"/>
    <s v="Electronics"/>
    <s v="Pooja Das"/>
    <n v="3"/>
    <n v="25000"/>
    <n v="20000"/>
    <n v="0.28999999999999998"/>
    <n v="53250"/>
    <n v="60000"/>
    <n v="-6750"/>
    <s v="Cash"/>
    <x v="0"/>
  </r>
  <r>
    <s v="ORD0714"/>
    <s v="CUST0714"/>
    <d v="2024-12-05T00:00:00"/>
    <s v="Pooja Das"/>
    <s v="Chennai"/>
    <s v="Tamil Nadu"/>
    <s v="South"/>
    <s v="Printer"/>
    <s v="Office"/>
    <s v="Rahul Verma"/>
    <n v="3"/>
    <n v="15000"/>
    <n v="11500"/>
    <n v="0.24"/>
    <n v="34200"/>
    <n v="34500"/>
    <n v="-300"/>
    <s v="Credit Card"/>
    <x v="3"/>
  </r>
  <r>
    <s v="ORD0715"/>
    <s v="CUST0715"/>
    <d v="2024-01-03T00:00:00"/>
    <s v="Arjun Mehta"/>
    <s v="Mumbai"/>
    <s v="Maharashtra"/>
    <s v="West"/>
    <s v="Headphones"/>
    <s v="Accessories"/>
    <s v="Sneha Patil"/>
    <n v="7"/>
    <n v="3000"/>
    <n v="1800"/>
    <n v="0.28000000000000003"/>
    <n v="15120"/>
    <n v="12600"/>
    <n v="2520"/>
    <s v="Cash"/>
    <x v="0"/>
  </r>
  <r>
    <s v="ORD0716"/>
    <s v="CUST0716"/>
    <d v="2025-12-30T00:00:00"/>
    <s v="Anjali Rao"/>
    <s v="Mumbai"/>
    <s v="Maharashtra"/>
    <s v="West"/>
    <s v="Headphones"/>
    <s v="Accessories"/>
    <s v="Arjun Rao"/>
    <n v="4"/>
    <n v="3000"/>
    <n v="1800"/>
    <n v="0.17"/>
    <n v="9960"/>
    <n v="7200"/>
    <n v="2760"/>
    <s v="Credit Card"/>
    <x v="0"/>
  </r>
  <r>
    <s v="ORD0717"/>
    <s v="CUST0717"/>
    <d v="2024-11-25T00:00:00"/>
    <s v="Arjun Mehta"/>
    <s v="Kolkata"/>
    <s v="West Bengal"/>
    <s v="East"/>
    <s v="Laptop"/>
    <s v="Electronics"/>
    <s v="Rahul Verma"/>
    <n v="7"/>
    <n v="65000"/>
    <n v="52000"/>
    <n v="0.13"/>
    <n v="395850"/>
    <n v="364000"/>
    <n v="31850"/>
    <s v="Credit Card"/>
    <x v="0"/>
  </r>
  <r>
    <s v="ORD0718"/>
    <s v="CUST0718"/>
    <d v="2025-11-03T00:00:00"/>
    <s v="Vikram Singh"/>
    <s v="Mumbai"/>
    <s v="Maharashtra"/>
    <s v="West"/>
    <s v="Tablet"/>
    <s v="Electronics"/>
    <s v="Arjun Rao"/>
    <n v="2"/>
    <n v="25000"/>
    <n v="20000"/>
    <n v="0.25"/>
    <n v="37500"/>
    <n v="40000"/>
    <n v="-2500"/>
    <s v="Debit Card"/>
    <x v="2"/>
  </r>
  <r>
    <s v="ORD0719"/>
    <s v="CUST0719"/>
    <d v="2025-10-06T00:00:00"/>
    <s v="Aditya Mishra"/>
    <s v="Bengaluru"/>
    <s v="Karnataka"/>
    <s v="South"/>
    <s v="Mouse"/>
    <s v="Accessories"/>
    <s v="Arjun Rao"/>
    <n v="1"/>
    <n v="800"/>
    <n v="450"/>
    <n v="0"/>
    <n v="800"/>
    <n v="450"/>
    <n v="350"/>
    <s v="Cash"/>
    <x v="2"/>
  </r>
  <r>
    <s v="ORD0720"/>
    <s v="CUST0720"/>
    <d v="2025-03-03T00:00:00"/>
    <s v="Aisha Khan"/>
    <s v="Hyderabad"/>
    <s v="Telangana"/>
    <s v="South"/>
    <s v="Mouse"/>
    <s v="Accessories"/>
    <s v="Anjali Mehta"/>
    <n v="10"/>
    <n v="800"/>
    <n v="450"/>
    <n v="0.05"/>
    <n v="7600"/>
    <n v="4500"/>
    <n v="3100"/>
    <s v="Debit Card"/>
    <x v="1"/>
  </r>
  <r>
    <s v="ORD0721"/>
    <s v="CUST0721"/>
    <d v="2024-05-02T00:00:00"/>
    <s v="Priya Patel"/>
    <s v="Kolkata"/>
    <s v="West Bengal"/>
    <s v="East"/>
    <s v="Monitor"/>
    <s v="Office"/>
    <s v="Neha Gupta"/>
    <n v="4"/>
    <n v="18000"/>
    <n v="14000"/>
    <n v="0.04"/>
    <n v="69120"/>
    <n v="56000"/>
    <n v="13120"/>
    <s v="Credit Card"/>
    <x v="2"/>
  </r>
  <r>
    <s v="ORD0722"/>
    <s v="CUST0722"/>
    <d v="2025-09-11T00:00:00"/>
    <s v="Priya Patel"/>
    <s v="Jaipur"/>
    <s v="Rajasthan"/>
    <s v="North"/>
    <s v="Printer"/>
    <s v="Office"/>
    <s v="Sneha Patil"/>
    <n v="1"/>
    <n v="15000"/>
    <n v="11500"/>
    <n v="0.24"/>
    <n v="11400"/>
    <n v="11500"/>
    <n v="-100"/>
    <s v="Cash"/>
    <x v="1"/>
  </r>
  <r>
    <s v="ORD0723"/>
    <s v="CUST0723"/>
    <d v="2025-02-07T00:00:00"/>
    <s v="Vikram Singh"/>
    <s v="Hyderabad"/>
    <s v="Telangana"/>
    <s v="South"/>
    <s v="Tablet"/>
    <s v="Electronics"/>
    <s v="Anjali Mehta"/>
    <n v="3"/>
    <n v="25000"/>
    <n v="20000"/>
    <n v="0.27"/>
    <n v="54750"/>
    <n v="60000"/>
    <n v="-5250"/>
    <s v="Net Banking"/>
    <x v="1"/>
  </r>
  <r>
    <s v="ORD0724"/>
    <s v="CUST0724"/>
    <d v="2025-01-12T00:00:00"/>
    <s v="Deepika Roy"/>
    <s v="New Delhi"/>
    <s v="Delhi"/>
    <s v="North"/>
    <s v="Smartphone"/>
    <s v="Electronics"/>
    <s v="Anjali Mehta"/>
    <n v="1"/>
    <n v="35000"/>
    <n v="28000"/>
    <n v="0.12"/>
    <n v="30800"/>
    <n v="28000"/>
    <n v="2800"/>
    <s v="Credit Card"/>
    <x v="2"/>
  </r>
  <r>
    <s v="ORD0725"/>
    <s v="CUST0725"/>
    <d v="2024-01-02T00:00:00"/>
    <s v="Meera Shah"/>
    <s v="Jaipur"/>
    <s v="Rajasthan"/>
    <s v="North"/>
    <s v="Keyboard"/>
    <s v="Accessories"/>
    <s v="Pooja Das"/>
    <n v="7"/>
    <n v="1500"/>
    <n v="900"/>
    <n v="0.06"/>
    <n v="9870"/>
    <n v="6300"/>
    <n v="3570"/>
    <s v="Net Banking"/>
    <x v="2"/>
  </r>
  <r>
    <s v="ORD0726"/>
    <s v="CUST0726"/>
    <d v="2024-01-22T00:00:00"/>
    <s v="Aisha Khan"/>
    <s v="Jaipur"/>
    <s v="Rajasthan"/>
    <s v="North"/>
    <s v="Smartphone"/>
    <s v="Electronics"/>
    <s v="Priya Nair"/>
    <n v="10"/>
    <n v="35000"/>
    <n v="28000"/>
    <n v="0.11"/>
    <n v="311500"/>
    <n v="280000"/>
    <n v="31500"/>
    <s v="Debit Card"/>
    <x v="1"/>
  </r>
  <r>
    <s v="ORD0727"/>
    <s v="CUST0727"/>
    <d v="2024-09-23T00:00:00"/>
    <s v="Meera Shah"/>
    <s v="Jaipur"/>
    <s v="Rajasthan"/>
    <s v="North"/>
    <s v="Tablet"/>
    <s v="Electronics"/>
    <s v="Arjun Rao"/>
    <n v="6"/>
    <n v="25000"/>
    <n v="20000"/>
    <n v="0.24"/>
    <n v="114000"/>
    <n v="120000"/>
    <n v="-6000"/>
    <s v="Credit Card"/>
    <x v="1"/>
  </r>
  <r>
    <s v="ORD0728"/>
    <s v="CUST0728"/>
    <d v="2024-04-12T00:00:00"/>
    <s v="Kavya Reddy"/>
    <s v="Hyderabad"/>
    <s v="Telangana"/>
    <s v="South"/>
    <s v="Laptop"/>
    <s v="Electronics"/>
    <s v="Neha Gupta"/>
    <n v="5"/>
    <n v="65000"/>
    <n v="52000"/>
    <n v="0.28999999999999998"/>
    <n v="230750"/>
    <n v="260000"/>
    <n v="-29250"/>
    <s v="Net Banking"/>
    <x v="0"/>
  </r>
  <r>
    <s v="ORD0729"/>
    <s v="CUST0729"/>
    <d v="2025-03-30T00:00:00"/>
    <s v="Sneha Nair"/>
    <s v="Chennai"/>
    <s v="Tamil Nadu"/>
    <s v="South"/>
    <s v="Smartphone"/>
    <s v="Electronics"/>
    <s v="Neha Gupta"/>
    <n v="9"/>
    <n v="35000"/>
    <n v="28000"/>
    <n v="0.25"/>
    <n v="236250"/>
    <n v="252000"/>
    <n v="-15750"/>
    <s v="Net Banking"/>
    <x v="3"/>
  </r>
  <r>
    <s v="ORD0730"/>
    <s v="CUST0730"/>
    <d v="2025-01-24T00:00:00"/>
    <s v="Meera Shah"/>
    <s v="Mysuru"/>
    <s v="Karnataka"/>
    <s v="South"/>
    <s v="Smartwatch"/>
    <s v="Wearables"/>
    <s v="Priya Nair"/>
    <n v="10"/>
    <n v="12000"/>
    <n v="8500"/>
    <n v="0.14000000000000001"/>
    <n v="103200"/>
    <n v="85000"/>
    <n v="18200"/>
    <s v="Cash"/>
    <x v="1"/>
  </r>
  <r>
    <s v="ORD0731"/>
    <s v="CUST0731"/>
    <d v="2025-09-25T00:00:00"/>
    <s v="Priya Patel"/>
    <s v="Bengaluru"/>
    <s v="Karnataka"/>
    <s v="South"/>
    <s v="Laptop"/>
    <s v="Electronics"/>
    <s v="Anjali Mehta"/>
    <n v="6"/>
    <n v="65000"/>
    <n v="52000"/>
    <n v="0.23"/>
    <n v="300300"/>
    <n v="312000"/>
    <n v="-11700"/>
    <s v="Credit Card"/>
    <x v="0"/>
  </r>
  <r>
    <s v="ORD0732"/>
    <s v="CUST0732"/>
    <d v="2024-01-06T00:00:00"/>
    <s v="Rahul Sharma"/>
    <s v="Jaipur"/>
    <s v="Rajasthan"/>
    <s v="North"/>
    <s v="Keyboard"/>
    <s v="Accessories"/>
    <s v="Priya Nair"/>
    <n v="9"/>
    <n v="1500"/>
    <n v="900"/>
    <n v="0.12"/>
    <n v="11880"/>
    <n v="8100"/>
    <n v="3780"/>
    <s v="Net Banking"/>
    <x v="1"/>
  </r>
  <r>
    <s v="ORD0733"/>
    <s v="CUST0733"/>
    <d v="2025-08-15T00:00:00"/>
    <s v="Karan Joshi"/>
    <s v="Ahmedabad"/>
    <s v="Gujarat"/>
    <s v="West"/>
    <s v="Mouse"/>
    <s v="Accessories"/>
    <s v="Priya Nair"/>
    <n v="2"/>
    <n v="800"/>
    <n v="450"/>
    <n v="0.19"/>
    <n v="1296"/>
    <n v="900"/>
    <n v="396"/>
    <s v="Debit Card"/>
    <x v="1"/>
  </r>
  <r>
    <s v="ORD0734"/>
    <s v="CUST0734"/>
    <d v="2024-04-30T00:00:00"/>
    <s v="Priya Patel"/>
    <s v="New Delhi"/>
    <s v="Delhi"/>
    <s v="North"/>
    <s v="Tablet"/>
    <s v="Electronics"/>
    <s v="Rahul Verma"/>
    <n v="4"/>
    <n v="25000"/>
    <n v="20000"/>
    <n v="0.28000000000000003"/>
    <n v="72000"/>
    <n v="80000"/>
    <n v="-8000"/>
    <s v="UPI"/>
    <x v="1"/>
  </r>
  <r>
    <s v="ORD0735"/>
    <s v="CUST0735"/>
    <d v="2024-09-18T00:00:00"/>
    <s v="Kavya Reddy"/>
    <s v="New Delhi"/>
    <s v="Delhi"/>
    <s v="North"/>
    <s v="Smartwatch"/>
    <s v="Wearables"/>
    <s v="Arjun Rao"/>
    <n v="2"/>
    <n v="12000"/>
    <n v="8500"/>
    <n v="0.2"/>
    <n v="19200"/>
    <n v="17000"/>
    <n v="2200"/>
    <s v="UPI"/>
    <x v="0"/>
  </r>
  <r>
    <s v="ORD0736"/>
    <s v="CUST0736"/>
    <d v="2024-05-02T00:00:00"/>
    <s v="Vikram Singh"/>
    <s v="Ahmedabad"/>
    <s v="Gujarat"/>
    <s v="West"/>
    <s v="Headphones"/>
    <s v="Accessories"/>
    <s v="Neha Gupta"/>
    <n v="7"/>
    <n v="3000"/>
    <n v="1800"/>
    <n v="0.03"/>
    <n v="20370"/>
    <n v="12600"/>
    <n v="7770"/>
    <s v="Net Banking"/>
    <x v="2"/>
  </r>
  <r>
    <s v="ORD0737"/>
    <s v="CUST0737"/>
    <d v="2025-07-03T00:00:00"/>
    <s v="Aisha Khan"/>
    <s v="Hyderabad"/>
    <s v="Telangana"/>
    <s v="South"/>
    <s v="Tablet"/>
    <s v="Electronics"/>
    <s v="Pooja Das"/>
    <n v="7"/>
    <n v="25000"/>
    <n v="20000"/>
    <n v="0.28000000000000003"/>
    <n v="126000"/>
    <n v="140000"/>
    <n v="-14000"/>
    <s v="Net Banking"/>
    <x v="2"/>
  </r>
  <r>
    <s v="ORD0738"/>
    <s v="CUST0738"/>
    <d v="2025-05-25T00:00:00"/>
    <s v="Divya Menon"/>
    <s v="Surat"/>
    <s v="Gujarat"/>
    <s v="West"/>
    <s v="Monitor"/>
    <s v="Office"/>
    <s v="Vikram Joshi"/>
    <n v="9"/>
    <n v="18000"/>
    <n v="14000"/>
    <n v="7.0000000000000007E-2"/>
    <n v="150660"/>
    <n v="126000"/>
    <n v="24660"/>
    <s v="Cash"/>
    <x v="2"/>
  </r>
  <r>
    <s v="ORD0739"/>
    <s v="CUST0739"/>
    <d v="2025-08-19T00:00:00"/>
    <s v="Amit Kumar"/>
    <s v="Bengaluru"/>
    <s v="Karnataka"/>
    <s v="South"/>
    <s v="Printer"/>
    <s v="Office"/>
    <s v="Arjun Rao"/>
    <n v="7"/>
    <n v="15000"/>
    <n v="11500"/>
    <n v="0.18"/>
    <n v="86100"/>
    <n v="80500"/>
    <n v="5600"/>
    <s v="Debit Card"/>
    <x v="1"/>
  </r>
  <r>
    <s v="ORD0740"/>
    <s v="CUST0740"/>
    <d v="2024-03-18T00:00:00"/>
    <s v="Nikhil Jain"/>
    <s v="Bengaluru"/>
    <s v="Karnataka"/>
    <s v="South"/>
    <s v="Smartphone"/>
    <s v="Electronics"/>
    <s v="Neha Gupta"/>
    <n v="7"/>
    <n v="35000"/>
    <n v="28000"/>
    <n v="0.3"/>
    <n v="171500"/>
    <n v="196000"/>
    <n v="-24500"/>
    <s v="Net Banking"/>
    <x v="0"/>
  </r>
  <r>
    <s v="ORD0741"/>
    <s v="CUST0741"/>
    <d v="2024-01-03T00:00:00"/>
    <s v="Amit Kumar"/>
    <s v="Surat"/>
    <s v="Gujarat"/>
    <s v="West"/>
    <s v="Smartwatch"/>
    <s v="Wearables"/>
    <s v="Vikram Joshi"/>
    <n v="10"/>
    <n v="12000"/>
    <n v="8500"/>
    <n v="0.27"/>
    <n v="87600"/>
    <n v="85000"/>
    <n v="2600"/>
    <s v="Credit Card"/>
    <x v="3"/>
  </r>
  <r>
    <s v="ORD0742"/>
    <s v="CUST0742"/>
    <d v="2024-02-23T00:00:00"/>
    <s v="Rahul Sharma"/>
    <s v="Surat"/>
    <s v="Gujarat"/>
    <s v="West"/>
    <s v="Speaker"/>
    <s v="Electronics"/>
    <s v="Anjali Mehta"/>
    <n v="1"/>
    <n v="5000"/>
    <n v="3200"/>
    <n v="0.18"/>
    <n v="4100"/>
    <n v="3200"/>
    <n v="900"/>
    <s v="Cash"/>
    <x v="3"/>
  </r>
  <r>
    <s v="ORD0743"/>
    <s v="CUST0743"/>
    <d v="2025-07-18T00:00:00"/>
    <s v="Nikhil Jain"/>
    <s v="Bengaluru"/>
    <s v="Karnataka"/>
    <s v="South"/>
    <s v="Speaker"/>
    <s v="Electronics"/>
    <s v="Amit Sharma"/>
    <n v="10"/>
    <n v="5000"/>
    <n v="3200"/>
    <n v="0"/>
    <n v="50000"/>
    <n v="32000"/>
    <n v="18000"/>
    <s v="Net Banking"/>
    <x v="3"/>
  </r>
  <r>
    <s v="ORD0744"/>
    <s v="CUST0744"/>
    <d v="2024-01-01T00:00:00"/>
    <s v="Sneha Nair"/>
    <s v="Bengaluru"/>
    <s v="Karnataka"/>
    <s v="South"/>
    <s v="Smartwatch"/>
    <s v="Wearables"/>
    <s v="Arjun Rao"/>
    <n v="7"/>
    <n v="12000"/>
    <n v="8500"/>
    <n v="0.27"/>
    <n v="61320"/>
    <n v="59500"/>
    <n v="1820"/>
    <s v="Credit Card"/>
    <x v="2"/>
  </r>
  <r>
    <s v="ORD0745"/>
    <s v="CUST0745"/>
    <d v="2025-04-09T00:00:00"/>
    <s v="Nikhil Jain"/>
    <s v="Chennai"/>
    <s v="Tamil Nadu"/>
    <s v="South"/>
    <s v="Monitor"/>
    <s v="Office"/>
    <s v="Amit Sharma"/>
    <n v="1"/>
    <n v="18000"/>
    <n v="14000"/>
    <n v="0.06"/>
    <n v="16920"/>
    <n v="14000"/>
    <n v="2920"/>
    <s v="Debit Card"/>
    <x v="2"/>
  </r>
  <r>
    <s v="ORD0746"/>
    <s v="CUST0746"/>
    <d v="2024-03-03T00:00:00"/>
    <s v="Rahul Sharma"/>
    <s v="Kolkata"/>
    <s v="West Bengal"/>
    <s v="East"/>
    <s v="Tablet"/>
    <s v="Electronics"/>
    <s v="Priya Nair"/>
    <n v="1"/>
    <n v="25000"/>
    <n v="20000"/>
    <n v="7.0000000000000007E-2"/>
    <n v="23250"/>
    <n v="20000"/>
    <n v="3250"/>
    <s v="Debit Card"/>
    <x v="1"/>
  </r>
  <r>
    <s v="ORD0747"/>
    <s v="CUST0747"/>
    <d v="2025-02-09T00:00:00"/>
    <s v="Nikhil Jain"/>
    <s v="Chennai"/>
    <s v="Tamil Nadu"/>
    <s v="South"/>
    <s v="Laptop"/>
    <s v="Electronics"/>
    <s v="Neha Gupta"/>
    <n v="5"/>
    <n v="65000"/>
    <n v="52000"/>
    <n v="0.08"/>
    <n v="299000"/>
    <n v="260000"/>
    <n v="39000"/>
    <s v="Net Banking"/>
    <x v="2"/>
  </r>
  <r>
    <s v="ORD0748"/>
    <s v="CUST0748"/>
    <d v="2024-08-29T00:00:00"/>
    <s v="Rahul Sharma"/>
    <s v="Surat"/>
    <s v="Gujarat"/>
    <s v="West"/>
    <s v="Laptop"/>
    <s v="Electronics"/>
    <s v="Arjun Rao"/>
    <n v="2"/>
    <n v="65000"/>
    <n v="52000"/>
    <n v="0.28000000000000003"/>
    <n v="93600"/>
    <n v="104000"/>
    <n v="-10400"/>
    <s v="Credit Card"/>
    <x v="2"/>
  </r>
  <r>
    <s v="ORD0749"/>
    <s v="CUST0749"/>
    <d v="2024-09-17T00:00:00"/>
    <s v="Kavya Reddy"/>
    <s v="Mysuru"/>
    <s v="Karnataka"/>
    <s v="South"/>
    <s v="Tablet"/>
    <s v="Electronics"/>
    <s v="Vikram Joshi"/>
    <n v="5"/>
    <n v="25000"/>
    <n v="20000"/>
    <n v="0.17"/>
    <n v="103750"/>
    <n v="100000"/>
    <n v="3750"/>
    <s v="Cash"/>
    <x v="1"/>
  </r>
  <r>
    <s v="ORD0750"/>
    <s v="CUST0750"/>
    <d v="2024-05-22T00:00:00"/>
    <s v="Aditya Mishra"/>
    <s v="Ahmedabad"/>
    <s v="Gujarat"/>
    <s v="West"/>
    <s v="Laptop"/>
    <s v="Electronics"/>
    <s v="Rahul Verma"/>
    <n v="2"/>
    <n v="65000"/>
    <n v="52000"/>
    <n v="0.17"/>
    <n v="107900"/>
    <n v="104000"/>
    <n v="3900"/>
    <s v="Net Banking"/>
    <x v="1"/>
  </r>
  <r>
    <s v="ORD0751"/>
    <s v="CUST0751"/>
    <d v="2024-12-05T00:00:00"/>
    <s v="Priya Patel"/>
    <s v="Kolkata"/>
    <s v="West Bengal"/>
    <s v="East"/>
    <s v="Speaker"/>
    <s v="Electronics"/>
    <s v="Sneha Patil"/>
    <n v="5"/>
    <n v="5000"/>
    <n v="3200"/>
    <n v="0.23"/>
    <n v="19250"/>
    <n v="16000"/>
    <n v="3250"/>
    <s v="Cash"/>
    <x v="3"/>
  </r>
  <r>
    <s v="ORD0752"/>
    <s v="CUST0752"/>
    <d v="2025-09-23T00:00:00"/>
    <s v="Rohan Kulkarni"/>
    <s v="Jaipur"/>
    <s v="Rajasthan"/>
    <s v="North"/>
    <s v="Printer"/>
    <s v="Office"/>
    <s v="Sneha Patil"/>
    <n v="5"/>
    <n v="15000"/>
    <n v="11500"/>
    <n v="0.14000000000000001"/>
    <n v="64500"/>
    <n v="57500"/>
    <n v="7000"/>
    <s v="Net Banking"/>
    <x v="3"/>
  </r>
  <r>
    <s v="ORD0753"/>
    <s v="CUST0753"/>
    <d v="2025-11-06T00:00:00"/>
    <s v="Neha Gupta"/>
    <s v="Mumbai"/>
    <s v="Maharashtra"/>
    <s v="West"/>
    <s v="Tablet"/>
    <s v="Electronics"/>
    <s v="Pooja Das"/>
    <n v="2"/>
    <n v="25000"/>
    <n v="20000"/>
    <n v="0.1"/>
    <n v="45000"/>
    <n v="40000"/>
    <n v="5000"/>
    <s v="UPI"/>
    <x v="1"/>
  </r>
  <r>
    <s v="ORD0754"/>
    <s v="CUST0754"/>
    <d v="2024-06-18T00:00:00"/>
    <s v="Priya Patel"/>
    <s v="Chennai"/>
    <s v="Tamil Nadu"/>
    <s v="South"/>
    <s v="Mouse"/>
    <s v="Accessories"/>
    <s v="Priya Nair"/>
    <n v="5"/>
    <n v="800"/>
    <n v="450"/>
    <n v="0.3"/>
    <n v="2800"/>
    <n v="2250"/>
    <n v="550"/>
    <s v="Debit Card"/>
    <x v="2"/>
  </r>
  <r>
    <s v="ORD0755"/>
    <s v="CUST0755"/>
    <d v="2024-02-15T00:00:00"/>
    <s v="Divya Menon"/>
    <s v="Pune"/>
    <s v="Maharashtra"/>
    <s v="West"/>
    <s v="Tablet"/>
    <s v="Electronics"/>
    <s v="Pooja Das"/>
    <n v="10"/>
    <n v="25000"/>
    <n v="20000"/>
    <n v="0.1"/>
    <n v="225000"/>
    <n v="200000"/>
    <n v="25000"/>
    <s v="Cash"/>
    <x v="0"/>
  </r>
  <r>
    <s v="ORD0756"/>
    <s v="CUST0756"/>
    <d v="2025-12-14T00:00:00"/>
    <s v="Priya Patel"/>
    <s v="Jaipur"/>
    <s v="Rajasthan"/>
    <s v="North"/>
    <s v="Headphones"/>
    <s v="Accessories"/>
    <s v="Vikram Joshi"/>
    <n v="10"/>
    <n v="3000"/>
    <n v="1800"/>
    <n v="0.23"/>
    <n v="23100"/>
    <n v="18000"/>
    <n v="5100"/>
    <s v="Cash"/>
    <x v="3"/>
  </r>
  <r>
    <s v="ORD0757"/>
    <s v="CUST0757"/>
    <d v="2025-11-16T00:00:00"/>
    <s v="Rohit Verma"/>
    <s v="Mumbai"/>
    <s v="Maharashtra"/>
    <s v="West"/>
    <s v="Speaker"/>
    <s v="Electronics"/>
    <s v="Neha Gupta"/>
    <n v="4"/>
    <n v="5000"/>
    <n v="3200"/>
    <n v="7.0000000000000007E-2"/>
    <n v="18600"/>
    <n v="12800"/>
    <n v="5800"/>
    <s v="Cash"/>
    <x v="0"/>
  </r>
  <r>
    <s v="ORD0758"/>
    <s v="CUST0758"/>
    <d v="2025-06-09T00:00:00"/>
    <s v="Suresh Iyer"/>
    <s v="New Delhi"/>
    <s v="Delhi"/>
    <s v="North"/>
    <s v="Laptop"/>
    <s v="Electronics"/>
    <s v="Pooja Das"/>
    <n v="5"/>
    <n v="65000"/>
    <n v="52000"/>
    <n v="0.3"/>
    <n v="227500"/>
    <n v="260000"/>
    <n v="-32500"/>
    <s v="Credit Card"/>
    <x v="2"/>
  </r>
  <r>
    <s v="ORD0759"/>
    <s v="CUST0759"/>
    <d v="2024-10-30T00:00:00"/>
    <s v="Priya Patel"/>
    <s v="Warangal"/>
    <s v="Telangana"/>
    <s v="South"/>
    <s v="Headphones"/>
    <s v="Accessories"/>
    <s v="Vikram Joshi"/>
    <n v="3"/>
    <n v="3000"/>
    <n v="1800"/>
    <n v="0.08"/>
    <n v="8280"/>
    <n v="5400"/>
    <n v="2880"/>
    <s v="Net Banking"/>
    <x v="1"/>
  </r>
  <r>
    <s v="ORD0760"/>
    <s v="CUST0760"/>
    <d v="2025-08-09T00:00:00"/>
    <s v="Neha Gupta"/>
    <s v="Ahmedabad"/>
    <s v="Gujarat"/>
    <s v="West"/>
    <s v="Laptop"/>
    <s v="Electronics"/>
    <s v="Neha Gupta"/>
    <n v="7"/>
    <n v="65000"/>
    <n v="52000"/>
    <n v="0.08"/>
    <n v="418600"/>
    <n v="364000"/>
    <n v="54600"/>
    <s v="UPI"/>
    <x v="3"/>
  </r>
  <r>
    <s v="ORD0761"/>
    <s v="CUST0761"/>
    <d v="2024-11-18T00:00:00"/>
    <s v="Rahul Sharma"/>
    <s v="Coimbatore"/>
    <s v="Tamil Nadu"/>
    <s v="South"/>
    <s v="Keyboard"/>
    <s v="Accessories"/>
    <s v="Vikram Joshi"/>
    <n v="5"/>
    <n v="1500"/>
    <n v="900"/>
    <n v="0.18"/>
    <n v="6150.0000000000009"/>
    <n v="4500"/>
    <n v="1650.0000000000009"/>
    <s v="Credit Card"/>
    <x v="2"/>
  </r>
  <r>
    <s v="ORD0762"/>
    <s v="CUST0762"/>
    <d v="2025-10-07T00:00:00"/>
    <s v="Meera Shah"/>
    <s v="Hyderabad"/>
    <s v="Telangana"/>
    <s v="South"/>
    <s v="Keyboard"/>
    <s v="Accessories"/>
    <s v="Priya Nair"/>
    <n v="8"/>
    <n v="1500"/>
    <n v="900"/>
    <n v="0.27"/>
    <n v="8760"/>
    <n v="7200"/>
    <n v="1560"/>
    <s v="Net Banking"/>
    <x v="1"/>
  </r>
  <r>
    <s v="ORD0763"/>
    <s v="CUST0763"/>
    <d v="2024-07-22T00:00:00"/>
    <s v="Priya Patel"/>
    <s v="Mumbai"/>
    <s v="Maharashtra"/>
    <s v="West"/>
    <s v="Headphones"/>
    <s v="Accessories"/>
    <s v="Karan Singh"/>
    <n v="4"/>
    <n v="3000"/>
    <n v="1800"/>
    <n v="0.02"/>
    <n v="11760"/>
    <n v="7200"/>
    <n v="4560"/>
    <s v="Cash"/>
    <x v="0"/>
  </r>
  <r>
    <s v="ORD0764"/>
    <s v="CUST0764"/>
    <d v="2024-11-15T00:00:00"/>
    <s v="Aisha Khan"/>
    <s v="Mysuru"/>
    <s v="Karnataka"/>
    <s v="South"/>
    <s v="Monitor"/>
    <s v="Office"/>
    <s v="Sneha Patil"/>
    <n v="3"/>
    <n v="18000"/>
    <n v="14000"/>
    <n v="0.2"/>
    <n v="43200"/>
    <n v="42000"/>
    <n v="1200"/>
    <s v="Debit Card"/>
    <x v="3"/>
  </r>
  <r>
    <s v="ORD0765"/>
    <s v="CUST0765"/>
    <d v="2024-08-04T00:00:00"/>
    <s v="Aditya Mishra"/>
    <s v="Mumbai"/>
    <s v="Maharashtra"/>
    <s v="West"/>
    <s v="Headphones"/>
    <s v="Accessories"/>
    <s v="Sneha Patil"/>
    <n v="2"/>
    <n v="3000"/>
    <n v="1800"/>
    <n v="0.22"/>
    <n v="4680"/>
    <n v="3600"/>
    <n v="1080"/>
    <s v="Cash"/>
    <x v="0"/>
  </r>
  <r>
    <s v="ORD0766"/>
    <s v="CUST0766"/>
    <d v="2025-01-09T00:00:00"/>
    <s v="Kavya Reddy"/>
    <s v="Coimbatore"/>
    <s v="Tamil Nadu"/>
    <s v="South"/>
    <s v="Headphones"/>
    <s v="Accessories"/>
    <s v="Arjun Rao"/>
    <n v="6"/>
    <n v="3000"/>
    <n v="1800"/>
    <n v="0.02"/>
    <n v="17640"/>
    <n v="10800"/>
    <n v="6840"/>
    <s v="Credit Card"/>
    <x v="3"/>
  </r>
  <r>
    <s v="ORD0767"/>
    <s v="CUST0767"/>
    <d v="2025-03-06T00:00:00"/>
    <s v="Rahul Sharma"/>
    <s v="Chennai"/>
    <s v="Tamil Nadu"/>
    <s v="South"/>
    <s v="Keyboard"/>
    <s v="Accessories"/>
    <s v="Neha Gupta"/>
    <n v="8"/>
    <n v="1500"/>
    <n v="900"/>
    <n v="7.0000000000000007E-2"/>
    <n v="11160"/>
    <n v="7200"/>
    <n v="3960"/>
    <s v="Cash"/>
    <x v="1"/>
  </r>
  <r>
    <s v="ORD0768"/>
    <s v="CUST0768"/>
    <d v="2024-06-04T00:00:00"/>
    <s v="Aditya Mishra"/>
    <s v="Coimbatore"/>
    <s v="Tamil Nadu"/>
    <s v="South"/>
    <s v="Laptop"/>
    <s v="Electronics"/>
    <s v="Sneha Patil"/>
    <n v="1"/>
    <n v="65000"/>
    <n v="52000"/>
    <n v="0.09"/>
    <n v="59150"/>
    <n v="52000"/>
    <n v="7150"/>
    <s v="Debit Card"/>
    <x v="3"/>
  </r>
  <r>
    <s v="ORD0769"/>
    <s v="CUST0769"/>
    <d v="2025-05-01T00:00:00"/>
    <s v="Neha Gupta"/>
    <s v="Pune"/>
    <s v="Maharashtra"/>
    <s v="West"/>
    <s v="Speaker"/>
    <s v="Electronics"/>
    <s v="Anjali Mehta"/>
    <n v="3"/>
    <n v="5000"/>
    <n v="3200"/>
    <n v="0.09"/>
    <n v="13650"/>
    <n v="9600"/>
    <n v="4050"/>
    <s v="Net Banking"/>
    <x v="0"/>
  </r>
  <r>
    <s v="ORD0770"/>
    <s v="CUST0770"/>
    <d v="2025-08-31T00:00:00"/>
    <s v="Divya Menon"/>
    <s v="Hyderabad"/>
    <s v="Telangana"/>
    <s v="South"/>
    <s v="Mouse"/>
    <s v="Accessories"/>
    <s v="Sneha Patil"/>
    <n v="5"/>
    <n v="800"/>
    <n v="450"/>
    <n v="0.03"/>
    <n v="3880"/>
    <n v="2250"/>
    <n v="1630"/>
    <s v="Debit Card"/>
    <x v="2"/>
  </r>
  <r>
    <s v="ORD0771"/>
    <s v="CUST0771"/>
    <d v="2025-10-30T00:00:00"/>
    <s v="Nikhil Jain"/>
    <s v="Warangal"/>
    <s v="Telangana"/>
    <s v="South"/>
    <s v="Headphones"/>
    <s v="Accessories"/>
    <s v="Amit Sharma"/>
    <n v="5"/>
    <n v="3000"/>
    <n v="1800"/>
    <n v="0.2"/>
    <n v="12000"/>
    <n v="9000"/>
    <n v="3000"/>
    <s v="Credit Card"/>
    <x v="3"/>
  </r>
  <r>
    <s v="ORD0772"/>
    <s v="CUST0772"/>
    <d v="2025-09-05T00:00:00"/>
    <s v="Divya Menon"/>
    <s v="Mysuru"/>
    <s v="Karnataka"/>
    <s v="South"/>
    <s v="Printer"/>
    <s v="Office"/>
    <s v="Priya Nair"/>
    <n v="9"/>
    <n v="15000"/>
    <n v="11500"/>
    <n v="0.16"/>
    <n v="113400"/>
    <n v="103500"/>
    <n v="9900"/>
    <s v="Debit Card"/>
    <x v="0"/>
  </r>
  <r>
    <s v="ORD0773"/>
    <s v="CUST0773"/>
    <d v="2025-08-02T00:00:00"/>
    <s v="Kavya Reddy"/>
    <s v="Hyderabad"/>
    <s v="Telangana"/>
    <s v="South"/>
    <s v="Speaker"/>
    <s v="Electronics"/>
    <s v="Anjali Mehta"/>
    <n v="10"/>
    <n v="5000"/>
    <n v="3200"/>
    <n v="0.17"/>
    <n v="41500"/>
    <n v="32000"/>
    <n v="9500"/>
    <s v="UPI"/>
    <x v="3"/>
  </r>
  <r>
    <s v="ORD0774"/>
    <s v="CUST0774"/>
    <d v="2024-11-05T00:00:00"/>
    <s v="Priya Patel"/>
    <s v="Chennai"/>
    <s v="Tamil Nadu"/>
    <s v="South"/>
    <s v="Tablet"/>
    <s v="Electronics"/>
    <s v="Priya Nair"/>
    <n v="2"/>
    <n v="25000"/>
    <n v="20000"/>
    <n v="0.28999999999999998"/>
    <n v="35500"/>
    <n v="40000"/>
    <n v="-4500"/>
    <s v="Net Banking"/>
    <x v="0"/>
  </r>
  <r>
    <s v="ORD0775"/>
    <s v="CUST0775"/>
    <d v="2025-08-06T00:00:00"/>
    <s v="Sneha Nair"/>
    <s v="Warangal"/>
    <s v="Telangana"/>
    <s v="South"/>
    <s v="Printer"/>
    <s v="Office"/>
    <s v="Arjun Rao"/>
    <n v="5"/>
    <n v="15000"/>
    <n v="11500"/>
    <n v="0.17"/>
    <n v="62250"/>
    <n v="57500"/>
    <n v="4750"/>
    <s v="Credit Card"/>
    <x v="1"/>
  </r>
  <r>
    <s v="ORD0776"/>
    <s v="CUST0776"/>
    <d v="2024-11-09T00:00:00"/>
    <s v="Rahul Sharma"/>
    <s v="Jaipur"/>
    <s v="Rajasthan"/>
    <s v="North"/>
    <s v="Mouse"/>
    <s v="Accessories"/>
    <s v="Vikram Joshi"/>
    <n v="2"/>
    <n v="800"/>
    <n v="450"/>
    <n v="0.13"/>
    <n v="1392"/>
    <n v="900"/>
    <n v="492"/>
    <s v="Net Banking"/>
    <x v="3"/>
  </r>
  <r>
    <s v="ORD0777"/>
    <s v="CUST0777"/>
    <d v="2025-02-07T00:00:00"/>
    <s v="Meera Shah"/>
    <s v="Chennai"/>
    <s v="Tamil Nadu"/>
    <s v="South"/>
    <s v="Monitor"/>
    <s v="Office"/>
    <s v="Arjun Rao"/>
    <n v="8"/>
    <n v="18000"/>
    <n v="14000"/>
    <n v="0.02"/>
    <n v="141120"/>
    <n v="112000"/>
    <n v="29120"/>
    <s v="Debit Card"/>
    <x v="2"/>
  </r>
  <r>
    <s v="ORD0778"/>
    <s v="CUST0778"/>
    <d v="2025-03-27T00:00:00"/>
    <s v="Meera Shah"/>
    <s v="Bengaluru"/>
    <s v="Karnataka"/>
    <s v="South"/>
    <s v="Printer"/>
    <s v="Office"/>
    <s v="Karan Singh"/>
    <n v="8"/>
    <n v="15000"/>
    <n v="11500"/>
    <n v="0.18"/>
    <n v="98400.000000000015"/>
    <n v="92000"/>
    <n v="6400.0000000000146"/>
    <s v="Debit Card"/>
    <x v="2"/>
  </r>
  <r>
    <s v="ORD0779"/>
    <s v="CUST0779"/>
    <d v="2024-05-20T00:00:00"/>
    <s v="Pooja Das"/>
    <s v="Pune"/>
    <s v="Maharashtra"/>
    <s v="West"/>
    <s v="Laptop"/>
    <s v="Electronics"/>
    <s v="Priya Nair"/>
    <n v="4"/>
    <n v="65000"/>
    <n v="52000"/>
    <n v="0.06"/>
    <n v="244400"/>
    <n v="208000"/>
    <n v="36400"/>
    <s v="Credit Card"/>
    <x v="1"/>
  </r>
  <r>
    <s v="ORD0780"/>
    <s v="CUST0780"/>
    <d v="2025-11-18T00:00:00"/>
    <s v="Meera Shah"/>
    <s v="Jaipur"/>
    <s v="Rajasthan"/>
    <s v="North"/>
    <s v="Tablet"/>
    <s v="Electronics"/>
    <s v="Anjali Mehta"/>
    <n v="3"/>
    <n v="25000"/>
    <n v="20000"/>
    <n v="0.3"/>
    <n v="52500"/>
    <n v="60000"/>
    <n v="-7500"/>
    <s v="Cash"/>
    <x v="0"/>
  </r>
  <r>
    <s v="ORD0781"/>
    <s v="CUST0781"/>
    <d v="2024-04-14T00:00:00"/>
    <s v="Rohan Kulkarni"/>
    <s v="Mumbai"/>
    <s v="Maharashtra"/>
    <s v="West"/>
    <s v="Tablet"/>
    <s v="Electronics"/>
    <s v="Arjun Rao"/>
    <n v="10"/>
    <n v="25000"/>
    <n v="20000"/>
    <n v="0.26"/>
    <n v="185000"/>
    <n v="200000"/>
    <n v="-15000"/>
    <s v="UPI"/>
    <x v="3"/>
  </r>
  <r>
    <s v="ORD0782"/>
    <s v="CUST0782"/>
    <d v="2024-05-18T00:00:00"/>
    <s v="Aditya Mishra"/>
    <s v="Chennai"/>
    <s v="Tamil Nadu"/>
    <s v="South"/>
    <s v="Smartphone"/>
    <s v="Electronics"/>
    <s v="Rahul Verma"/>
    <n v="10"/>
    <n v="35000"/>
    <n v="28000"/>
    <n v="0.21"/>
    <n v="276500"/>
    <n v="280000"/>
    <n v="-3500"/>
    <s v="Debit Card"/>
    <x v="1"/>
  </r>
  <r>
    <s v="ORD0783"/>
    <s v="CUST0783"/>
    <d v="2024-06-01T00:00:00"/>
    <s v="Anjali Rao"/>
    <s v="Surat"/>
    <s v="Gujarat"/>
    <s v="West"/>
    <s v="Smartwatch"/>
    <s v="Wearables"/>
    <s v="Arjun Rao"/>
    <n v="6"/>
    <n v="12000"/>
    <n v="8500"/>
    <n v="0.08"/>
    <n v="66240"/>
    <n v="51000"/>
    <n v="15240"/>
    <s v="UPI"/>
    <x v="0"/>
  </r>
  <r>
    <s v="ORD0784"/>
    <s v="CUST0784"/>
    <d v="2025-06-28T00:00:00"/>
    <s v="Kavya Reddy"/>
    <s v="Mysuru"/>
    <s v="Karnataka"/>
    <s v="South"/>
    <s v="Monitor"/>
    <s v="Office"/>
    <s v="Anjali Mehta"/>
    <n v="6"/>
    <n v="18000"/>
    <n v="14000"/>
    <n v="0.23"/>
    <n v="83160"/>
    <n v="84000"/>
    <n v="-840"/>
    <s v="Net Banking"/>
    <x v="2"/>
  </r>
  <r>
    <s v="ORD0785"/>
    <s v="CUST0785"/>
    <d v="2025-07-30T00:00:00"/>
    <s v="Pooja Das"/>
    <s v="Surat"/>
    <s v="Gujarat"/>
    <s v="West"/>
    <s v="Laptop"/>
    <s v="Electronics"/>
    <s v="Amit Sharma"/>
    <n v="2"/>
    <n v="65000"/>
    <n v="52000"/>
    <n v="0.14000000000000001"/>
    <n v="111800"/>
    <n v="104000"/>
    <n v="7800"/>
    <s v="UPI"/>
    <x v="1"/>
  </r>
  <r>
    <s v="ORD0786"/>
    <s v="CUST0786"/>
    <d v="2025-10-06T00:00:00"/>
    <s v="Divya Menon"/>
    <s v="Mysuru"/>
    <s v="Karnataka"/>
    <s v="South"/>
    <s v="Keyboard"/>
    <s v="Accessories"/>
    <s v="Pooja Das"/>
    <n v="5"/>
    <n v="1500"/>
    <n v="900"/>
    <n v="0.15"/>
    <n v="6375"/>
    <n v="4500"/>
    <n v="1875"/>
    <s v="Debit Card"/>
    <x v="1"/>
  </r>
  <r>
    <s v="ORD0787"/>
    <s v="CUST0787"/>
    <d v="2025-05-14T00:00:00"/>
    <s v="Vikram Singh"/>
    <s v="Hyderabad"/>
    <s v="Telangana"/>
    <s v="South"/>
    <s v="Smartphone"/>
    <s v="Electronics"/>
    <s v="Amit Sharma"/>
    <n v="5"/>
    <n v="35000"/>
    <n v="28000"/>
    <n v="7.0000000000000007E-2"/>
    <n v="162750"/>
    <n v="140000"/>
    <n v="22750"/>
    <s v="Cash"/>
    <x v="0"/>
  </r>
  <r>
    <s v="ORD0788"/>
    <s v="CUST0788"/>
    <d v="2024-08-23T00:00:00"/>
    <s v="Suresh Iyer"/>
    <s v="Coimbatore"/>
    <s v="Tamil Nadu"/>
    <s v="South"/>
    <s v="Smartwatch"/>
    <s v="Wearables"/>
    <s v="Anjali Mehta"/>
    <n v="5"/>
    <n v="12000"/>
    <n v="8500"/>
    <n v="0.15"/>
    <n v="51000"/>
    <n v="42500"/>
    <n v="8500"/>
    <s v="Cash"/>
    <x v="2"/>
  </r>
  <r>
    <s v="ORD0789"/>
    <s v="CUST0789"/>
    <d v="2025-06-08T00:00:00"/>
    <s v="Nikhil Jain"/>
    <s v="Mumbai"/>
    <s v="Maharashtra"/>
    <s v="West"/>
    <s v="Mouse"/>
    <s v="Accessories"/>
    <s v="Anjali Mehta"/>
    <n v="7"/>
    <n v="800"/>
    <n v="450"/>
    <n v="0.08"/>
    <n v="5152"/>
    <n v="3150"/>
    <n v="2002"/>
    <s v="UPI"/>
    <x v="2"/>
  </r>
  <r>
    <s v="ORD0790"/>
    <s v="CUST0790"/>
    <d v="2025-11-19T00:00:00"/>
    <s v="Pooja Das"/>
    <s v="New Delhi"/>
    <s v="Delhi"/>
    <s v="North"/>
    <s v="Laptop"/>
    <s v="Electronics"/>
    <s v="Neha Gupta"/>
    <n v="3"/>
    <n v="65000"/>
    <n v="52000"/>
    <n v="0.18"/>
    <n v="159900"/>
    <n v="156000"/>
    <n v="3900"/>
    <s v="Credit Card"/>
    <x v="3"/>
  </r>
  <r>
    <s v="ORD0791"/>
    <s v="CUST0791"/>
    <d v="2025-12-31T00:00:00"/>
    <s v="Rohit Verma"/>
    <s v="New Delhi"/>
    <s v="Delhi"/>
    <s v="North"/>
    <s v="Mouse"/>
    <s v="Accessories"/>
    <s v="Vikram Joshi"/>
    <n v="6"/>
    <n v="800"/>
    <n v="450"/>
    <n v="0.01"/>
    <n v="4752"/>
    <n v="2700"/>
    <n v="2052"/>
    <s v="UPI"/>
    <x v="0"/>
  </r>
  <r>
    <s v="ORD0792"/>
    <s v="CUST0792"/>
    <d v="2024-05-16T00:00:00"/>
    <s v="Kavya Reddy"/>
    <s v="Chennai"/>
    <s v="Tamil Nadu"/>
    <s v="South"/>
    <s v="Speaker"/>
    <s v="Electronics"/>
    <s v="Pooja Das"/>
    <n v="4"/>
    <n v="5000"/>
    <n v="3200"/>
    <n v="0.21"/>
    <n v="15800"/>
    <n v="12800"/>
    <n v="3000"/>
    <s v="Net Banking"/>
    <x v="0"/>
  </r>
  <r>
    <s v="ORD0793"/>
    <s v="CUST0793"/>
    <d v="2024-01-20T00:00:00"/>
    <s v="Aisha Khan"/>
    <s v="Pune"/>
    <s v="Maharashtra"/>
    <s v="West"/>
    <s v="Laptop"/>
    <s v="Electronics"/>
    <s v="Neha Gupta"/>
    <n v="8"/>
    <n v="65000"/>
    <n v="52000"/>
    <n v="0.23"/>
    <n v="400400"/>
    <n v="416000"/>
    <n v="-15600"/>
    <s v="Debit Card"/>
    <x v="3"/>
  </r>
  <r>
    <s v="ORD0794"/>
    <s v="CUST0794"/>
    <d v="2025-10-31T00:00:00"/>
    <s v="Anjali Rao"/>
    <s v="New Delhi"/>
    <s v="Delhi"/>
    <s v="North"/>
    <s v="Speaker"/>
    <s v="Electronics"/>
    <s v="Sneha Patil"/>
    <n v="1"/>
    <n v="5000"/>
    <n v="3200"/>
    <n v="0.17"/>
    <n v="4150"/>
    <n v="3200"/>
    <n v="950"/>
    <s v="Credit Card"/>
    <x v="0"/>
  </r>
  <r>
    <s v="ORD0795"/>
    <s v="CUST0795"/>
    <d v="2024-12-23T00:00:00"/>
    <s v="Aisha Khan"/>
    <s v="Coimbatore"/>
    <s v="Tamil Nadu"/>
    <s v="South"/>
    <s v="Smartwatch"/>
    <s v="Wearables"/>
    <s v="Neha Gupta"/>
    <n v="4"/>
    <n v="12000"/>
    <n v="8500"/>
    <n v="0.22"/>
    <n v="37440"/>
    <n v="34000"/>
    <n v="3440"/>
    <s v="Credit Card"/>
    <x v="1"/>
  </r>
  <r>
    <s v="ORD0796"/>
    <s v="CUST0796"/>
    <d v="2025-12-09T00:00:00"/>
    <s v="Arjun Mehta"/>
    <s v="Pune"/>
    <s v="Maharashtra"/>
    <s v="West"/>
    <s v="Mouse"/>
    <s v="Accessories"/>
    <s v="Priya Nair"/>
    <n v="3"/>
    <n v="800"/>
    <n v="450"/>
    <n v="0.2"/>
    <n v="1920"/>
    <n v="1350"/>
    <n v="570"/>
    <s v="Cash"/>
    <x v="1"/>
  </r>
  <r>
    <s v="ORD0797"/>
    <s v="CUST0797"/>
    <d v="2024-03-24T00:00:00"/>
    <s v="Rohan Kulkarni"/>
    <s v="Mysuru"/>
    <s v="Karnataka"/>
    <s v="South"/>
    <s v="Smartwatch"/>
    <s v="Wearables"/>
    <s v="Priya Nair"/>
    <n v="3"/>
    <n v="12000"/>
    <n v="8500"/>
    <n v="0.21"/>
    <n v="28440"/>
    <n v="25500"/>
    <n v="2940"/>
    <s v="Credit Card"/>
    <x v="1"/>
  </r>
  <r>
    <s v="ORD0798"/>
    <s v="CUST0798"/>
    <d v="2025-05-19T00:00:00"/>
    <s v="Amit Kumar"/>
    <s v="Warangal"/>
    <s v="Telangana"/>
    <s v="South"/>
    <s v="Tablet"/>
    <s v="Electronics"/>
    <s v="Neha Gupta"/>
    <n v="5"/>
    <n v="25000"/>
    <n v="20000"/>
    <n v="0.1"/>
    <n v="112500"/>
    <n v="100000"/>
    <n v="12500"/>
    <s v="Net Banking"/>
    <x v="1"/>
  </r>
  <r>
    <s v="ORD0799"/>
    <s v="CUST0799"/>
    <d v="2025-04-28T00:00:00"/>
    <s v="Kavya Reddy"/>
    <s v="Jaipur"/>
    <s v="Rajasthan"/>
    <s v="North"/>
    <s v="Mouse"/>
    <s v="Accessories"/>
    <s v="Pooja Das"/>
    <n v="4"/>
    <n v="800"/>
    <n v="450"/>
    <n v="0.26"/>
    <n v="2368"/>
    <n v="1800"/>
    <n v="568"/>
    <s v="Debit Card"/>
    <x v="2"/>
  </r>
  <r>
    <s v="ORD0800"/>
    <s v="CUST0800"/>
    <d v="2024-05-31T00:00:00"/>
    <s v="Karan Joshi"/>
    <s v="Chennai"/>
    <s v="Tamil Nadu"/>
    <s v="South"/>
    <s v="Smartphone"/>
    <s v="Electronics"/>
    <s v="Neha Gupta"/>
    <n v="4"/>
    <n v="35000"/>
    <n v="28000"/>
    <n v="0.26"/>
    <n v="103600"/>
    <n v="112000"/>
    <n v="-8400"/>
    <s v="Debit Card"/>
    <x v="3"/>
  </r>
  <r>
    <s v="ORD0801"/>
    <s v="CUST0801"/>
    <d v="2025-02-14T00:00:00"/>
    <s v="Arjun Mehta"/>
    <s v="Hyderabad"/>
    <s v="Telangana"/>
    <s v="South"/>
    <s v="Headphones"/>
    <s v="Accessories"/>
    <s v="Rahul Verma"/>
    <n v="7"/>
    <n v="3000"/>
    <n v="1800"/>
    <n v="0.26"/>
    <n v="15540"/>
    <n v="12600"/>
    <n v="2940"/>
    <s v="Debit Card"/>
    <x v="2"/>
  </r>
  <r>
    <s v="ORD0802"/>
    <s v="CUST0802"/>
    <d v="2025-10-19T00:00:00"/>
    <s v="Rahul Sharma"/>
    <s v="New Delhi"/>
    <s v="Delhi"/>
    <s v="North"/>
    <s v="Mouse"/>
    <s v="Accessories"/>
    <s v="Rahul Verma"/>
    <n v="3"/>
    <n v="800"/>
    <n v="450"/>
    <n v="0.21"/>
    <n v="1896"/>
    <n v="1350"/>
    <n v="546"/>
    <s v="Debit Card"/>
    <x v="0"/>
  </r>
  <r>
    <s v="ORD0803"/>
    <s v="CUST0803"/>
    <d v="2024-09-23T00:00:00"/>
    <s v="Pooja Das"/>
    <s v="Bengaluru"/>
    <s v="Karnataka"/>
    <s v="South"/>
    <s v="Smartphone"/>
    <s v="Electronics"/>
    <s v="Amit Sharma"/>
    <n v="9"/>
    <n v="35000"/>
    <n v="28000"/>
    <n v="0.08"/>
    <n v="289800"/>
    <n v="252000"/>
    <n v="37800"/>
    <s v="Credit Card"/>
    <x v="0"/>
  </r>
  <r>
    <s v="ORD0804"/>
    <s v="CUST0804"/>
    <d v="2025-11-17T00:00:00"/>
    <s v="Amit Kumar"/>
    <s v="Coimbatore"/>
    <s v="Tamil Nadu"/>
    <s v="South"/>
    <s v="Smartphone"/>
    <s v="Electronics"/>
    <s v="Karan Singh"/>
    <n v="4"/>
    <n v="35000"/>
    <n v="28000"/>
    <n v="0.05"/>
    <n v="133000"/>
    <n v="112000"/>
    <n v="21000"/>
    <s v="Debit Card"/>
    <x v="1"/>
  </r>
  <r>
    <s v="ORD0805"/>
    <s v="CUST0805"/>
    <d v="2024-12-02T00:00:00"/>
    <s v="Vikram Singh"/>
    <s v="Ahmedabad"/>
    <s v="Gujarat"/>
    <s v="West"/>
    <s v="Laptop"/>
    <s v="Electronics"/>
    <s v="Pooja Das"/>
    <n v="9"/>
    <n v="65000"/>
    <n v="52000"/>
    <n v="0.22"/>
    <n v="456300"/>
    <n v="468000"/>
    <n v="-11700"/>
    <s v="Cash"/>
    <x v="3"/>
  </r>
  <r>
    <s v="ORD0806"/>
    <s v="CUST0806"/>
    <d v="2025-05-12T00:00:00"/>
    <s v="Priya Patel"/>
    <s v="Kolkata"/>
    <s v="West Bengal"/>
    <s v="East"/>
    <s v="Monitor"/>
    <s v="Office"/>
    <s v="Anjali Mehta"/>
    <n v="1"/>
    <n v="18000"/>
    <n v="14000"/>
    <n v="0.26"/>
    <n v="13320"/>
    <n v="14000"/>
    <n v="-680"/>
    <s v="UPI"/>
    <x v="0"/>
  </r>
  <r>
    <s v="ORD0807"/>
    <s v="CUST0807"/>
    <d v="2025-05-05T00:00:00"/>
    <s v="Karan Joshi"/>
    <s v="Ahmedabad"/>
    <s v="Gujarat"/>
    <s v="West"/>
    <s v="Smartwatch"/>
    <s v="Wearables"/>
    <s v="Amit Sharma"/>
    <n v="8"/>
    <n v="12000"/>
    <n v="8500"/>
    <n v="0.01"/>
    <n v="95040"/>
    <n v="68000"/>
    <n v="27040"/>
    <s v="UPI"/>
    <x v="1"/>
  </r>
  <r>
    <s v="ORD0808"/>
    <s v="CUST0808"/>
    <d v="2025-03-20T00:00:00"/>
    <s v="Rohan Kulkarni"/>
    <s v="Bengaluru"/>
    <s v="Karnataka"/>
    <s v="South"/>
    <s v="Laptop"/>
    <s v="Electronics"/>
    <s v="Pooja Das"/>
    <n v="3"/>
    <n v="65000"/>
    <n v="52000"/>
    <n v="0.16"/>
    <n v="163800"/>
    <n v="156000"/>
    <n v="7800"/>
    <s v="Credit Card"/>
    <x v="1"/>
  </r>
  <r>
    <s v="ORD0809"/>
    <s v="CUST0809"/>
    <d v="2025-12-16T00:00:00"/>
    <s v="Suresh Iyer"/>
    <s v="Chennai"/>
    <s v="Tamil Nadu"/>
    <s v="South"/>
    <s v="Monitor"/>
    <s v="Office"/>
    <s v="Vikram Joshi"/>
    <n v="8"/>
    <n v="18000"/>
    <n v="14000"/>
    <n v="0.18"/>
    <n v="118080.00000000001"/>
    <n v="112000"/>
    <n v="6080.0000000000146"/>
    <s v="Cash"/>
    <x v="2"/>
  </r>
  <r>
    <s v="ORD0810"/>
    <s v="CUST0810"/>
    <d v="2025-09-07T00:00:00"/>
    <s v="Karan Joshi"/>
    <s v="Warangal"/>
    <s v="Telangana"/>
    <s v="South"/>
    <s v="Keyboard"/>
    <s v="Accessories"/>
    <s v="Amit Sharma"/>
    <n v="10"/>
    <n v="1500"/>
    <n v="900"/>
    <n v="0.2"/>
    <n v="12000"/>
    <n v="9000"/>
    <n v="3000"/>
    <s v="Net Banking"/>
    <x v="1"/>
  </r>
  <r>
    <s v="ORD0811"/>
    <s v="CUST0811"/>
    <d v="2025-04-22T00:00:00"/>
    <s v="Pooja Das"/>
    <s v="Hyderabad"/>
    <s v="Telangana"/>
    <s v="South"/>
    <s v="Tablet"/>
    <s v="Electronics"/>
    <s v="Rahul Verma"/>
    <n v="5"/>
    <n v="25000"/>
    <n v="20000"/>
    <n v="0.04"/>
    <n v="120000"/>
    <n v="100000"/>
    <n v="20000"/>
    <s v="Credit Card"/>
    <x v="3"/>
  </r>
  <r>
    <s v="ORD0812"/>
    <s v="CUST0812"/>
    <d v="2025-08-18T00:00:00"/>
    <s v="Divya Menon"/>
    <s v="Coimbatore"/>
    <s v="Tamil Nadu"/>
    <s v="South"/>
    <s v="Speaker"/>
    <s v="Electronics"/>
    <s v="Amit Sharma"/>
    <n v="9"/>
    <n v="5000"/>
    <n v="3200"/>
    <n v="0.27"/>
    <n v="32850"/>
    <n v="28800"/>
    <n v="4050"/>
    <s v="Net Banking"/>
    <x v="3"/>
  </r>
  <r>
    <s v="ORD0813"/>
    <s v="CUST0813"/>
    <d v="2024-04-20T00:00:00"/>
    <s v="Aisha Khan"/>
    <s v="Mysuru"/>
    <s v="Karnataka"/>
    <s v="South"/>
    <s v="Laptop"/>
    <s v="Electronics"/>
    <s v="Karan Singh"/>
    <n v="3"/>
    <n v="65000"/>
    <n v="52000"/>
    <n v="0.15"/>
    <n v="165750"/>
    <n v="156000"/>
    <n v="9750"/>
    <s v="Credit Card"/>
    <x v="0"/>
  </r>
  <r>
    <s v="ORD0814"/>
    <s v="CUST0814"/>
    <d v="2025-11-17T00:00:00"/>
    <s v="Deepika Roy"/>
    <s v="Kolkata"/>
    <s v="West Bengal"/>
    <s v="East"/>
    <s v="Smartwatch"/>
    <s v="Wearables"/>
    <s v="Amit Sharma"/>
    <n v="10"/>
    <n v="12000"/>
    <n v="8500"/>
    <n v="0.25"/>
    <n v="90000"/>
    <n v="85000"/>
    <n v="5000"/>
    <s v="Debit Card"/>
    <x v="0"/>
  </r>
  <r>
    <s v="ORD0815"/>
    <s v="CUST0815"/>
    <d v="2024-01-24T00:00:00"/>
    <s v="Anjali Rao"/>
    <s v="Kolkata"/>
    <s v="West Bengal"/>
    <s v="East"/>
    <s v="Laptop"/>
    <s v="Electronics"/>
    <s v="Pooja Das"/>
    <n v="5"/>
    <n v="65000"/>
    <n v="52000"/>
    <n v="0.03"/>
    <n v="315250"/>
    <n v="260000"/>
    <n v="55250"/>
    <s v="Credit Card"/>
    <x v="1"/>
  </r>
  <r>
    <s v="ORD0816"/>
    <s v="CUST0816"/>
    <d v="2024-07-03T00:00:00"/>
    <s v="Aisha Khan"/>
    <s v="Coimbatore"/>
    <s v="Tamil Nadu"/>
    <s v="South"/>
    <s v="Headphones"/>
    <s v="Accessories"/>
    <s v="Vikram Joshi"/>
    <n v="7"/>
    <n v="3000"/>
    <n v="1800"/>
    <n v="0.11"/>
    <n v="18690"/>
    <n v="12600"/>
    <n v="6090"/>
    <s v="Cash"/>
    <x v="2"/>
  </r>
  <r>
    <s v="ORD0817"/>
    <s v="CUST0817"/>
    <d v="2025-05-01T00:00:00"/>
    <s v="Rahul Sharma"/>
    <s v="Chennai"/>
    <s v="Tamil Nadu"/>
    <s v="South"/>
    <s v="Speaker"/>
    <s v="Electronics"/>
    <s v="Arjun Rao"/>
    <n v="4"/>
    <n v="5000"/>
    <n v="3200"/>
    <n v="0.09"/>
    <n v="18200"/>
    <n v="12800"/>
    <n v="5400"/>
    <s v="UPI"/>
    <x v="2"/>
  </r>
  <r>
    <s v="ORD0818"/>
    <s v="CUST0818"/>
    <d v="2025-02-20T00:00:00"/>
    <s v="Aisha Khan"/>
    <s v="Mysuru"/>
    <s v="Karnataka"/>
    <s v="South"/>
    <s v="Smartphone"/>
    <s v="Electronics"/>
    <s v="Priya Nair"/>
    <n v="4"/>
    <n v="35000"/>
    <n v="28000"/>
    <n v="0.21"/>
    <n v="110600"/>
    <n v="112000"/>
    <n v="-1400"/>
    <s v="Net Banking"/>
    <x v="3"/>
  </r>
  <r>
    <s v="ORD0819"/>
    <s v="CUST0819"/>
    <d v="2025-10-02T00:00:00"/>
    <s v="Vikram Singh"/>
    <s v="Jaipur"/>
    <s v="Rajasthan"/>
    <s v="North"/>
    <s v="Headphones"/>
    <s v="Accessories"/>
    <s v="Vikram Joshi"/>
    <n v="10"/>
    <n v="3000"/>
    <n v="1800"/>
    <n v="0.27"/>
    <n v="21900"/>
    <n v="18000"/>
    <n v="3900"/>
    <s v="Net Banking"/>
    <x v="3"/>
  </r>
  <r>
    <s v="ORD0820"/>
    <s v="CUST0820"/>
    <d v="2024-06-16T00:00:00"/>
    <s v="Meera Shah"/>
    <s v="Kolkata"/>
    <s v="West Bengal"/>
    <s v="East"/>
    <s v="Headphones"/>
    <s v="Accessories"/>
    <s v="Amit Sharma"/>
    <n v="9"/>
    <n v="3000"/>
    <n v="1800"/>
    <n v="7.0000000000000007E-2"/>
    <n v="25110"/>
    <n v="16200"/>
    <n v="8910"/>
    <s v="Net Banking"/>
    <x v="2"/>
  </r>
  <r>
    <s v="ORD0821"/>
    <s v="CUST0821"/>
    <d v="2025-08-15T00:00:00"/>
    <s v="Arjun Mehta"/>
    <s v="Chennai"/>
    <s v="Tamil Nadu"/>
    <s v="South"/>
    <s v="Monitor"/>
    <s v="Office"/>
    <s v="Arjun Rao"/>
    <n v="5"/>
    <n v="18000"/>
    <n v="14000"/>
    <n v="0.3"/>
    <n v="62999.999999999993"/>
    <n v="70000"/>
    <n v="-7000.0000000000073"/>
    <s v="UPI"/>
    <x v="3"/>
  </r>
  <r>
    <s v="ORD0822"/>
    <s v="CUST0822"/>
    <d v="2024-02-04T00:00:00"/>
    <s v="Arjun Mehta"/>
    <s v="New Delhi"/>
    <s v="Delhi"/>
    <s v="North"/>
    <s v="Printer"/>
    <s v="Office"/>
    <s v="Arjun Rao"/>
    <n v="10"/>
    <n v="15000"/>
    <n v="11500"/>
    <n v="0.17"/>
    <n v="124500"/>
    <n v="115000"/>
    <n v="9500"/>
    <s v="Credit Card"/>
    <x v="2"/>
  </r>
  <r>
    <s v="ORD0823"/>
    <s v="CUST0823"/>
    <d v="2024-08-04T00:00:00"/>
    <s v="Vikram Singh"/>
    <s v="Hyderabad"/>
    <s v="Telangana"/>
    <s v="South"/>
    <s v="Printer"/>
    <s v="Office"/>
    <s v="Rahul Verma"/>
    <n v="6"/>
    <n v="15000"/>
    <n v="11500"/>
    <n v="0.2"/>
    <n v="72000"/>
    <n v="69000"/>
    <n v="3000"/>
    <s v="UPI"/>
    <x v="0"/>
  </r>
  <r>
    <s v="ORD0824"/>
    <s v="CUST0824"/>
    <d v="2024-10-23T00:00:00"/>
    <s v="Amit Kumar"/>
    <s v="Pune"/>
    <s v="Maharashtra"/>
    <s v="West"/>
    <s v="Speaker"/>
    <s v="Electronics"/>
    <s v="Neha Gupta"/>
    <n v="10"/>
    <n v="5000"/>
    <n v="3200"/>
    <n v="0.24"/>
    <n v="38000"/>
    <n v="32000"/>
    <n v="6000"/>
    <s v="Credit Card"/>
    <x v="2"/>
  </r>
  <r>
    <s v="ORD0825"/>
    <s v="CUST0825"/>
    <d v="2025-02-17T00:00:00"/>
    <s v="Nikhil Jain"/>
    <s v="Surat"/>
    <s v="Gujarat"/>
    <s v="West"/>
    <s v="Smartphone"/>
    <s v="Electronics"/>
    <s v="Priya Nair"/>
    <n v="7"/>
    <n v="35000"/>
    <n v="28000"/>
    <n v="0.25"/>
    <n v="183750"/>
    <n v="196000"/>
    <n v="-12250"/>
    <s v="Net Banking"/>
    <x v="3"/>
  </r>
  <r>
    <s v="ORD0826"/>
    <s v="CUST0826"/>
    <d v="2024-08-28T00:00:00"/>
    <s v="Suresh Iyer"/>
    <s v="Kolkata"/>
    <s v="West Bengal"/>
    <s v="East"/>
    <s v="Speaker"/>
    <s v="Electronics"/>
    <s v="Karan Singh"/>
    <n v="1"/>
    <n v="5000"/>
    <n v="3200"/>
    <n v="0.03"/>
    <n v="4850"/>
    <n v="3200"/>
    <n v="1650"/>
    <s v="Debit Card"/>
    <x v="0"/>
  </r>
  <r>
    <s v="ORD0827"/>
    <s v="CUST0827"/>
    <d v="2024-09-20T00:00:00"/>
    <s v="Sneha Nair"/>
    <s v="New Delhi"/>
    <s v="Delhi"/>
    <s v="North"/>
    <s v="Mouse"/>
    <s v="Accessories"/>
    <s v="Arjun Rao"/>
    <n v="7"/>
    <n v="800"/>
    <n v="450"/>
    <n v="0.2"/>
    <n v="4480"/>
    <n v="3150"/>
    <n v="1330"/>
    <s v="UPI"/>
    <x v="0"/>
  </r>
  <r>
    <s v="ORD0828"/>
    <s v="CUST0828"/>
    <d v="2025-07-12T00:00:00"/>
    <s v="Rohan Kulkarni"/>
    <s v="Coimbatore"/>
    <s v="Tamil Nadu"/>
    <s v="South"/>
    <s v="Tablet"/>
    <s v="Electronics"/>
    <s v="Karan Singh"/>
    <n v="6"/>
    <n v="25000"/>
    <n v="20000"/>
    <n v="0.2"/>
    <n v="120000"/>
    <n v="120000"/>
    <n v="0"/>
    <s v="UPI"/>
    <x v="1"/>
  </r>
  <r>
    <s v="ORD0829"/>
    <s v="CUST0829"/>
    <d v="2024-11-22T00:00:00"/>
    <s v="Kavya Reddy"/>
    <s v="Warangal"/>
    <s v="Telangana"/>
    <s v="South"/>
    <s v="Monitor"/>
    <s v="Office"/>
    <s v="Rahul Verma"/>
    <n v="2"/>
    <n v="18000"/>
    <n v="14000"/>
    <n v="0.06"/>
    <n v="33840"/>
    <n v="28000"/>
    <n v="5840"/>
    <s v="Net Banking"/>
    <x v="1"/>
  </r>
  <r>
    <s v="ORD0830"/>
    <s v="CUST0830"/>
    <d v="2024-07-28T00:00:00"/>
    <s v="Karan Joshi"/>
    <s v="Bengaluru"/>
    <s v="Karnataka"/>
    <s v="South"/>
    <s v="Smartphone"/>
    <s v="Electronics"/>
    <s v="Vikram Joshi"/>
    <n v="5"/>
    <n v="35000"/>
    <n v="28000"/>
    <n v="0.3"/>
    <n v="122499.99999999999"/>
    <n v="140000"/>
    <n v="-17500.000000000015"/>
    <s v="UPI"/>
    <x v="2"/>
  </r>
  <r>
    <s v="ORD0831"/>
    <s v="CUST0831"/>
    <d v="2024-09-07T00:00:00"/>
    <s v="Deepika Roy"/>
    <s v="Coimbatore"/>
    <s v="Tamil Nadu"/>
    <s v="South"/>
    <s v="Printer"/>
    <s v="Office"/>
    <s v="Karan Singh"/>
    <n v="1"/>
    <n v="15000"/>
    <n v="11500"/>
    <n v="0.14000000000000001"/>
    <n v="12900"/>
    <n v="11500"/>
    <n v="1400"/>
    <s v="UPI"/>
    <x v="0"/>
  </r>
  <r>
    <s v="ORD0832"/>
    <s v="CUST0832"/>
    <d v="2024-01-08T00:00:00"/>
    <s v="Pooja Das"/>
    <s v="Chennai"/>
    <s v="Tamil Nadu"/>
    <s v="South"/>
    <s v="Smartwatch"/>
    <s v="Wearables"/>
    <s v="Anjali Mehta"/>
    <n v="9"/>
    <n v="12000"/>
    <n v="8500"/>
    <n v="0.24"/>
    <n v="82080"/>
    <n v="76500"/>
    <n v="5580"/>
    <s v="UPI"/>
    <x v="3"/>
  </r>
  <r>
    <s v="ORD0833"/>
    <s v="CUST0833"/>
    <d v="2025-07-01T00:00:00"/>
    <s v="Amit Kumar"/>
    <s v="Hyderabad"/>
    <s v="Telangana"/>
    <s v="South"/>
    <s v="Monitor"/>
    <s v="Office"/>
    <s v="Rahul Verma"/>
    <n v="8"/>
    <n v="18000"/>
    <n v="14000"/>
    <n v="0.04"/>
    <n v="138240"/>
    <n v="112000"/>
    <n v="26240"/>
    <s v="Net Banking"/>
    <x v="0"/>
  </r>
  <r>
    <s v="ORD0834"/>
    <s v="CUST0834"/>
    <d v="2024-02-12T00:00:00"/>
    <s v="Rahul Sharma"/>
    <s v="Ahmedabad"/>
    <s v="Gujarat"/>
    <s v="West"/>
    <s v="Smartphone"/>
    <s v="Electronics"/>
    <s v="Anjali Mehta"/>
    <n v="2"/>
    <n v="35000"/>
    <n v="28000"/>
    <n v="0.11"/>
    <n v="62300"/>
    <n v="56000"/>
    <n v="6300"/>
    <s v="Net Banking"/>
    <x v="3"/>
  </r>
  <r>
    <s v="ORD0835"/>
    <s v="CUST0835"/>
    <d v="2025-05-26T00:00:00"/>
    <s v="Arjun Mehta"/>
    <s v="Mysuru"/>
    <s v="Karnataka"/>
    <s v="South"/>
    <s v="Printer"/>
    <s v="Office"/>
    <s v="Vikram Joshi"/>
    <n v="7"/>
    <n v="15000"/>
    <n v="11500"/>
    <n v="0.21"/>
    <n v="82950"/>
    <n v="80500"/>
    <n v="2450"/>
    <s v="Debit Card"/>
    <x v="2"/>
  </r>
  <r>
    <s v="ORD0836"/>
    <s v="CUST0836"/>
    <d v="2024-12-28T00:00:00"/>
    <s v="Rahul Sharma"/>
    <s v="Coimbatore"/>
    <s v="Tamil Nadu"/>
    <s v="South"/>
    <s v="Speaker"/>
    <s v="Electronics"/>
    <s v="Karan Singh"/>
    <n v="7"/>
    <n v="5000"/>
    <n v="3200"/>
    <n v="0.25"/>
    <n v="26250"/>
    <n v="22400"/>
    <n v="3850"/>
    <s v="Debit Card"/>
    <x v="1"/>
  </r>
  <r>
    <s v="ORD0837"/>
    <s v="CUST0837"/>
    <d v="2025-09-23T00:00:00"/>
    <s v="Aditya Mishra"/>
    <s v="Hyderabad"/>
    <s v="Telangana"/>
    <s v="South"/>
    <s v="Headphones"/>
    <s v="Accessories"/>
    <s v="Vikram Joshi"/>
    <n v="2"/>
    <n v="3000"/>
    <n v="1800"/>
    <n v="0.17"/>
    <n v="4980"/>
    <n v="3600"/>
    <n v="1380"/>
    <s v="Net Banking"/>
    <x v="2"/>
  </r>
  <r>
    <s v="ORD0838"/>
    <s v="CUST0838"/>
    <d v="2024-10-19T00:00:00"/>
    <s v="Pooja Das"/>
    <s v="Kolkata"/>
    <s v="West Bengal"/>
    <s v="East"/>
    <s v="Mouse"/>
    <s v="Accessories"/>
    <s v="Rahul Verma"/>
    <n v="1"/>
    <n v="800"/>
    <n v="450"/>
    <n v="0.14000000000000001"/>
    <n v="688"/>
    <n v="450"/>
    <n v="238"/>
    <s v="Credit Card"/>
    <x v="3"/>
  </r>
  <r>
    <s v="ORD0839"/>
    <s v="CUST0839"/>
    <d v="2024-07-01T00:00:00"/>
    <s v="Kavya Reddy"/>
    <s v="Mumbai"/>
    <s v="Maharashtra"/>
    <s v="West"/>
    <s v="Keyboard"/>
    <s v="Accessories"/>
    <s v="Amit Sharma"/>
    <n v="8"/>
    <n v="1500"/>
    <n v="900"/>
    <n v="0.16"/>
    <n v="10080"/>
    <n v="7200"/>
    <n v="2880"/>
    <s v="Cash"/>
    <x v="3"/>
  </r>
  <r>
    <s v="ORD0840"/>
    <s v="CUST0840"/>
    <d v="2024-06-05T00:00:00"/>
    <s v="Vikram Singh"/>
    <s v="Ahmedabad"/>
    <s v="Gujarat"/>
    <s v="West"/>
    <s v="Printer"/>
    <s v="Office"/>
    <s v="Arjun Rao"/>
    <n v="10"/>
    <n v="15000"/>
    <n v="11500"/>
    <n v="0.17"/>
    <n v="124500"/>
    <n v="115000"/>
    <n v="9500"/>
    <s v="Cash"/>
    <x v="2"/>
  </r>
  <r>
    <s v="ORD0841"/>
    <s v="CUST0841"/>
    <d v="2024-04-05T00:00:00"/>
    <s v="Deepika Roy"/>
    <s v="Mysuru"/>
    <s v="Karnataka"/>
    <s v="South"/>
    <s v="Printer"/>
    <s v="Office"/>
    <s v="Neha Gupta"/>
    <n v="2"/>
    <n v="15000"/>
    <n v="11500"/>
    <n v="0.03"/>
    <n v="29100"/>
    <n v="23000"/>
    <n v="6100"/>
    <s v="Net Banking"/>
    <x v="2"/>
  </r>
  <r>
    <s v="ORD0842"/>
    <s v="CUST0842"/>
    <d v="2024-02-09T00:00:00"/>
    <s v="Aisha Khan"/>
    <s v="Jaipur"/>
    <s v="Rajasthan"/>
    <s v="North"/>
    <s v="Tablet"/>
    <s v="Electronics"/>
    <s v="Pooja Das"/>
    <n v="3"/>
    <n v="25000"/>
    <n v="20000"/>
    <n v="0.3"/>
    <n v="52500"/>
    <n v="60000"/>
    <n v="-7500"/>
    <s v="UPI"/>
    <x v="0"/>
  </r>
  <r>
    <s v="ORD0843"/>
    <s v="CUST0843"/>
    <d v="2025-09-15T00:00:00"/>
    <s v="Pooja Das"/>
    <s v="Chennai"/>
    <s v="Tamil Nadu"/>
    <s v="South"/>
    <s v="Keyboard"/>
    <s v="Accessories"/>
    <s v="Anjali Mehta"/>
    <n v="5"/>
    <n v="1500"/>
    <n v="900"/>
    <n v="0.13"/>
    <n v="6525"/>
    <n v="4500"/>
    <n v="2025"/>
    <s v="UPI"/>
    <x v="3"/>
  </r>
  <r>
    <s v="ORD0844"/>
    <s v="CUST0844"/>
    <d v="2025-04-23T00:00:00"/>
    <s v="Divya Menon"/>
    <s v="Hyderabad"/>
    <s v="Telangana"/>
    <s v="South"/>
    <s v="Tablet"/>
    <s v="Electronics"/>
    <s v="Karan Singh"/>
    <n v="2"/>
    <n v="25000"/>
    <n v="20000"/>
    <n v="0.27"/>
    <n v="36500"/>
    <n v="40000"/>
    <n v="-3500"/>
    <s v="Debit Card"/>
    <x v="1"/>
  </r>
  <r>
    <s v="ORD0845"/>
    <s v="CUST0845"/>
    <d v="2025-10-26T00:00:00"/>
    <s v="Divya Menon"/>
    <s v="Kolkata"/>
    <s v="West Bengal"/>
    <s v="East"/>
    <s v="Speaker"/>
    <s v="Electronics"/>
    <s v="Sneha Patil"/>
    <n v="10"/>
    <n v="5000"/>
    <n v="3200"/>
    <n v="7.0000000000000007E-2"/>
    <n v="46500"/>
    <n v="32000"/>
    <n v="14500"/>
    <s v="Net Banking"/>
    <x v="1"/>
  </r>
  <r>
    <s v="ORD0846"/>
    <s v="CUST0846"/>
    <d v="2025-12-19T00:00:00"/>
    <s v="Arjun Mehta"/>
    <s v="Jaipur"/>
    <s v="Rajasthan"/>
    <s v="North"/>
    <s v="Speaker"/>
    <s v="Electronics"/>
    <s v="Sneha Patil"/>
    <n v="9"/>
    <n v="5000"/>
    <n v="3200"/>
    <n v="0.05"/>
    <n v="42750"/>
    <n v="28800"/>
    <n v="13950"/>
    <s v="Net Banking"/>
    <x v="2"/>
  </r>
  <r>
    <s v="ORD0847"/>
    <s v="CUST0847"/>
    <d v="2025-06-02T00:00:00"/>
    <s v="Rahul Sharma"/>
    <s v="Jaipur"/>
    <s v="Rajasthan"/>
    <s v="North"/>
    <s v="Smartphone"/>
    <s v="Electronics"/>
    <s v="Priya Nair"/>
    <n v="6"/>
    <n v="35000"/>
    <n v="28000"/>
    <n v="0.01"/>
    <n v="207900"/>
    <n v="168000"/>
    <n v="39900"/>
    <s v="UPI"/>
    <x v="2"/>
  </r>
  <r>
    <s v="ORD0848"/>
    <s v="CUST0848"/>
    <d v="2024-01-14T00:00:00"/>
    <s v="Aisha Khan"/>
    <s v="Jaipur"/>
    <s v="Rajasthan"/>
    <s v="North"/>
    <s v="Tablet"/>
    <s v="Electronics"/>
    <s v="Priya Nair"/>
    <n v="4"/>
    <n v="25000"/>
    <n v="20000"/>
    <n v="0.24"/>
    <n v="76000"/>
    <n v="80000"/>
    <n v="-4000"/>
    <s v="Net Banking"/>
    <x v="3"/>
  </r>
  <r>
    <s v="ORD0849"/>
    <s v="CUST0849"/>
    <d v="2025-08-30T00:00:00"/>
    <s v="Anjali Rao"/>
    <s v="Mumbai"/>
    <s v="Maharashtra"/>
    <s v="West"/>
    <s v="Tablet"/>
    <s v="Electronics"/>
    <s v="Pooja Das"/>
    <n v="1"/>
    <n v="25000"/>
    <n v="20000"/>
    <n v="0.28000000000000003"/>
    <n v="18000"/>
    <n v="20000"/>
    <n v="-2000"/>
    <s v="Debit Card"/>
    <x v="1"/>
  </r>
  <r>
    <s v="ORD0850"/>
    <s v="CUST0850"/>
    <d v="2024-01-18T00:00:00"/>
    <s v="Amit Kumar"/>
    <s v="Mysuru"/>
    <s v="Karnataka"/>
    <s v="South"/>
    <s v="Printer"/>
    <s v="Office"/>
    <s v="Amit Sharma"/>
    <n v="4"/>
    <n v="15000"/>
    <n v="11500"/>
    <n v="0.22"/>
    <n v="46800"/>
    <n v="46000"/>
    <n v="800"/>
    <s v="Debit Card"/>
    <x v="3"/>
  </r>
  <r>
    <s v="ORD0851"/>
    <s v="CUST0851"/>
    <d v="2025-08-09T00:00:00"/>
    <s v="Rohit Verma"/>
    <s v="Jaipur"/>
    <s v="Rajasthan"/>
    <s v="North"/>
    <s v="Headphones"/>
    <s v="Accessories"/>
    <s v="Rahul Verma"/>
    <n v="5"/>
    <n v="3000"/>
    <n v="1800"/>
    <n v="0"/>
    <n v="15000"/>
    <n v="9000"/>
    <n v="6000"/>
    <s v="Debit Card"/>
    <x v="0"/>
  </r>
  <r>
    <s v="ORD0852"/>
    <s v="CUST0852"/>
    <d v="2024-01-21T00:00:00"/>
    <s v="Pooja Das"/>
    <s v="Chennai"/>
    <s v="Tamil Nadu"/>
    <s v="South"/>
    <s v="Tablet"/>
    <s v="Electronics"/>
    <s v="Priya Nair"/>
    <n v="3"/>
    <n v="25000"/>
    <n v="20000"/>
    <n v="0.06"/>
    <n v="70500"/>
    <n v="60000"/>
    <n v="10500"/>
    <s v="Credit Card"/>
    <x v="3"/>
  </r>
  <r>
    <s v="ORD0853"/>
    <s v="CUST0853"/>
    <d v="2024-04-04T00:00:00"/>
    <s v="Amit Kumar"/>
    <s v="Mumbai"/>
    <s v="Maharashtra"/>
    <s v="West"/>
    <s v="Headphones"/>
    <s v="Accessories"/>
    <s v="Anjali Mehta"/>
    <n v="1"/>
    <n v="3000"/>
    <n v="1800"/>
    <n v="0.22"/>
    <n v="2340"/>
    <n v="1800"/>
    <n v="540"/>
    <s v="Credit Card"/>
    <x v="1"/>
  </r>
  <r>
    <s v="ORD0854"/>
    <s v="CUST0854"/>
    <d v="2025-10-12T00:00:00"/>
    <s v="Sneha Nair"/>
    <s v="Warangal"/>
    <s v="Telangana"/>
    <s v="South"/>
    <s v="Headphones"/>
    <s v="Accessories"/>
    <s v="Priya Nair"/>
    <n v="5"/>
    <n v="3000"/>
    <n v="1800"/>
    <n v="0.08"/>
    <n v="13800"/>
    <n v="9000"/>
    <n v="4800"/>
    <s v="Cash"/>
    <x v="3"/>
  </r>
  <r>
    <s v="ORD0855"/>
    <s v="CUST0855"/>
    <d v="2024-02-05T00:00:00"/>
    <s v="Rohit Verma"/>
    <s v="Mumbai"/>
    <s v="Maharashtra"/>
    <s v="West"/>
    <s v="Mouse"/>
    <s v="Accessories"/>
    <s v="Pooja Das"/>
    <n v="2"/>
    <n v="800"/>
    <n v="450"/>
    <n v="0.13"/>
    <n v="1392"/>
    <n v="900"/>
    <n v="492"/>
    <s v="UPI"/>
    <x v="1"/>
  </r>
  <r>
    <s v="ORD0856"/>
    <s v="CUST0856"/>
    <d v="2024-11-08T00:00:00"/>
    <s v="Sneha Nair"/>
    <s v="Coimbatore"/>
    <s v="Tamil Nadu"/>
    <s v="South"/>
    <s v="Smartphone"/>
    <s v="Electronics"/>
    <s v="Anjali Mehta"/>
    <n v="5"/>
    <n v="35000"/>
    <n v="28000"/>
    <n v="0.01"/>
    <n v="173250"/>
    <n v="140000"/>
    <n v="33250"/>
    <s v="Net Banking"/>
    <x v="1"/>
  </r>
  <r>
    <s v="ORD0857"/>
    <s v="CUST0857"/>
    <d v="2024-10-02T00:00:00"/>
    <s v="Deepika Roy"/>
    <s v="Ahmedabad"/>
    <s v="Gujarat"/>
    <s v="West"/>
    <s v="Headphones"/>
    <s v="Accessories"/>
    <s v="Priya Nair"/>
    <n v="2"/>
    <n v="3000"/>
    <n v="1800"/>
    <n v="0.12"/>
    <n v="5280"/>
    <n v="3600"/>
    <n v="1680"/>
    <s v="UPI"/>
    <x v="1"/>
  </r>
  <r>
    <s v="ORD0858"/>
    <s v="CUST0858"/>
    <d v="2024-03-08T00:00:00"/>
    <s v="Aditya Mishra"/>
    <s v="Surat"/>
    <s v="Gujarat"/>
    <s v="West"/>
    <s v="Monitor"/>
    <s v="Office"/>
    <s v="Rahul Verma"/>
    <n v="6"/>
    <n v="18000"/>
    <n v="14000"/>
    <n v="0.13"/>
    <n v="93960"/>
    <n v="84000"/>
    <n v="9960"/>
    <s v="Credit Card"/>
    <x v="2"/>
  </r>
  <r>
    <s v="ORD0859"/>
    <s v="CUST0859"/>
    <d v="2025-12-05T00:00:00"/>
    <s v="Aditya Mishra"/>
    <s v="Coimbatore"/>
    <s v="Tamil Nadu"/>
    <s v="South"/>
    <s v="Keyboard"/>
    <s v="Accessories"/>
    <s v="Arjun Rao"/>
    <n v="6"/>
    <n v="1500"/>
    <n v="900"/>
    <n v="0.2"/>
    <n v="7200"/>
    <n v="5400"/>
    <n v="1800"/>
    <s v="Credit Card"/>
    <x v="3"/>
  </r>
  <r>
    <s v="ORD0860"/>
    <s v="CUST0860"/>
    <d v="2025-04-25T00:00:00"/>
    <s v="Meera Shah"/>
    <s v="Kolkata"/>
    <s v="West Bengal"/>
    <s v="East"/>
    <s v="Tablet"/>
    <s v="Electronics"/>
    <s v="Vikram Joshi"/>
    <n v="2"/>
    <n v="25000"/>
    <n v="20000"/>
    <n v="0.01"/>
    <n v="49500"/>
    <n v="40000"/>
    <n v="9500"/>
    <s v="Debit Card"/>
    <x v="2"/>
  </r>
  <r>
    <s v="ORD0861"/>
    <s v="CUST0861"/>
    <d v="2025-11-16T00:00:00"/>
    <s v="Pooja Das"/>
    <s v="Hyderabad"/>
    <s v="Telangana"/>
    <s v="South"/>
    <s v="Tablet"/>
    <s v="Electronics"/>
    <s v="Anjali Mehta"/>
    <n v="4"/>
    <n v="25000"/>
    <n v="20000"/>
    <n v="0"/>
    <n v="100000"/>
    <n v="80000"/>
    <n v="20000"/>
    <s v="Credit Card"/>
    <x v="1"/>
  </r>
  <r>
    <s v="ORD0862"/>
    <s v="CUST0862"/>
    <d v="2025-01-11T00:00:00"/>
    <s v="Nikhil Jain"/>
    <s v="Kolkata"/>
    <s v="West Bengal"/>
    <s v="East"/>
    <s v="Mouse"/>
    <s v="Accessories"/>
    <s v="Amit Sharma"/>
    <n v="8"/>
    <n v="800"/>
    <n v="450"/>
    <n v="0.03"/>
    <n v="6208"/>
    <n v="3600"/>
    <n v="2608"/>
    <s v="Debit Card"/>
    <x v="2"/>
  </r>
  <r>
    <s v="ORD0863"/>
    <s v="CUST0863"/>
    <d v="2025-09-19T00:00:00"/>
    <s v="Rahul Sharma"/>
    <s v="Jaipur"/>
    <s v="Rajasthan"/>
    <s v="North"/>
    <s v="Headphones"/>
    <s v="Accessories"/>
    <s v="Rahul Verma"/>
    <n v="1"/>
    <n v="3000"/>
    <n v="1800"/>
    <n v="0.02"/>
    <n v="2940"/>
    <n v="1800"/>
    <n v="1140"/>
    <s v="Net Banking"/>
    <x v="1"/>
  </r>
  <r>
    <s v="ORD0864"/>
    <s v="CUST0864"/>
    <d v="2025-09-11T00:00:00"/>
    <s v="Vikram Singh"/>
    <s v="Hyderabad"/>
    <s v="Telangana"/>
    <s v="South"/>
    <s v="Headphones"/>
    <s v="Accessories"/>
    <s v="Pooja Das"/>
    <n v="5"/>
    <n v="3000"/>
    <n v="1800"/>
    <n v="0.23"/>
    <n v="11550"/>
    <n v="9000"/>
    <n v="2550"/>
    <s v="Cash"/>
    <x v="0"/>
  </r>
  <r>
    <s v="ORD0865"/>
    <s v="CUST0865"/>
    <d v="2024-03-12T00:00:00"/>
    <s v="Divya Menon"/>
    <s v="Mysuru"/>
    <s v="Karnataka"/>
    <s v="South"/>
    <s v="Speaker"/>
    <s v="Electronics"/>
    <s v="Anjali Mehta"/>
    <n v="1"/>
    <n v="5000"/>
    <n v="3200"/>
    <n v="0.06"/>
    <n v="4700"/>
    <n v="3200"/>
    <n v="1500"/>
    <s v="Credit Card"/>
    <x v="1"/>
  </r>
  <r>
    <s v="ORD0866"/>
    <s v="CUST0866"/>
    <d v="2025-11-03T00:00:00"/>
    <s v="Karan Joshi"/>
    <s v="Pune"/>
    <s v="Maharashtra"/>
    <s v="West"/>
    <s v="Mouse"/>
    <s v="Accessories"/>
    <s v="Pooja Das"/>
    <n v="4"/>
    <n v="800"/>
    <n v="450"/>
    <n v="0.28000000000000003"/>
    <n v="2304"/>
    <n v="1800"/>
    <n v="504"/>
    <s v="UPI"/>
    <x v="3"/>
  </r>
  <r>
    <s v="ORD0867"/>
    <s v="CUST0867"/>
    <d v="2024-10-26T00:00:00"/>
    <s v="Rahul Sharma"/>
    <s v="Chennai"/>
    <s v="Tamil Nadu"/>
    <s v="South"/>
    <s v="Laptop"/>
    <s v="Electronics"/>
    <s v="Sneha Patil"/>
    <n v="1"/>
    <n v="65000"/>
    <n v="52000"/>
    <n v="0.21"/>
    <n v="51350"/>
    <n v="52000"/>
    <n v="-650"/>
    <s v="Debit Card"/>
    <x v="0"/>
  </r>
  <r>
    <s v="ORD0868"/>
    <s v="CUST0868"/>
    <d v="2025-04-14T00:00:00"/>
    <s v="Karan Joshi"/>
    <s v="Mysuru"/>
    <s v="Karnataka"/>
    <s v="South"/>
    <s v="Smartwatch"/>
    <s v="Wearables"/>
    <s v="Anjali Mehta"/>
    <n v="7"/>
    <n v="12000"/>
    <n v="8500"/>
    <n v="0.15"/>
    <n v="71400"/>
    <n v="59500"/>
    <n v="11900"/>
    <s v="Credit Card"/>
    <x v="0"/>
  </r>
  <r>
    <s v="ORD0869"/>
    <s v="CUST0869"/>
    <d v="2024-07-31T00:00:00"/>
    <s v="Vikram Singh"/>
    <s v="Chennai"/>
    <s v="Tamil Nadu"/>
    <s v="South"/>
    <s v="Smartwatch"/>
    <s v="Wearables"/>
    <s v="Vikram Joshi"/>
    <n v="4"/>
    <n v="12000"/>
    <n v="8500"/>
    <n v="7.0000000000000007E-2"/>
    <n v="44640"/>
    <n v="34000"/>
    <n v="10640"/>
    <s v="Credit Card"/>
    <x v="3"/>
  </r>
  <r>
    <s v="ORD0870"/>
    <s v="CUST0870"/>
    <d v="2024-09-22T00:00:00"/>
    <s v="Rohan Kulkarni"/>
    <s v="Surat"/>
    <s v="Gujarat"/>
    <s v="West"/>
    <s v="Smartwatch"/>
    <s v="Wearables"/>
    <s v="Arjun Rao"/>
    <n v="3"/>
    <n v="12000"/>
    <n v="8500"/>
    <n v="0.24"/>
    <n v="27360"/>
    <n v="25500"/>
    <n v="1860"/>
    <s v="UPI"/>
    <x v="1"/>
  </r>
  <r>
    <s v="ORD0871"/>
    <s v="CUST0871"/>
    <d v="2025-03-04T00:00:00"/>
    <s v="Aisha Khan"/>
    <s v="Surat"/>
    <s v="Gujarat"/>
    <s v="West"/>
    <s v="Keyboard"/>
    <s v="Accessories"/>
    <s v="Priya Nair"/>
    <n v="6"/>
    <n v="1500"/>
    <n v="900"/>
    <n v="0.21"/>
    <n v="7110"/>
    <n v="5400"/>
    <n v="1710"/>
    <s v="UPI"/>
    <x v="0"/>
  </r>
  <r>
    <s v="ORD0872"/>
    <s v="CUST0872"/>
    <d v="2025-10-22T00:00:00"/>
    <s v="Divya Menon"/>
    <s v="Mysuru"/>
    <s v="Karnataka"/>
    <s v="South"/>
    <s v="Headphones"/>
    <s v="Accessories"/>
    <s v="Pooja Das"/>
    <n v="4"/>
    <n v="3000"/>
    <n v="1800"/>
    <n v="0.23"/>
    <n v="9240"/>
    <n v="7200"/>
    <n v="2040"/>
    <s v="UPI"/>
    <x v="3"/>
  </r>
  <r>
    <s v="ORD0873"/>
    <s v="CUST0873"/>
    <d v="2024-08-10T00:00:00"/>
    <s v="Rahul Sharma"/>
    <s v="Pune"/>
    <s v="Maharashtra"/>
    <s v="West"/>
    <s v="Smartwatch"/>
    <s v="Wearables"/>
    <s v="Pooja Das"/>
    <n v="1"/>
    <n v="12000"/>
    <n v="8500"/>
    <n v="0.02"/>
    <n v="11760"/>
    <n v="8500"/>
    <n v="3260"/>
    <s v="UPI"/>
    <x v="2"/>
  </r>
  <r>
    <s v="ORD0874"/>
    <s v="CUST0874"/>
    <d v="2024-05-17T00:00:00"/>
    <s v="Neha Gupta"/>
    <s v="Hyderabad"/>
    <s v="Telangana"/>
    <s v="South"/>
    <s v="Headphones"/>
    <s v="Accessories"/>
    <s v="Priya Nair"/>
    <n v="4"/>
    <n v="3000"/>
    <n v="1800"/>
    <n v="0.16"/>
    <n v="10080"/>
    <n v="7200"/>
    <n v="2880"/>
    <s v="Cash"/>
    <x v="0"/>
  </r>
  <r>
    <s v="ORD0875"/>
    <s v="CUST0875"/>
    <d v="2025-10-26T00:00:00"/>
    <s v="Suresh Iyer"/>
    <s v="Surat"/>
    <s v="Gujarat"/>
    <s v="West"/>
    <s v="Speaker"/>
    <s v="Electronics"/>
    <s v="Pooja Das"/>
    <n v="6"/>
    <n v="5000"/>
    <n v="3200"/>
    <n v="0.12"/>
    <n v="26400"/>
    <n v="19200"/>
    <n v="7200"/>
    <s v="UPI"/>
    <x v="2"/>
  </r>
  <r>
    <s v="ORD0876"/>
    <s v="CUST0876"/>
    <d v="2025-03-21T00:00:00"/>
    <s v="Suresh Iyer"/>
    <s v="Warangal"/>
    <s v="Telangana"/>
    <s v="South"/>
    <s v="Speaker"/>
    <s v="Electronics"/>
    <s v="Amit Sharma"/>
    <n v="1"/>
    <n v="5000"/>
    <n v="3200"/>
    <n v="0.17"/>
    <n v="4150"/>
    <n v="3200"/>
    <n v="950"/>
    <s v="Debit Card"/>
    <x v="2"/>
  </r>
  <r>
    <s v="ORD0877"/>
    <s v="CUST0877"/>
    <d v="2025-12-22T00:00:00"/>
    <s v="Arjun Mehta"/>
    <s v="Mumbai"/>
    <s v="Maharashtra"/>
    <s v="West"/>
    <s v="Tablet"/>
    <s v="Electronics"/>
    <s v="Anjali Mehta"/>
    <n v="4"/>
    <n v="25000"/>
    <n v="20000"/>
    <n v="0.28999999999999998"/>
    <n v="71000"/>
    <n v="80000"/>
    <n v="-9000"/>
    <s v="Cash"/>
    <x v="3"/>
  </r>
  <r>
    <s v="ORD0878"/>
    <s v="CUST0878"/>
    <d v="2024-11-22T00:00:00"/>
    <s v="Deepika Roy"/>
    <s v="Hyderabad"/>
    <s v="Telangana"/>
    <s v="South"/>
    <s v="Headphones"/>
    <s v="Accessories"/>
    <s v="Karan Singh"/>
    <n v="8"/>
    <n v="3000"/>
    <n v="1800"/>
    <n v="0.28999999999999998"/>
    <n v="17040"/>
    <n v="14400"/>
    <n v="2640"/>
    <s v="Cash"/>
    <x v="0"/>
  </r>
  <r>
    <s v="ORD0879"/>
    <s v="CUST0879"/>
    <d v="2024-01-29T00:00:00"/>
    <s v="Arjun Mehta"/>
    <s v="Coimbatore"/>
    <s v="Tamil Nadu"/>
    <s v="South"/>
    <s v="Keyboard"/>
    <s v="Accessories"/>
    <s v="Karan Singh"/>
    <n v="3"/>
    <n v="1500"/>
    <n v="900"/>
    <n v="0.15"/>
    <n v="3825"/>
    <n v="2700"/>
    <n v="1125"/>
    <s v="UPI"/>
    <x v="3"/>
  </r>
  <r>
    <s v="ORD0880"/>
    <s v="CUST0880"/>
    <d v="2025-04-16T00:00:00"/>
    <s v="Amit Kumar"/>
    <s v="Jaipur"/>
    <s v="Rajasthan"/>
    <s v="North"/>
    <s v="Smartphone"/>
    <s v="Electronics"/>
    <s v="Rahul Verma"/>
    <n v="6"/>
    <n v="35000"/>
    <n v="28000"/>
    <n v="0.05"/>
    <n v="199500"/>
    <n v="168000"/>
    <n v="31500"/>
    <s v="UPI"/>
    <x v="1"/>
  </r>
  <r>
    <s v="ORD0881"/>
    <s v="CUST0881"/>
    <d v="2024-09-12T00:00:00"/>
    <s v="Rohan Kulkarni"/>
    <s v="Coimbatore"/>
    <s v="Tamil Nadu"/>
    <s v="South"/>
    <s v="Keyboard"/>
    <s v="Accessories"/>
    <s v="Rahul Verma"/>
    <n v="2"/>
    <n v="1500"/>
    <n v="900"/>
    <n v="0.04"/>
    <n v="2880"/>
    <n v="1800"/>
    <n v="1080"/>
    <s v="Credit Card"/>
    <x v="0"/>
  </r>
  <r>
    <s v="ORD0882"/>
    <s v="CUST0882"/>
    <d v="2025-02-02T00:00:00"/>
    <s v="Anjali Rao"/>
    <s v="Coimbatore"/>
    <s v="Tamil Nadu"/>
    <s v="South"/>
    <s v="Laptop"/>
    <s v="Electronics"/>
    <s v="Karan Singh"/>
    <n v="10"/>
    <n v="65000"/>
    <n v="52000"/>
    <n v="0.27"/>
    <n v="474500"/>
    <n v="520000"/>
    <n v="-45500"/>
    <s v="Credit Card"/>
    <x v="1"/>
  </r>
  <r>
    <s v="ORD0883"/>
    <s v="CUST0883"/>
    <d v="2024-03-25T00:00:00"/>
    <s v="Rohit Verma"/>
    <s v="Coimbatore"/>
    <s v="Tamil Nadu"/>
    <s v="South"/>
    <s v="Mouse"/>
    <s v="Accessories"/>
    <s v="Sneha Patil"/>
    <n v="6"/>
    <n v="800"/>
    <n v="450"/>
    <n v="0.08"/>
    <n v="4416"/>
    <n v="2700"/>
    <n v="1716"/>
    <s v="Credit Card"/>
    <x v="2"/>
  </r>
  <r>
    <s v="ORD0884"/>
    <s v="CUST0884"/>
    <d v="2025-07-04T00:00:00"/>
    <s v="Meera Shah"/>
    <s v="Jaipur"/>
    <s v="Rajasthan"/>
    <s v="North"/>
    <s v="Tablet"/>
    <s v="Electronics"/>
    <s v="Arjun Rao"/>
    <n v="10"/>
    <n v="25000"/>
    <n v="20000"/>
    <n v="0.02"/>
    <n v="245000"/>
    <n v="200000"/>
    <n v="45000"/>
    <s v="Cash"/>
    <x v="2"/>
  </r>
  <r>
    <s v="ORD0885"/>
    <s v="CUST0885"/>
    <d v="2025-05-14T00:00:00"/>
    <s v="Suresh Iyer"/>
    <s v="New Delhi"/>
    <s v="Delhi"/>
    <s v="North"/>
    <s v="Printer"/>
    <s v="Office"/>
    <s v="Amit Sharma"/>
    <n v="8"/>
    <n v="15000"/>
    <n v="11500"/>
    <n v="0.21"/>
    <n v="94800"/>
    <n v="92000"/>
    <n v="2800"/>
    <s v="Net Banking"/>
    <x v="1"/>
  </r>
  <r>
    <s v="ORD0886"/>
    <s v="CUST0886"/>
    <d v="2024-01-06T00:00:00"/>
    <s v="Rohan Kulkarni"/>
    <s v="Jaipur"/>
    <s v="Rajasthan"/>
    <s v="North"/>
    <s v="Mouse"/>
    <s v="Accessories"/>
    <s v="Priya Nair"/>
    <n v="3"/>
    <n v="800"/>
    <n v="450"/>
    <n v="0.18"/>
    <n v="1968.0000000000002"/>
    <n v="1350"/>
    <n v="618.00000000000023"/>
    <s v="Credit Card"/>
    <x v="3"/>
  </r>
  <r>
    <s v="ORD0887"/>
    <s v="CUST0887"/>
    <d v="2025-07-30T00:00:00"/>
    <s v="Neha Gupta"/>
    <s v="Pune"/>
    <s v="Maharashtra"/>
    <s v="West"/>
    <s v="Printer"/>
    <s v="Office"/>
    <s v="Vikram Joshi"/>
    <n v="10"/>
    <n v="15000"/>
    <n v="11500"/>
    <n v="0.05"/>
    <n v="142500"/>
    <n v="115000"/>
    <n v="27500"/>
    <s v="Net Banking"/>
    <x v="3"/>
  </r>
  <r>
    <s v="ORD0888"/>
    <s v="CUST0888"/>
    <d v="2024-12-29T00:00:00"/>
    <s v="Amit Kumar"/>
    <s v="Mysuru"/>
    <s v="Karnataka"/>
    <s v="South"/>
    <s v="Smartwatch"/>
    <s v="Wearables"/>
    <s v="Pooja Das"/>
    <n v="9"/>
    <n v="12000"/>
    <n v="8500"/>
    <n v="0.24"/>
    <n v="82080"/>
    <n v="76500"/>
    <n v="5580"/>
    <s v="Cash"/>
    <x v="2"/>
  </r>
  <r>
    <s v="ORD0889"/>
    <s v="CUST0889"/>
    <d v="2025-11-17T00:00:00"/>
    <s v="Rohit Verma"/>
    <s v="Chennai"/>
    <s v="Tamil Nadu"/>
    <s v="South"/>
    <s v="Printer"/>
    <s v="Office"/>
    <s v="Priya Nair"/>
    <n v="10"/>
    <n v="15000"/>
    <n v="11500"/>
    <n v="0.12"/>
    <n v="132000"/>
    <n v="115000"/>
    <n v="17000"/>
    <s v="Credit Card"/>
    <x v="1"/>
  </r>
  <r>
    <s v="ORD0890"/>
    <s v="CUST0890"/>
    <d v="2025-08-31T00:00:00"/>
    <s v="Vikram Singh"/>
    <s v="Surat"/>
    <s v="Gujarat"/>
    <s v="West"/>
    <s v="Laptop"/>
    <s v="Electronics"/>
    <s v="Rahul Verma"/>
    <n v="5"/>
    <n v="65000"/>
    <n v="52000"/>
    <n v="0.04"/>
    <n v="312000"/>
    <n v="260000"/>
    <n v="52000"/>
    <s v="Credit Card"/>
    <x v="2"/>
  </r>
  <r>
    <s v="ORD0891"/>
    <s v="CUST0891"/>
    <d v="2024-08-22T00:00:00"/>
    <s v="Arjun Mehta"/>
    <s v="Ahmedabad"/>
    <s v="Gujarat"/>
    <s v="West"/>
    <s v="Speaker"/>
    <s v="Electronics"/>
    <s v="Rahul Verma"/>
    <n v="10"/>
    <n v="5000"/>
    <n v="3200"/>
    <n v="0.18"/>
    <n v="41000"/>
    <n v="32000"/>
    <n v="9000"/>
    <s v="UPI"/>
    <x v="2"/>
  </r>
  <r>
    <s v="ORD0892"/>
    <s v="CUST0892"/>
    <d v="2024-06-18T00:00:00"/>
    <s v="Nikhil Jain"/>
    <s v="Warangal"/>
    <s v="Telangana"/>
    <s v="South"/>
    <s v="Printer"/>
    <s v="Office"/>
    <s v="Amit Sharma"/>
    <n v="5"/>
    <n v="15000"/>
    <n v="11500"/>
    <n v="0.12"/>
    <n v="66000"/>
    <n v="57500"/>
    <n v="8500"/>
    <s v="Debit Card"/>
    <x v="0"/>
  </r>
  <r>
    <s v="ORD0893"/>
    <s v="CUST0893"/>
    <d v="2025-07-11T00:00:00"/>
    <s v="Amit Kumar"/>
    <s v="Ahmedabad"/>
    <s v="Gujarat"/>
    <s v="West"/>
    <s v="Laptop"/>
    <s v="Electronics"/>
    <s v="Karan Singh"/>
    <n v="1"/>
    <n v="65000"/>
    <n v="52000"/>
    <n v="7.0000000000000007E-2"/>
    <n v="60449.999999999993"/>
    <n v="52000"/>
    <n v="8449.9999999999927"/>
    <s v="Cash"/>
    <x v="0"/>
  </r>
  <r>
    <s v="ORD0894"/>
    <s v="CUST0894"/>
    <d v="2024-01-31T00:00:00"/>
    <s v="Aditya Mishra"/>
    <s v="Chennai"/>
    <s v="Tamil Nadu"/>
    <s v="South"/>
    <s v="Smartwatch"/>
    <s v="Wearables"/>
    <s v="Arjun Rao"/>
    <n v="4"/>
    <n v="12000"/>
    <n v="8500"/>
    <n v="0.12"/>
    <n v="42240"/>
    <n v="34000"/>
    <n v="8240"/>
    <s v="UPI"/>
    <x v="1"/>
  </r>
  <r>
    <s v="ORD0895"/>
    <s v="CUST0895"/>
    <d v="2025-01-01T00:00:00"/>
    <s v="Neha Gupta"/>
    <s v="Surat"/>
    <s v="Gujarat"/>
    <s v="West"/>
    <s v="Printer"/>
    <s v="Office"/>
    <s v="Vikram Joshi"/>
    <n v="5"/>
    <n v="15000"/>
    <n v="11500"/>
    <n v="0.05"/>
    <n v="71250"/>
    <n v="57500"/>
    <n v="13750"/>
    <s v="Debit Card"/>
    <x v="3"/>
  </r>
  <r>
    <s v="ORD0896"/>
    <s v="CUST0896"/>
    <d v="2025-08-13T00:00:00"/>
    <s v="Sneha Nair"/>
    <s v="Warangal"/>
    <s v="Telangana"/>
    <s v="South"/>
    <s v="Monitor"/>
    <s v="Office"/>
    <s v="Anjali Mehta"/>
    <n v="1"/>
    <n v="18000"/>
    <n v="14000"/>
    <n v="0.28000000000000003"/>
    <n v="12960"/>
    <n v="14000"/>
    <n v="-1040"/>
    <s v="Credit Card"/>
    <x v="3"/>
  </r>
  <r>
    <s v="ORD0897"/>
    <s v="CUST0897"/>
    <d v="2025-07-31T00:00:00"/>
    <s v="Rohan Kulkarni"/>
    <s v="Mysuru"/>
    <s v="Karnataka"/>
    <s v="South"/>
    <s v="Laptop"/>
    <s v="Electronics"/>
    <s v="Vikram Joshi"/>
    <n v="4"/>
    <n v="65000"/>
    <n v="52000"/>
    <n v="0.12"/>
    <n v="228800"/>
    <n v="208000"/>
    <n v="20800"/>
    <s v="Net Banking"/>
    <x v="0"/>
  </r>
  <r>
    <s v="ORD0898"/>
    <s v="CUST0898"/>
    <d v="2024-10-22T00:00:00"/>
    <s v="Aisha Khan"/>
    <s v="Mysuru"/>
    <s v="Karnataka"/>
    <s v="South"/>
    <s v="Laptop"/>
    <s v="Electronics"/>
    <s v="Karan Singh"/>
    <n v="7"/>
    <n v="65000"/>
    <n v="52000"/>
    <n v="0.11"/>
    <n v="404950"/>
    <n v="364000"/>
    <n v="40950"/>
    <s v="Debit Card"/>
    <x v="1"/>
  </r>
  <r>
    <s v="ORD0899"/>
    <s v="CUST0899"/>
    <d v="2024-05-27T00:00:00"/>
    <s v="Priya Patel"/>
    <s v="Hyderabad"/>
    <s v="Telangana"/>
    <s v="South"/>
    <s v="Speaker"/>
    <s v="Electronics"/>
    <s v="Anjali Mehta"/>
    <n v="3"/>
    <n v="5000"/>
    <n v="3200"/>
    <n v="0.17"/>
    <n v="12450"/>
    <n v="9600"/>
    <n v="2850"/>
    <s v="Net Banking"/>
    <x v="2"/>
  </r>
  <r>
    <s v="ORD0900"/>
    <s v="CUST0900"/>
    <d v="2025-10-26T00:00:00"/>
    <s v="Aditya Mishra"/>
    <s v="Surat"/>
    <s v="Gujarat"/>
    <s v="West"/>
    <s v="Keyboard"/>
    <s v="Accessories"/>
    <s v="Sneha Patil"/>
    <n v="4"/>
    <n v="1500"/>
    <n v="900"/>
    <n v="0.17"/>
    <n v="4980"/>
    <n v="3600"/>
    <n v="1380"/>
    <s v="UPI"/>
    <x v="0"/>
  </r>
  <r>
    <s v="ORD0901"/>
    <s v="CUST0901"/>
    <d v="2024-09-11T00:00:00"/>
    <s v="Meera Shah"/>
    <s v="Pune"/>
    <s v="Maharashtra"/>
    <s v="West"/>
    <s v="Keyboard"/>
    <s v="Accessories"/>
    <s v="Pooja Das"/>
    <n v="7"/>
    <n v="1500"/>
    <n v="900"/>
    <n v="0.09"/>
    <n v="9555"/>
    <n v="6300"/>
    <n v="3255"/>
    <s v="Cash"/>
    <x v="3"/>
  </r>
  <r>
    <s v="ORD0902"/>
    <s v="CUST0902"/>
    <d v="2024-03-31T00:00:00"/>
    <s v="Aditya Mishra"/>
    <s v="Jaipur"/>
    <s v="Rajasthan"/>
    <s v="North"/>
    <s v="Headphones"/>
    <s v="Accessories"/>
    <s v="Priya Nair"/>
    <n v="4"/>
    <n v="3000"/>
    <n v="1800"/>
    <n v="0.01"/>
    <n v="11880"/>
    <n v="7200"/>
    <n v="4680"/>
    <s v="Cash"/>
    <x v="0"/>
  </r>
  <r>
    <s v="ORD0903"/>
    <s v="CUST0903"/>
    <d v="2025-12-27T00:00:00"/>
    <s v="Divya Menon"/>
    <s v="Surat"/>
    <s v="Gujarat"/>
    <s v="West"/>
    <s v="Tablet"/>
    <s v="Electronics"/>
    <s v="Pooja Das"/>
    <n v="8"/>
    <n v="25000"/>
    <n v="20000"/>
    <n v="0.09"/>
    <n v="182000"/>
    <n v="160000"/>
    <n v="22000"/>
    <s v="UPI"/>
    <x v="1"/>
  </r>
  <r>
    <s v="ORD0904"/>
    <s v="CUST0904"/>
    <d v="2025-09-05T00:00:00"/>
    <s v="Divya Menon"/>
    <s v="New Delhi"/>
    <s v="Delhi"/>
    <s v="North"/>
    <s v="Monitor"/>
    <s v="Office"/>
    <s v="Priya Nair"/>
    <n v="6"/>
    <n v="18000"/>
    <n v="14000"/>
    <n v="0.23"/>
    <n v="83160"/>
    <n v="84000"/>
    <n v="-840"/>
    <s v="Net Banking"/>
    <x v="2"/>
  </r>
  <r>
    <s v="ORD0905"/>
    <s v="CUST0905"/>
    <d v="2024-01-11T00:00:00"/>
    <s v="Pooja Das"/>
    <s v="Kolkata"/>
    <s v="West Bengal"/>
    <s v="East"/>
    <s v="Mouse"/>
    <s v="Accessories"/>
    <s v="Amit Sharma"/>
    <n v="8"/>
    <n v="800"/>
    <n v="450"/>
    <n v="0.01"/>
    <n v="6336"/>
    <n v="3600"/>
    <n v="2736"/>
    <s v="Credit Card"/>
    <x v="1"/>
  </r>
  <r>
    <s v="ORD0906"/>
    <s v="CUST0906"/>
    <d v="2024-08-23T00:00:00"/>
    <s v="Arjun Mehta"/>
    <s v="Kolkata"/>
    <s v="West Bengal"/>
    <s v="East"/>
    <s v="Keyboard"/>
    <s v="Accessories"/>
    <s v="Sneha Patil"/>
    <n v="10"/>
    <n v="1500"/>
    <n v="900"/>
    <n v="0.06"/>
    <n v="14100"/>
    <n v="9000"/>
    <n v="5100"/>
    <s v="UPI"/>
    <x v="1"/>
  </r>
  <r>
    <s v="ORD0907"/>
    <s v="CUST0907"/>
    <d v="2025-05-18T00:00:00"/>
    <s v="Neha Gupta"/>
    <s v="Surat"/>
    <s v="Gujarat"/>
    <s v="West"/>
    <s v="Keyboard"/>
    <s v="Accessories"/>
    <s v="Neha Gupta"/>
    <n v="3"/>
    <n v="1500"/>
    <n v="900"/>
    <n v="0.14000000000000001"/>
    <n v="3870"/>
    <n v="2700"/>
    <n v="1170"/>
    <s v="Credit Card"/>
    <x v="0"/>
  </r>
  <r>
    <s v="ORD0908"/>
    <s v="CUST0908"/>
    <d v="2024-01-26T00:00:00"/>
    <s v="Rahul Sharma"/>
    <s v="Mumbai"/>
    <s v="Maharashtra"/>
    <s v="West"/>
    <s v="Smartwatch"/>
    <s v="Wearables"/>
    <s v="Amit Sharma"/>
    <n v="7"/>
    <n v="12000"/>
    <n v="8500"/>
    <n v="0.03"/>
    <n v="81480"/>
    <n v="59500"/>
    <n v="21980"/>
    <s v="Cash"/>
    <x v="1"/>
  </r>
  <r>
    <s v="ORD0909"/>
    <s v="CUST0909"/>
    <d v="2024-07-21T00:00:00"/>
    <s v="Vikram Singh"/>
    <s v="Ahmedabad"/>
    <s v="Gujarat"/>
    <s v="West"/>
    <s v="Keyboard"/>
    <s v="Accessories"/>
    <s v="Amit Sharma"/>
    <n v="7"/>
    <n v="1500"/>
    <n v="900"/>
    <n v="0.05"/>
    <n v="9975"/>
    <n v="6300"/>
    <n v="3675"/>
    <s v="Credit Card"/>
    <x v="0"/>
  </r>
  <r>
    <s v="ORD0910"/>
    <s v="CUST0910"/>
    <d v="2024-12-07T00:00:00"/>
    <s v="Divya Menon"/>
    <s v="Chennai"/>
    <s v="Tamil Nadu"/>
    <s v="South"/>
    <s v="Mouse"/>
    <s v="Accessories"/>
    <s v="Pooja Das"/>
    <n v="9"/>
    <n v="800"/>
    <n v="450"/>
    <n v="0.15"/>
    <n v="6120"/>
    <n v="4050"/>
    <n v="2070"/>
    <s v="Credit Card"/>
    <x v="1"/>
  </r>
  <r>
    <s v="ORD0911"/>
    <s v="CUST0911"/>
    <d v="2024-12-17T00:00:00"/>
    <s v="Rohit Verma"/>
    <s v="Jaipur"/>
    <s v="Rajasthan"/>
    <s v="North"/>
    <s v="Mouse"/>
    <s v="Accessories"/>
    <s v="Pooja Das"/>
    <n v="4"/>
    <n v="800"/>
    <n v="450"/>
    <n v="0.16"/>
    <n v="2688"/>
    <n v="1800"/>
    <n v="888"/>
    <s v="Cash"/>
    <x v="1"/>
  </r>
  <r>
    <s v="ORD0912"/>
    <s v="CUST0912"/>
    <d v="2025-03-09T00:00:00"/>
    <s v="Suresh Iyer"/>
    <s v="Mumbai"/>
    <s v="Maharashtra"/>
    <s v="West"/>
    <s v="Headphones"/>
    <s v="Accessories"/>
    <s v="Vikram Joshi"/>
    <n v="2"/>
    <n v="3000"/>
    <n v="1800"/>
    <n v="0.24"/>
    <n v="4560"/>
    <n v="3600"/>
    <n v="960"/>
    <s v="UPI"/>
    <x v="3"/>
  </r>
  <r>
    <s v="ORD0913"/>
    <s v="CUST0913"/>
    <d v="2025-07-25T00:00:00"/>
    <s v="Arjun Mehta"/>
    <s v="Pune"/>
    <s v="Maharashtra"/>
    <s v="West"/>
    <s v="Speaker"/>
    <s v="Electronics"/>
    <s v="Karan Singh"/>
    <n v="5"/>
    <n v="5000"/>
    <n v="3200"/>
    <n v="0.03"/>
    <n v="24250"/>
    <n v="16000"/>
    <n v="8250"/>
    <s v="UPI"/>
    <x v="2"/>
  </r>
  <r>
    <s v="ORD0914"/>
    <s v="CUST0914"/>
    <d v="2025-03-13T00:00:00"/>
    <s v="Sneha Nair"/>
    <s v="Kolkata"/>
    <s v="West Bengal"/>
    <s v="East"/>
    <s v="Headphones"/>
    <s v="Accessories"/>
    <s v="Karan Singh"/>
    <n v="9"/>
    <n v="3000"/>
    <n v="1800"/>
    <n v="0.24"/>
    <n v="20520"/>
    <n v="16200"/>
    <n v="4320"/>
    <s v="Credit Card"/>
    <x v="3"/>
  </r>
  <r>
    <s v="ORD0915"/>
    <s v="CUST0915"/>
    <d v="2025-10-10T00:00:00"/>
    <s v="Aisha Khan"/>
    <s v="Pune"/>
    <s v="Maharashtra"/>
    <s v="West"/>
    <s v="Speaker"/>
    <s v="Electronics"/>
    <s v="Priya Nair"/>
    <n v="10"/>
    <n v="5000"/>
    <n v="3200"/>
    <n v="0.02"/>
    <n v="49000"/>
    <n v="32000"/>
    <n v="17000"/>
    <s v="Debit Card"/>
    <x v="2"/>
  </r>
  <r>
    <s v="ORD0916"/>
    <s v="CUST0916"/>
    <d v="2024-05-01T00:00:00"/>
    <s v="Priya Patel"/>
    <s v="Kolkata"/>
    <s v="West Bengal"/>
    <s v="East"/>
    <s v="Laptop"/>
    <s v="Electronics"/>
    <s v="Priya Nair"/>
    <n v="2"/>
    <n v="65000"/>
    <n v="52000"/>
    <n v="0.16"/>
    <n v="109200"/>
    <n v="104000"/>
    <n v="5200"/>
    <s v="UPI"/>
    <x v="0"/>
  </r>
  <r>
    <s v="ORD0917"/>
    <s v="CUST0917"/>
    <d v="2025-11-28T00:00:00"/>
    <s v="Rohan Kulkarni"/>
    <s v="Hyderabad"/>
    <s v="Telangana"/>
    <s v="South"/>
    <s v="Headphones"/>
    <s v="Accessories"/>
    <s v="Priya Nair"/>
    <n v="5"/>
    <n v="3000"/>
    <n v="1800"/>
    <n v="0.19"/>
    <n v="12150"/>
    <n v="9000"/>
    <n v="3150"/>
    <s v="Cash"/>
    <x v="1"/>
  </r>
  <r>
    <s v="ORD0918"/>
    <s v="CUST0918"/>
    <d v="2024-10-16T00:00:00"/>
    <s v="Sneha Nair"/>
    <s v="Jaipur"/>
    <s v="Rajasthan"/>
    <s v="North"/>
    <s v="Monitor"/>
    <s v="Office"/>
    <s v="Pooja Das"/>
    <n v="5"/>
    <n v="18000"/>
    <n v="14000"/>
    <n v="0.13"/>
    <n v="78300"/>
    <n v="70000"/>
    <n v="8300"/>
    <s v="UPI"/>
    <x v="3"/>
  </r>
  <r>
    <s v="ORD0919"/>
    <s v="CUST0919"/>
    <d v="2024-10-21T00:00:00"/>
    <s v="Rohit Verma"/>
    <s v="Pune"/>
    <s v="Maharashtra"/>
    <s v="West"/>
    <s v="Monitor"/>
    <s v="Office"/>
    <s v="Priya Nair"/>
    <n v="8"/>
    <n v="18000"/>
    <n v="14000"/>
    <n v="0.3"/>
    <n v="100800"/>
    <n v="112000"/>
    <n v="-11200"/>
    <s v="Net Banking"/>
    <x v="0"/>
  </r>
  <r>
    <s v="ORD0920"/>
    <s v="CUST0920"/>
    <d v="2024-06-07T00:00:00"/>
    <s v="Karan Joshi"/>
    <s v="Ahmedabad"/>
    <s v="Gujarat"/>
    <s v="West"/>
    <s v="Speaker"/>
    <s v="Electronics"/>
    <s v="Karan Singh"/>
    <n v="3"/>
    <n v="5000"/>
    <n v="3200"/>
    <n v="0.12"/>
    <n v="13200"/>
    <n v="9600"/>
    <n v="3600"/>
    <s v="Debit Card"/>
    <x v="1"/>
  </r>
  <r>
    <s v="ORD0921"/>
    <s v="CUST0921"/>
    <d v="2025-05-01T00:00:00"/>
    <s v="Vikram Singh"/>
    <s v="Kolkata"/>
    <s v="West Bengal"/>
    <s v="East"/>
    <s v="Headphones"/>
    <s v="Accessories"/>
    <s v="Neha Gupta"/>
    <n v="3"/>
    <n v="3000"/>
    <n v="1800"/>
    <n v="0.28999999999999998"/>
    <n v="6390"/>
    <n v="5400"/>
    <n v="990"/>
    <s v="UPI"/>
    <x v="1"/>
  </r>
  <r>
    <s v="ORD0922"/>
    <s v="CUST0922"/>
    <d v="2025-09-21T00:00:00"/>
    <s v="Divya Menon"/>
    <s v="Mysuru"/>
    <s v="Karnataka"/>
    <s v="South"/>
    <s v="Headphones"/>
    <s v="Accessories"/>
    <s v="Arjun Rao"/>
    <n v="3"/>
    <n v="3000"/>
    <n v="1800"/>
    <n v="0.13"/>
    <n v="7830"/>
    <n v="5400"/>
    <n v="2430"/>
    <s v="Cash"/>
    <x v="2"/>
  </r>
  <r>
    <s v="ORD0923"/>
    <s v="CUST0923"/>
    <d v="2024-08-21T00:00:00"/>
    <s v="Amit Kumar"/>
    <s v="Bengaluru"/>
    <s v="Karnataka"/>
    <s v="South"/>
    <s v="Headphones"/>
    <s v="Accessories"/>
    <s v="Pooja Das"/>
    <n v="5"/>
    <n v="3000"/>
    <n v="1800"/>
    <n v="0.05"/>
    <n v="14250"/>
    <n v="9000"/>
    <n v="5250"/>
    <s v="Cash"/>
    <x v="2"/>
  </r>
  <r>
    <s v="ORD0924"/>
    <s v="CUST0924"/>
    <d v="2024-07-22T00:00:00"/>
    <s v="Anjali Rao"/>
    <s v="Mumbai"/>
    <s v="Maharashtra"/>
    <s v="West"/>
    <s v="Printer"/>
    <s v="Office"/>
    <s v="Anjali Mehta"/>
    <n v="9"/>
    <n v="15000"/>
    <n v="11500"/>
    <n v="0.18"/>
    <n v="110700.00000000001"/>
    <n v="103500"/>
    <n v="7200.0000000000146"/>
    <s v="UPI"/>
    <x v="3"/>
  </r>
  <r>
    <s v="ORD0925"/>
    <s v="CUST0925"/>
    <d v="2024-09-16T00:00:00"/>
    <s v="Deepika Roy"/>
    <s v="New Delhi"/>
    <s v="Delhi"/>
    <s v="North"/>
    <s v="Headphones"/>
    <s v="Accessories"/>
    <s v="Anjali Mehta"/>
    <n v="2"/>
    <n v="3000"/>
    <n v="1800"/>
    <n v="7.0000000000000007E-2"/>
    <n v="5580"/>
    <n v="3600"/>
    <n v="1980"/>
    <s v="Debit Card"/>
    <x v="0"/>
  </r>
  <r>
    <s v="ORD0926"/>
    <s v="CUST0926"/>
    <d v="2024-12-31T00:00:00"/>
    <s v="Rohit Verma"/>
    <s v="Kolkata"/>
    <s v="West Bengal"/>
    <s v="East"/>
    <s v="Monitor"/>
    <s v="Office"/>
    <s v="Anjali Mehta"/>
    <n v="7"/>
    <n v="18000"/>
    <n v="14000"/>
    <n v="0.06"/>
    <n v="118440"/>
    <n v="98000"/>
    <n v="20440"/>
    <s v="Credit Card"/>
    <x v="3"/>
  </r>
  <r>
    <s v="ORD0927"/>
    <s v="CUST0927"/>
    <d v="2024-04-03T00:00:00"/>
    <s v="Rahul Sharma"/>
    <s v="Warangal"/>
    <s v="Telangana"/>
    <s v="South"/>
    <s v="Headphones"/>
    <s v="Accessories"/>
    <s v="Neha Gupta"/>
    <n v="6"/>
    <n v="3000"/>
    <n v="1800"/>
    <n v="0.1"/>
    <n v="16200"/>
    <n v="10800"/>
    <n v="5400"/>
    <s v="Debit Card"/>
    <x v="0"/>
  </r>
  <r>
    <s v="ORD0928"/>
    <s v="CUST0928"/>
    <d v="2024-11-18T00:00:00"/>
    <s v="Vikram Singh"/>
    <s v="Hyderabad"/>
    <s v="Telangana"/>
    <s v="South"/>
    <s v="Speaker"/>
    <s v="Electronics"/>
    <s v="Neha Gupta"/>
    <n v="8"/>
    <n v="5000"/>
    <n v="3200"/>
    <n v="0.19"/>
    <n v="32400.000000000004"/>
    <n v="25600"/>
    <n v="6800.0000000000036"/>
    <s v="Credit Card"/>
    <x v="2"/>
  </r>
  <r>
    <s v="ORD0929"/>
    <s v="CUST0929"/>
    <d v="2024-03-02T00:00:00"/>
    <s v="Rohan Kulkarni"/>
    <s v="Mysuru"/>
    <s v="Karnataka"/>
    <s v="South"/>
    <s v="Smartwatch"/>
    <s v="Wearables"/>
    <s v="Sneha Patil"/>
    <n v="4"/>
    <n v="12000"/>
    <n v="8500"/>
    <n v="0.02"/>
    <n v="47040"/>
    <n v="34000"/>
    <n v="13040"/>
    <s v="Net Banking"/>
    <x v="2"/>
  </r>
  <r>
    <s v="ORD0930"/>
    <s v="CUST0930"/>
    <d v="2024-04-22T00:00:00"/>
    <s v="Meera Shah"/>
    <s v="Ahmedabad"/>
    <s v="Gujarat"/>
    <s v="West"/>
    <s v="Tablet"/>
    <s v="Electronics"/>
    <s v="Anjali Mehta"/>
    <n v="5"/>
    <n v="25000"/>
    <n v="20000"/>
    <n v="0.12"/>
    <n v="110000"/>
    <n v="100000"/>
    <n v="10000"/>
    <s v="Credit Card"/>
    <x v="3"/>
  </r>
  <r>
    <s v="ORD0931"/>
    <s v="CUST0931"/>
    <d v="2024-12-25T00:00:00"/>
    <s v="Aditya Mishra"/>
    <s v="Coimbatore"/>
    <s v="Tamil Nadu"/>
    <s v="South"/>
    <s v="Headphones"/>
    <s v="Accessories"/>
    <s v="Karan Singh"/>
    <n v="6"/>
    <n v="3000"/>
    <n v="1800"/>
    <n v="0.14000000000000001"/>
    <n v="15480"/>
    <n v="10800"/>
    <n v="4680"/>
    <s v="UPI"/>
    <x v="2"/>
  </r>
  <r>
    <s v="ORD0932"/>
    <s v="CUST0932"/>
    <d v="2025-03-10T00:00:00"/>
    <s v="Rohan Kulkarni"/>
    <s v="Coimbatore"/>
    <s v="Tamil Nadu"/>
    <s v="South"/>
    <s v="Laptop"/>
    <s v="Electronics"/>
    <s v="Karan Singh"/>
    <n v="10"/>
    <n v="65000"/>
    <n v="52000"/>
    <n v="0.23"/>
    <n v="500500"/>
    <n v="520000"/>
    <n v="-19500"/>
    <s v="Cash"/>
    <x v="0"/>
  </r>
  <r>
    <s v="ORD0933"/>
    <s v="CUST0933"/>
    <d v="2025-09-20T00:00:00"/>
    <s v="Divya Menon"/>
    <s v="Pune"/>
    <s v="Maharashtra"/>
    <s v="West"/>
    <s v="Tablet"/>
    <s v="Electronics"/>
    <s v="Sneha Patil"/>
    <n v="6"/>
    <n v="25000"/>
    <n v="20000"/>
    <n v="0.18"/>
    <n v="123000.00000000001"/>
    <n v="120000"/>
    <n v="3000.0000000000146"/>
    <s v="Cash"/>
    <x v="1"/>
  </r>
  <r>
    <s v="ORD0934"/>
    <s v="CUST0934"/>
    <d v="2024-10-22T00:00:00"/>
    <s v="Kavya Reddy"/>
    <s v="Mumbai"/>
    <s v="Maharashtra"/>
    <s v="West"/>
    <s v="Headphones"/>
    <s v="Accessories"/>
    <s v="Amit Sharma"/>
    <n v="8"/>
    <n v="3000"/>
    <n v="1800"/>
    <n v="0.04"/>
    <n v="23040"/>
    <n v="14400"/>
    <n v="8640"/>
    <s v="Credit Card"/>
    <x v="0"/>
  </r>
  <r>
    <s v="ORD0935"/>
    <s v="CUST0935"/>
    <d v="2025-02-01T00:00:00"/>
    <s v="Sneha Nair"/>
    <s v="New Delhi"/>
    <s v="Delhi"/>
    <s v="North"/>
    <s v="Smartphone"/>
    <s v="Electronics"/>
    <s v="Karan Singh"/>
    <n v="2"/>
    <n v="35000"/>
    <n v="28000"/>
    <n v="0.06"/>
    <n v="65800"/>
    <n v="56000"/>
    <n v="9800"/>
    <s v="Credit Card"/>
    <x v="1"/>
  </r>
  <r>
    <s v="ORD0936"/>
    <s v="CUST0936"/>
    <d v="2024-01-05T00:00:00"/>
    <s v="Neha Gupta"/>
    <s v="Coimbatore"/>
    <s v="Tamil Nadu"/>
    <s v="South"/>
    <s v="Headphones"/>
    <s v="Accessories"/>
    <s v="Amit Sharma"/>
    <n v="9"/>
    <n v="3000"/>
    <n v="1800"/>
    <n v="0.27"/>
    <n v="19710"/>
    <n v="16200"/>
    <n v="3510"/>
    <s v="UPI"/>
    <x v="1"/>
  </r>
  <r>
    <s v="ORD0937"/>
    <s v="CUST0937"/>
    <d v="2025-04-13T00:00:00"/>
    <s v="Deepika Roy"/>
    <s v="Ahmedabad"/>
    <s v="Gujarat"/>
    <s v="West"/>
    <s v="Speaker"/>
    <s v="Electronics"/>
    <s v="Karan Singh"/>
    <n v="4"/>
    <n v="5000"/>
    <n v="3200"/>
    <n v="0.03"/>
    <n v="19400"/>
    <n v="12800"/>
    <n v="6600"/>
    <s v="Net Banking"/>
    <x v="1"/>
  </r>
  <r>
    <s v="ORD0938"/>
    <s v="CUST0938"/>
    <d v="2024-09-16T00:00:00"/>
    <s v="Rahul Sharma"/>
    <s v="Chennai"/>
    <s v="Tamil Nadu"/>
    <s v="South"/>
    <s v="Tablet"/>
    <s v="Electronics"/>
    <s v="Amit Sharma"/>
    <n v="9"/>
    <n v="25000"/>
    <n v="20000"/>
    <n v="0.09"/>
    <n v="204750"/>
    <n v="180000"/>
    <n v="24750"/>
    <s v="UPI"/>
    <x v="0"/>
  </r>
  <r>
    <s v="ORD0939"/>
    <s v="CUST0939"/>
    <d v="2024-11-21T00:00:00"/>
    <s v="Aditya Mishra"/>
    <s v="Chennai"/>
    <s v="Tamil Nadu"/>
    <s v="South"/>
    <s v="Keyboard"/>
    <s v="Accessories"/>
    <s v="Karan Singh"/>
    <n v="9"/>
    <n v="1500"/>
    <n v="900"/>
    <n v="0.12"/>
    <n v="11880"/>
    <n v="8100"/>
    <n v="3780"/>
    <s v="Credit Card"/>
    <x v="0"/>
  </r>
  <r>
    <s v="ORD0940"/>
    <s v="CUST0940"/>
    <d v="2025-03-06T00:00:00"/>
    <s v="Meera Shah"/>
    <s v="New Delhi"/>
    <s v="Delhi"/>
    <s v="North"/>
    <s v="Speaker"/>
    <s v="Electronics"/>
    <s v="Neha Gupta"/>
    <n v="4"/>
    <n v="5000"/>
    <n v="3200"/>
    <n v="0.28999999999999998"/>
    <n v="14200"/>
    <n v="12800"/>
    <n v="1400"/>
    <s v="Debit Card"/>
    <x v="0"/>
  </r>
  <r>
    <s v="ORD0941"/>
    <s v="CUST0941"/>
    <d v="2025-11-17T00:00:00"/>
    <s v="Neha Gupta"/>
    <s v="Bengaluru"/>
    <s v="Karnataka"/>
    <s v="South"/>
    <s v="Mouse"/>
    <s v="Accessories"/>
    <s v="Neha Gupta"/>
    <n v="8"/>
    <n v="800"/>
    <n v="450"/>
    <n v="0.06"/>
    <n v="6016"/>
    <n v="3600"/>
    <n v="2416"/>
    <s v="Credit Card"/>
    <x v="3"/>
  </r>
  <r>
    <s v="ORD0942"/>
    <s v="CUST0942"/>
    <d v="2024-05-20T00:00:00"/>
    <s v="Pooja Das"/>
    <s v="Bengaluru"/>
    <s v="Karnataka"/>
    <s v="South"/>
    <s v="Laptop"/>
    <s v="Electronics"/>
    <s v="Anjali Mehta"/>
    <n v="4"/>
    <n v="65000"/>
    <n v="52000"/>
    <n v="0.28000000000000003"/>
    <n v="187200"/>
    <n v="208000"/>
    <n v="-20800"/>
    <s v="Net Banking"/>
    <x v="0"/>
  </r>
  <r>
    <s v="ORD0943"/>
    <s v="CUST0943"/>
    <d v="2025-03-21T00:00:00"/>
    <s v="Sneha Nair"/>
    <s v="Pune"/>
    <s v="Maharashtra"/>
    <s v="West"/>
    <s v="Smartwatch"/>
    <s v="Wearables"/>
    <s v="Anjali Mehta"/>
    <n v="10"/>
    <n v="12000"/>
    <n v="8500"/>
    <n v="0"/>
    <n v="120000"/>
    <n v="85000"/>
    <n v="35000"/>
    <s v="UPI"/>
    <x v="3"/>
  </r>
  <r>
    <s v="ORD0944"/>
    <s v="CUST0944"/>
    <d v="2025-03-19T00:00:00"/>
    <s v="Pooja Das"/>
    <s v="Pune"/>
    <s v="Maharashtra"/>
    <s v="West"/>
    <s v="Smartwatch"/>
    <s v="Wearables"/>
    <s v="Pooja Das"/>
    <n v="9"/>
    <n v="12000"/>
    <n v="8500"/>
    <n v="0.28999999999999998"/>
    <n v="76680"/>
    <n v="76500"/>
    <n v="180"/>
    <s v="Cash"/>
    <x v="2"/>
  </r>
  <r>
    <s v="ORD0945"/>
    <s v="CUST0945"/>
    <d v="2025-05-10T00:00:00"/>
    <s v="Aditya Mishra"/>
    <s v="Surat"/>
    <s v="Gujarat"/>
    <s v="West"/>
    <s v="Mouse"/>
    <s v="Accessories"/>
    <s v="Neha Gupta"/>
    <n v="3"/>
    <n v="800"/>
    <n v="450"/>
    <n v="0.13"/>
    <n v="2088"/>
    <n v="1350"/>
    <n v="738"/>
    <s v="Debit Card"/>
    <x v="1"/>
  </r>
  <r>
    <s v="ORD0946"/>
    <s v="CUST0946"/>
    <d v="2025-01-31T00:00:00"/>
    <s v="Suresh Iyer"/>
    <s v="Ahmedabad"/>
    <s v="Gujarat"/>
    <s v="West"/>
    <s v="Tablet"/>
    <s v="Electronics"/>
    <s v="Vikram Joshi"/>
    <n v="5"/>
    <n v="25000"/>
    <n v="20000"/>
    <n v="0.04"/>
    <n v="120000"/>
    <n v="100000"/>
    <n v="20000"/>
    <s v="Debit Card"/>
    <x v="3"/>
  </r>
  <r>
    <s v="ORD0947"/>
    <s v="CUST0947"/>
    <d v="2025-08-08T00:00:00"/>
    <s v="Rohit Verma"/>
    <s v="New Delhi"/>
    <s v="Delhi"/>
    <s v="North"/>
    <s v="Printer"/>
    <s v="Office"/>
    <s v="Karan Singh"/>
    <n v="10"/>
    <n v="15000"/>
    <n v="11500"/>
    <n v="0.18"/>
    <n v="123000.00000000001"/>
    <n v="115000"/>
    <n v="8000.0000000000146"/>
    <s v="Credit Card"/>
    <x v="3"/>
  </r>
  <r>
    <s v="ORD0948"/>
    <s v="CUST0948"/>
    <d v="2025-04-02T00:00:00"/>
    <s v="Meera Shah"/>
    <s v="Chennai"/>
    <s v="Tamil Nadu"/>
    <s v="South"/>
    <s v="Speaker"/>
    <s v="Electronics"/>
    <s v="Amit Sharma"/>
    <n v="1"/>
    <n v="5000"/>
    <n v="3200"/>
    <n v="0.28000000000000003"/>
    <n v="3600"/>
    <n v="3200"/>
    <n v="400"/>
    <s v="Debit Card"/>
    <x v="3"/>
  </r>
  <r>
    <s v="ORD0949"/>
    <s v="CUST0949"/>
    <d v="2025-04-01T00:00:00"/>
    <s v="Deepika Roy"/>
    <s v="Coimbatore"/>
    <s v="Tamil Nadu"/>
    <s v="South"/>
    <s v="Smartphone"/>
    <s v="Electronics"/>
    <s v="Anjali Mehta"/>
    <n v="9"/>
    <n v="35000"/>
    <n v="28000"/>
    <n v="0.08"/>
    <n v="289800"/>
    <n v="252000"/>
    <n v="37800"/>
    <s v="UPI"/>
    <x v="1"/>
  </r>
  <r>
    <s v="ORD0950"/>
    <s v="CUST0950"/>
    <d v="2024-12-25T00:00:00"/>
    <s v="Neha Gupta"/>
    <s v="Ahmedabad"/>
    <s v="Gujarat"/>
    <s v="West"/>
    <s v="Monitor"/>
    <s v="Office"/>
    <s v="Sneha Patil"/>
    <n v="7"/>
    <n v="18000"/>
    <n v="14000"/>
    <n v="0.25"/>
    <n v="94500"/>
    <n v="98000"/>
    <n v="-3500"/>
    <s v="Net Banking"/>
    <x v="0"/>
  </r>
  <r>
    <s v="ORD0951"/>
    <s v="CUST0951"/>
    <d v="2024-05-05T00:00:00"/>
    <s v="Suresh Iyer"/>
    <s v="Mysuru"/>
    <s v="Karnataka"/>
    <s v="South"/>
    <s v="Laptop"/>
    <s v="Electronics"/>
    <s v="Sneha Patil"/>
    <n v="5"/>
    <n v="65000"/>
    <n v="52000"/>
    <n v="0.18"/>
    <n v="266500"/>
    <n v="260000"/>
    <n v="6500"/>
    <s v="Cash"/>
    <x v="0"/>
  </r>
  <r>
    <s v="ORD0952"/>
    <s v="CUST0952"/>
    <d v="2025-01-26T00:00:00"/>
    <s v="Kavya Reddy"/>
    <s v="Mysuru"/>
    <s v="Karnataka"/>
    <s v="South"/>
    <s v="Keyboard"/>
    <s v="Accessories"/>
    <s v="Sneha Patil"/>
    <n v="6"/>
    <n v="1500"/>
    <n v="900"/>
    <n v="7.0000000000000007E-2"/>
    <n v="8370"/>
    <n v="5400"/>
    <n v="2970"/>
    <s v="Net Banking"/>
    <x v="1"/>
  </r>
  <r>
    <s v="ORD0953"/>
    <s v="CUST0953"/>
    <d v="2025-10-13T00:00:00"/>
    <s v="Aisha Khan"/>
    <s v="Kolkata"/>
    <s v="West Bengal"/>
    <s v="East"/>
    <s v="Smartwatch"/>
    <s v="Wearables"/>
    <s v="Pooja Das"/>
    <n v="6"/>
    <n v="12000"/>
    <n v="8500"/>
    <n v="0.16"/>
    <n v="60480"/>
    <n v="51000"/>
    <n v="9480"/>
    <s v="Cash"/>
    <x v="0"/>
  </r>
  <r>
    <s v="ORD0954"/>
    <s v="CUST0954"/>
    <d v="2025-01-10T00:00:00"/>
    <s v="Meera Shah"/>
    <s v="Jaipur"/>
    <s v="Rajasthan"/>
    <s v="North"/>
    <s v="Printer"/>
    <s v="Office"/>
    <s v="Anjali Mehta"/>
    <n v="4"/>
    <n v="15000"/>
    <n v="11500"/>
    <n v="0.15"/>
    <n v="51000"/>
    <n v="46000"/>
    <n v="5000"/>
    <s v="Debit Card"/>
    <x v="2"/>
  </r>
  <r>
    <s v="ORD0955"/>
    <s v="CUST0955"/>
    <d v="2024-10-10T00:00:00"/>
    <s v="Vikram Singh"/>
    <s v="Mumbai"/>
    <s v="Maharashtra"/>
    <s v="West"/>
    <s v="Speaker"/>
    <s v="Electronics"/>
    <s v="Pooja Das"/>
    <n v="3"/>
    <n v="5000"/>
    <n v="3200"/>
    <n v="0.13"/>
    <n v="13050"/>
    <n v="9600"/>
    <n v="3450"/>
    <s v="UPI"/>
    <x v="0"/>
  </r>
  <r>
    <s v="ORD0956"/>
    <s v="CUST0956"/>
    <d v="2024-12-15T00:00:00"/>
    <s v="Rahul Sharma"/>
    <s v="Pune"/>
    <s v="Maharashtra"/>
    <s v="West"/>
    <s v="Smartphone"/>
    <s v="Electronics"/>
    <s v="Priya Nair"/>
    <n v="1"/>
    <n v="35000"/>
    <n v="28000"/>
    <n v="7.0000000000000007E-2"/>
    <n v="32549.999999999996"/>
    <n v="28000"/>
    <n v="4549.9999999999964"/>
    <s v="Credit Card"/>
    <x v="2"/>
  </r>
  <r>
    <s v="ORD0957"/>
    <s v="CUST0957"/>
    <d v="2025-01-28T00:00:00"/>
    <s v="Pooja Das"/>
    <s v="Ahmedabad"/>
    <s v="Gujarat"/>
    <s v="West"/>
    <s v="Speaker"/>
    <s v="Electronics"/>
    <s v="Karan Singh"/>
    <n v="6"/>
    <n v="5000"/>
    <n v="3200"/>
    <n v="0.26"/>
    <n v="22200"/>
    <n v="19200"/>
    <n v="3000"/>
    <s v="Debit Card"/>
    <x v="1"/>
  </r>
  <r>
    <s v="ORD0958"/>
    <s v="CUST0958"/>
    <d v="2024-09-26T00:00:00"/>
    <s v="Kavya Reddy"/>
    <s v="Mysuru"/>
    <s v="Karnataka"/>
    <s v="South"/>
    <s v="Mouse"/>
    <s v="Accessories"/>
    <s v="Karan Singh"/>
    <n v="8"/>
    <n v="800"/>
    <n v="450"/>
    <n v="0.26"/>
    <n v="4736"/>
    <n v="3600"/>
    <n v="1136"/>
    <s v="UPI"/>
    <x v="2"/>
  </r>
  <r>
    <s v="ORD0959"/>
    <s v="CUST0959"/>
    <d v="2025-02-12T00:00:00"/>
    <s v="Nikhil Jain"/>
    <s v="Pune"/>
    <s v="Maharashtra"/>
    <s v="West"/>
    <s v="Speaker"/>
    <s v="Electronics"/>
    <s v="Anjali Mehta"/>
    <n v="8"/>
    <n v="5000"/>
    <n v="3200"/>
    <n v="0.2"/>
    <n v="32000"/>
    <n v="25600"/>
    <n v="6400"/>
    <s v="Cash"/>
    <x v="1"/>
  </r>
  <r>
    <s v="ORD0960"/>
    <s v="CUST0960"/>
    <d v="2024-12-22T00:00:00"/>
    <s v="Aditya Mishra"/>
    <s v="New Delhi"/>
    <s v="Delhi"/>
    <s v="North"/>
    <s v="Mouse"/>
    <s v="Accessories"/>
    <s v="Rahul Verma"/>
    <n v="4"/>
    <n v="800"/>
    <n v="450"/>
    <n v="0.2"/>
    <n v="2560"/>
    <n v="1800"/>
    <n v="760"/>
    <s v="UPI"/>
    <x v="2"/>
  </r>
  <r>
    <s v="ORD0961"/>
    <s v="CUST0961"/>
    <d v="2024-11-06T00:00:00"/>
    <s v="Priya Patel"/>
    <s v="Coimbatore"/>
    <s v="Tamil Nadu"/>
    <s v="South"/>
    <s v="Mouse"/>
    <s v="Accessories"/>
    <s v="Arjun Rao"/>
    <n v="5"/>
    <n v="800"/>
    <n v="450"/>
    <n v="0.19"/>
    <n v="3240"/>
    <n v="2250"/>
    <n v="990"/>
    <s v="Net Banking"/>
    <x v="0"/>
  </r>
  <r>
    <s v="ORD0962"/>
    <s v="CUST0962"/>
    <d v="2024-04-04T00:00:00"/>
    <s v="Rohit Verma"/>
    <s v="Bengaluru"/>
    <s v="Karnataka"/>
    <s v="South"/>
    <s v="Speaker"/>
    <s v="Electronics"/>
    <s v="Pooja Das"/>
    <n v="1"/>
    <n v="5000"/>
    <n v="3200"/>
    <n v="0.1"/>
    <n v="4500"/>
    <n v="3200"/>
    <n v="1300"/>
    <s v="Cash"/>
    <x v="3"/>
  </r>
  <r>
    <s v="ORD0963"/>
    <s v="CUST0963"/>
    <d v="2024-03-30T00:00:00"/>
    <s v="Deepika Roy"/>
    <s v="Chennai"/>
    <s v="Tamil Nadu"/>
    <s v="South"/>
    <s v="Monitor"/>
    <s v="Office"/>
    <s v="Rahul Verma"/>
    <n v="10"/>
    <n v="18000"/>
    <n v="14000"/>
    <n v="0.21"/>
    <n v="142200"/>
    <n v="140000"/>
    <n v="2200"/>
    <s v="Debit Card"/>
    <x v="0"/>
  </r>
  <r>
    <s v="ORD0964"/>
    <s v="CUST0964"/>
    <d v="2025-05-22T00:00:00"/>
    <s v="Priya Patel"/>
    <s v="Surat"/>
    <s v="Gujarat"/>
    <s v="West"/>
    <s v="Keyboard"/>
    <s v="Accessories"/>
    <s v="Anjali Mehta"/>
    <n v="10"/>
    <n v="1500"/>
    <n v="900"/>
    <n v="0.03"/>
    <n v="14550"/>
    <n v="9000"/>
    <n v="5550"/>
    <s v="Credit Card"/>
    <x v="2"/>
  </r>
  <r>
    <s v="ORD0965"/>
    <s v="CUST0965"/>
    <d v="2025-09-03T00:00:00"/>
    <s v="Aisha Khan"/>
    <s v="Surat"/>
    <s v="Gujarat"/>
    <s v="West"/>
    <s v="Printer"/>
    <s v="Office"/>
    <s v="Vikram Joshi"/>
    <n v="8"/>
    <n v="15000"/>
    <n v="11500"/>
    <n v="0.06"/>
    <n v="112800"/>
    <n v="92000"/>
    <n v="20800"/>
    <s v="UPI"/>
    <x v="2"/>
  </r>
  <r>
    <s v="ORD0966"/>
    <s v="CUST0966"/>
    <d v="2024-05-29T00:00:00"/>
    <s v="Amit Kumar"/>
    <s v="Ahmedabad"/>
    <s v="Gujarat"/>
    <s v="West"/>
    <s v="Smartphone"/>
    <s v="Electronics"/>
    <s v="Rahul Verma"/>
    <n v="6"/>
    <n v="35000"/>
    <n v="28000"/>
    <n v="0.28999999999999998"/>
    <n v="149100"/>
    <n v="168000"/>
    <n v="-18900"/>
    <s v="Net Banking"/>
    <x v="2"/>
  </r>
  <r>
    <s v="ORD0967"/>
    <s v="CUST0967"/>
    <d v="2025-04-20T00:00:00"/>
    <s v="Aditya Mishra"/>
    <s v="Bengaluru"/>
    <s v="Karnataka"/>
    <s v="South"/>
    <s v="Keyboard"/>
    <s v="Accessories"/>
    <s v="Rahul Verma"/>
    <n v="9"/>
    <n v="1500"/>
    <n v="900"/>
    <n v="0.08"/>
    <n v="12420"/>
    <n v="8100"/>
    <n v="4320"/>
    <s v="Debit Card"/>
    <x v="0"/>
  </r>
  <r>
    <s v="ORD0968"/>
    <s v="CUST0968"/>
    <d v="2025-03-18T00:00:00"/>
    <s v="Rohan Kulkarni"/>
    <s v="New Delhi"/>
    <s v="Delhi"/>
    <s v="North"/>
    <s v="Headphones"/>
    <s v="Accessories"/>
    <s v="Anjali Mehta"/>
    <n v="3"/>
    <n v="3000"/>
    <n v="1800"/>
    <n v="0.27"/>
    <n v="6570"/>
    <n v="5400"/>
    <n v="1170"/>
    <s v="Debit Card"/>
    <x v="0"/>
  </r>
  <r>
    <s v="ORD0969"/>
    <s v="CUST0969"/>
    <d v="2025-11-09T00:00:00"/>
    <s v="Vikram Singh"/>
    <s v="Pune"/>
    <s v="Maharashtra"/>
    <s v="West"/>
    <s v="Monitor"/>
    <s v="Office"/>
    <s v="Karan Singh"/>
    <n v="5"/>
    <n v="18000"/>
    <n v="14000"/>
    <n v="0.26"/>
    <n v="66600"/>
    <n v="70000"/>
    <n v="-3400"/>
    <s v="UPI"/>
    <x v="0"/>
  </r>
  <r>
    <s v="ORD0970"/>
    <s v="CUST0970"/>
    <d v="2025-12-20T00:00:00"/>
    <s v="Nikhil Jain"/>
    <s v="Bengaluru"/>
    <s v="Karnataka"/>
    <s v="South"/>
    <s v="Printer"/>
    <s v="Office"/>
    <s v="Anjali Mehta"/>
    <n v="3"/>
    <n v="15000"/>
    <n v="11500"/>
    <n v="0.08"/>
    <n v="41400"/>
    <n v="34500"/>
    <n v="6900"/>
    <s v="Debit Card"/>
    <x v="0"/>
  </r>
  <r>
    <s v="ORD0971"/>
    <s v="CUST0971"/>
    <d v="2025-09-17T00:00:00"/>
    <s v="Suresh Iyer"/>
    <s v="Ahmedabad"/>
    <s v="Gujarat"/>
    <s v="West"/>
    <s v="Keyboard"/>
    <s v="Accessories"/>
    <s v="Karan Singh"/>
    <n v="9"/>
    <n v="1500"/>
    <n v="900"/>
    <n v="0.08"/>
    <n v="12420"/>
    <n v="8100"/>
    <n v="4320"/>
    <s v="Debit Card"/>
    <x v="3"/>
  </r>
  <r>
    <s v="ORD0972"/>
    <s v="CUST0972"/>
    <d v="2025-03-31T00:00:00"/>
    <s v="Karan Joshi"/>
    <s v="Surat"/>
    <s v="Gujarat"/>
    <s v="West"/>
    <s v="Mouse"/>
    <s v="Accessories"/>
    <s v="Vikram Joshi"/>
    <n v="6"/>
    <n v="800"/>
    <n v="450"/>
    <n v="0.1"/>
    <n v="4320"/>
    <n v="2700"/>
    <n v="1620"/>
    <s v="Credit Card"/>
    <x v="2"/>
  </r>
  <r>
    <s v="ORD0973"/>
    <s v="CUST0973"/>
    <d v="2024-10-14T00:00:00"/>
    <s v="Meera Shah"/>
    <s v="Warangal"/>
    <s v="Telangana"/>
    <s v="South"/>
    <s v="Smartphone"/>
    <s v="Electronics"/>
    <s v="Rahul Verma"/>
    <n v="2"/>
    <n v="35000"/>
    <n v="28000"/>
    <n v="0.16"/>
    <n v="58800"/>
    <n v="56000"/>
    <n v="2800"/>
    <s v="Net Banking"/>
    <x v="2"/>
  </r>
  <r>
    <s v="ORD0974"/>
    <s v="CUST0974"/>
    <d v="2025-04-02T00:00:00"/>
    <s v="Nikhil Jain"/>
    <s v="Mysuru"/>
    <s v="Karnataka"/>
    <s v="South"/>
    <s v="Laptop"/>
    <s v="Electronics"/>
    <s v="Neha Gupta"/>
    <n v="1"/>
    <n v="65000"/>
    <n v="52000"/>
    <n v="0.09"/>
    <n v="59150"/>
    <n v="52000"/>
    <n v="7150"/>
    <s v="Cash"/>
    <x v="3"/>
  </r>
  <r>
    <s v="ORD0975"/>
    <s v="CUST0975"/>
    <d v="2025-11-29T00:00:00"/>
    <s v="Aisha Khan"/>
    <s v="Chennai"/>
    <s v="Tamil Nadu"/>
    <s v="South"/>
    <s v="Printer"/>
    <s v="Office"/>
    <s v="Karan Singh"/>
    <n v="4"/>
    <n v="15000"/>
    <n v="11500"/>
    <n v="0.22"/>
    <n v="46800"/>
    <n v="46000"/>
    <n v="800"/>
    <s v="Cash"/>
    <x v="2"/>
  </r>
  <r>
    <s v="ORD0976"/>
    <s v="CUST0976"/>
    <d v="2025-08-19T00:00:00"/>
    <s v="Divya Menon"/>
    <s v="Bengaluru"/>
    <s v="Karnataka"/>
    <s v="South"/>
    <s v="Printer"/>
    <s v="Office"/>
    <s v="Karan Singh"/>
    <n v="6"/>
    <n v="15000"/>
    <n v="11500"/>
    <n v="0.24"/>
    <n v="68400"/>
    <n v="69000"/>
    <n v="-600"/>
    <s v="Net Banking"/>
    <x v="2"/>
  </r>
  <r>
    <s v="ORD0977"/>
    <s v="CUST0977"/>
    <d v="2025-03-18T00:00:00"/>
    <s v="Rahul Sharma"/>
    <s v="Hyderabad"/>
    <s v="Telangana"/>
    <s v="South"/>
    <s v="Smartwatch"/>
    <s v="Wearables"/>
    <s v="Amit Sharma"/>
    <n v="9"/>
    <n v="12000"/>
    <n v="8500"/>
    <n v="0.01"/>
    <n v="106920"/>
    <n v="76500"/>
    <n v="30420"/>
    <s v="Debit Card"/>
    <x v="1"/>
  </r>
  <r>
    <s v="ORD0978"/>
    <s v="CUST0978"/>
    <d v="2025-06-20T00:00:00"/>
    <s v="Aditya Mishra"/>
    <s v="Kolkata"/>
    <s v="West Bengal"/>
    <s v="East"/>
    <s v="Tablet"/>
    <s v="Electronics"/>
    <s v="Anjali Mehta"/>
    <n v="7"/>
    <n v="25000"/>
    <n v="20000"/>
    <n v="0.22"/>
    <n v="136500"/>
    <n v="140000"/>
    <n v="-3500"/>
    <s v="Net Banking"/>
    <x v="2"/>
  </r>
  <r>
    <s v="ORD0979"/>
    <s v="CUST0979"/>
    <d v="2025-04-23T00:00:00"/>
    <s v="Vikram Singh"/>
    <s v="Mysuru"/>
    <s v="Karnataka"/>
    <s v="South"/>
    <s v="Tablet"/>
    <s v="Electronics"/>
    <s v="Pooja Das"/>
    <n v="2"/>
    <n v="25000"/>
    <n v="20000"/>
    <n v="0.24"/>
    <n v="38000"/>
    <n v="40000"/>
    <n v="-2000"/>
    <s v="Cash"/>
    <x v="3"/>
  </r>
  <r>
    <s v="ORD0980"/>
    <s v="CUST0980"/>
    <d v="2025-05-05T00:00:00"/>
    <s v="Vikram Singh"/>
    <s v="Warangal"/>
    <s v="Telangana"/>
    <s v="South"/>
    <s v="Smartphone"/>
    <s v="Electronics"/>
    <s v="Anjali Mehta"/>
    <n v="10"/>
    <n v="35000"/>
    <n v="28000"/>
    <n v="7.0000000000000007E-2"/>
    <n v="325500"/>
    <n v="280000"/>
    <n v="45500"/>
    <s v="Net Banking"/>
    <x v="0"/>
  </r>
  <r>
    <s v="ORD0981"/>
    <s v="CUST0981"/>
    <d v="2024-05-31T00:00:00"/>
    <s v="Rohan Kulkarni"/>
    <s v="Hyderabad"/>
    <s v="Telangana"/>
    <s v="South"/>
    <s v="Printer"/>
    <s v="Office"/>
    <s v="Karan Singh"/>
    <n v="10"/>
    <n v="15000"/>
    <n v="11500"/>
    <n v="0.12"/>
    <n v="132000"/>
    <n v="115000"/>
    <n v="17000"/>
    <s v="Net Banking"/>
    <x v="2"/>
  </r>
  <r>
    <s v="ORD0982"/>
    <s v="CUST0982"/>
    <d v="2025-12-11T00:00:00"/>
    <s v="Vikram Singh"/>
    <s v="Pune"/>
    <s v="Maharashtra"/>
    <s v="West"/>
    <s v="Speaker"/>
    <s v="Electronics"/>
    <s v="Amit Sharma"/>
    <n v="2"/>
    <n v="5000"/>
    <n v="3200"/>
    <n v="0.12"/>
    <n v="8800"/>
    <n v="6400"/>
    <n v="2400"/>
    <s v="Cash"/>
    <x v="1"/>
  </r>
  <r>
    <s v="ORD0983"/>
    <s v="CUST0983"/>
    <d v="2024-12-25T00:00:00"/>
    <s v="Vikram Singh"/>
    <s v="Pune"/>
    <s v="Maharashtra"/>
    <s v="West"/>
    <s v="Laptop"/>
    <s v="Electronics"/>
    <s v="Vikram Joshi"/>
    <n v="2"/>
    <n v="65000"/>
    <n v="52000"/>
    <n v="0.28000000000000003"/>
    <n v="93600"/>
    <n v="104000"/>
    <n v="-10400"/>
    <s v="Credit Card"/>
    <x v="2"/>
  </r>
  <r>
    <s v="ORD0984"/>
    <s v="CUST0984"/>
    <d v="2024-05-17T00:00:00"/>
    <s v="Arjun Mehta"/>
    <s v="Pune"/>
    <s v="Maharashtra"/>
    <s v="West"/>
    <s v="Mouse"/>
    <s v="Accessories"/>
    <s v="Vikram Joshi"/>
    <n v="3"/>
    <n v="800"/>
    <n v="450"/>
    <n v="0"/>
    <n v="2400"/>
    <n v="1350"/>
    <n v="1050"/>
    <s v="UPI"/>
    <x v="1"/>
  </r>
  <r>
    <s v="ORD0985"/>
    <s v="CUST0985"/>
    <d v="2025-07-04T00:00:00"/>
    <s v="Priya Patel"/>
    <s v="Mysuru"/>
    <s v="Karnataka"/>
    <s v="South"/>
    <s v="Mouse"/>
    <s v="Accessories"/>
    <s v="Pooja Das"/>
    <n v="10"/>
    <n v="800"/>
    <n v="450"/>
    <n v="0.12"/>
    <n v="7040"/>
    <n v="4500"/>
    <n v="2540"/>
    <s v="Credit Card"/>
    <x v="3"/>
  </r>
  <r>
    <s v="ORD0986"/>
    <s v="CUST0986"/>
    <d v="2025-12-11T00:00:00"/>
    <s v="Arjun Mehta"/>
    <s v="Hyderabad"/>
    <s v="Telangana"/>
    <s v="South"/>
    <s v="Printer"/>
    <s v="Office"/>
    <s v="Anjali Mehta"/>
    <n v="6"/>
    <n v="15000"/>
    <n v="11500"/>
    <n v="0"/>
    <n v="90000"/>
    <n v="69000"/>
    <n v="21000"/>
    <s v="Net Banking"/>
    <x v="1"/>
  </r>
  <r>
    <s v="ORD0987"/>
    <s v="CUST0987"/>
    <d v="2024-10-21T00:00:00"/>
    <s v="Vikram Singh"/>
    <s v="Surat"/>
    <s v="Gujarat"/>
    <s v="West"/>
    <s v="Keyboard"/>
    <s v="Accessories"/>
    <s v="Priya Nair"/>
    <n v="7"/>
    <n v="1500"/>
    <n v="900"/>
    <n v="0.05"/>
    <n v="9975"/>
    <n v="6300"/>
    <n v="3675"/>
    <s v="Credit Card"/>
    <x v="3"/>
  </r>
  <r>
    <s v="ORD0988"/>
    <s v="CUST0988"/>
    <d v="2024-11-17T00:00:00"/>
    <s v="Pooja Das"/>
    <s v="Pune"/>
    <s v="Maharashtra"/>
    <s v="West"/>
    <s v="Tablet"/>
    <s v="Electronics"/>
    <s v="Arjun Rao"/>
    <n v="7"/>
    <n v="25000"/>
    <n v="20000"/>
    <n v="0.27"/>
    <n v="127750"/>
    <n v="140000"/>
    <n v="-12250"/>
    <s v="Net Banking"/>
    <x v="2"/>
  </r>
  <r>
    <s v="ORD0989"/>
    <s v="CUST0989"/>
    <d v="2025-01-05T00:00:00"/>
    <s v="Rohan Kulkarni"/>
    <s v="Jaipur"/>
    <s v="Rajasthan"/>
    <s v="North"/>
    <s v="Laptop"/>
    <s v="Electronics"/>
    <s v="Pooja Das"/>
    <n v="9"/>
    <n v="65000"/>
    <n v="52000"/>
    <n v="0.15"/>
    <n v="497250"/>
    <n v="468000"/>
    <n v="29250"/>
    <s v="Debit Card"/>
    <x v="2"/>
  </r>
  <r>
    <s v="ORD0990"/>
    <s v="CUST0990"/>
    <d v="2024-09-06T00:00:00"/>
    <s v="Amit Kumar"/>
    <s v="Jaipur"/>
    <s v="Rajasthan"/>
    <s v="North"/>
    <s v="Headphones"/>
    <s v="Accessories"/>
    <s v="Vikram Joshi"/>
    <n v="5"/>
    <n v="3000"/>
    <n v="1800"/>
    <n v="0.3"/>
    <n v="10500"/>
    <n v="9000"/>
    <n v="1500"/>
    <s v="UPI"/>
    <x v="2"/>
  </r>
  <r>
    <s v="ORD0991"/>
    <s v="CUST0991"/>
    <d v="2024-08-13T00:00:00"/>
    <s v="Priya Patel"/>
    <s v="Mysuru"/>
    <s v="Karnataka"/>
    <s v="South"/>
    <s v="Printer"/>
    <s v="Office"/>
    <s v="Pooja Das"/>
    <n v="9"/>
    <n v="15000"/>
    <n v="11500"/>
    <n v="0"/>
    <n v="135000"/>
    <n v="103500"/>
    <n v="31500"/>
    <s v="Cash"/>
    <x v="1"/>
  </r>
  <r>
    <s v="ORD0992"/>
    <s v="CUST0992"/>
    <d v="2025-09-18T00:00:00"/>
    <s v="Aditya Mishra"/>
    <s v="Coimbatore"/>
    <s v="Tamil Nadu"/>
    <s v="South"/>
    <s v="Laptop"/>
    <s v="Electronics"/>
    <s v="Pooja Das"/>
    <n v="1"/>
    <n v="65000"/>
    <n v="52000"/>
    <n v="0.06"/>
    <n v="61100"/>
    <n v="52000"/>
    <n v="9100"/>
    <s v="Cash"/>
    <x v="3"/>
  </r>
  <r>
    <s v="ORD0993"/>
    <s v="CUST0993"/>
    <d v="2024-08-12T00:00:00"/>
    <s v="Rohit Verma"/>
    <s v="Kolkata"/>
    <s v="West Bengal"/>
    <s v="East"/>
    <s v="Tablet"/>
    <s v="Electronics"/>
    <s v="Amit Sharma"/>
    <n v="9"/>
    <n v="25000"/>
    <n v="20000"/>
    <n v="0.14000000000000001"/>
    <n v="193500"/>
    <n v="180000"/>
    <n v="13500"/>
    <s v="Credit Card"/>
    <x v="0"/>
  </r>
  <r>
    <s v="ORD0994"/>
    <s v="CUST0994"/>
    <d v="2025-08-17T00:00:00"/>
    <s v="Pooja Das"/>
    <s v="Ahmedabad"/>
    <s v="Gujarat"/>
    <s v="West"/>
    <s v="Keyboard"/>
    <s v="Accessories"/>
    <s v="Arjun Rao"/>
    <n v="10"/>
    <n v="1500"/>
    <n v="900"/>
    <n v="0.06"/>
    <n v="14100"/>
    <n v="9000"/>
    <n v="5100"/>
    <s v="Credit Card"/>
    <x v="2"/>
  </r>
  <r>
    <s v="ORD0995"/>
    <s v="CUST0995"/>
    <d v="2025-08-08T00:00:00"/>
    <s v="Karan Joshi"/>
    <s v="Mumbai"/>
    <s v="Maharashtra"/>
    <s v="West"/>
    <s v="Mouse"/>
    <s v="Accessories"/>
    <s v="Neha Gupta"/>
    <n v="9"/>
    <n v="800"/>
    <n v="450"/>
    <n v="0.03"/>
    <n v="6984"/>
    <n v="4050"/>
    <n v="2934"/>
    <s v="UPI"/>
    <x v="3"/>
  </r>
  <r>
    <s v="ORD0996"/>
    <s v="CUST0996"/>
    <d v="2024-07-20T00:00:00"/>
    <s v="Sneha Nair"/>
    <s v="Coimbatore"/>
    <s v="Tamil Nadu"/>
    <s v="South"/>
    <s v="Smartphone"/>
    <s v="Electronics"/>
    <s v="Priya Nair"/>
    <n v="5"/>
    <n v="35000"/>
    <n v="28000"/>
    <n v="0.05"/>
    <n v="166250"/>
    <n v="140000"/>
    <n v="26250"/>
    <s v="UPI"/>
    <x v="3"/>
  </r>
  <r>
    <s v="ORD0997"/>
    <s v="CUST0997"/>
    <d v="2025-01-28T00:00:00"/>
    <s v="Karan Joshi"/>
    <s v="Mysuru"/>
    <s v="Karnataka"/>
    <s v="South"/>
    <s v="Tablet"/>
    <s v="Electronics"/>
    <s v="Anjali Mehta"/>
    <n v="3"/>
    <n v="25000"/>
    <n v="20000"/>
    <n v="0.14000000000000001"/>
    <n v="64500"/>
    <n v="60000"/>
    <n v="4500"/>
    <s v="Cash"/>
    <x v="2"/>
  </r>
  <r>
    <s v="ORD0998"/>
    <s v="CUST0998"/>
    <d v="2024-09-18T00:00:00"/>
    <s v="Neha Gupta"/>
    <s v="Pune"/>
    <s v="Maharashtra"/>
    <s v="West"/>
    <s v="Headphones"/>
    <s v="Accessories"/>
    <s v="Vikram Joshi"/>
    <n v="8"/>
    <n v="3000"/>
    <n v="1800"/>
    <n v="0.02"/>
    <n v="23520"/>
    <n v="14400"/>
    <n v="9120"/>
    <s v="Cash"/>
    <x v="2"/>
  </r>
  <r>
    <s v="ORD0999"/>
    <s v="CUST0999"/>
    <d v="2025-08-27T00:00:00"/>
    <s v="Rohit Verma"/>
    <s v="Ahmedabad"/>
    <s v="Gujarat"/>
    <s v="West"/>
    <s v="Smartwatch"/>
    <s v="Wearables"/>
    <s v="Vikram Joshi"/>
    <n v="9"/>
    <n v="12000"/>
    <n v="8500"/>
    <n v="0.04"/>
    <n v="103680"/>
    <n v="76500"/>
    <n v="27180"/>
    <s v="Net Banking"/>
    <x v="3"/>
  </r>
  <r>
    <s v="ORD1000"/>
    <s v="CUST1000"/>
    <d v="2025-10-26T00:00:00"/>
    <s v="Pooja Das"/>
    <s v="Ahmedabad"/>
    <s v="Gujarat"/>
    <s v="West"/>
    <s v="Laptop"/>
    <s v="Electronics"/>
    <s v="Anjali Mehta"/>
    <n v="8"/>
    <n v="65000"/>
    <n v="52000"/>
    <n v="0.27"/>
    <n v="379600"/>
    <n v="416000"/>
    <n v="-36400"/>
    <s v="Net Banking"/>
    <x v="1"/>
  </r>
  <r>
    <m/>
    <m/>
    <m/>
    <m/>
    <m/>
    <m/>
    <m/>
    <m/>
    <m/>
    <m/>
    <m/>
    <m/>
    <m/>
    <m/>
    <m/>
    <m/>
    <m/>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C9127F-5B80-4A9F-918F-FCF38E4E325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6:C33" firstHeaderRow="1" firstDataRow="1" firstDataCol="1"/>
  <pivotFields count="21">
    <pivotField showAll="0"/>
    <pivotField showAll="0"/>
    <pivotField numFmtId="14" showAll="0">
      <items count="528">
        <item x="456"/>
        <item x="287"/>
        <item x="94"/>
        <item x="322"/>
        <item x="220"/>
        <item x="151"/>
        <item x="113"/>
        <item x="167"/>
        <item x="402"/>
        <item x="50"/>
        <item x="426"/>
        <item x="76"/>
        <item x="254"/>
        <item x="207"/>
        <item x="228"/>
        <item x="227"/>
        <item x="58"/>
        <item x="173"/>
        <item x="61"/>
        <item x="316"/>
        <item x="290"/>
        <item x="221"/>
        <item x="503"/>
        <item x="449"/>
        <item x="498"/>
        <item x="257"/>
        <item x="23"/>
        <item x="483"/>
        <item x="22"/>
        <item x="24"/>
        <item x="405"/>
        <item x="18"/>
        <item x="368"/>
        <item x="448"/>
        <item x="392"/>
        <item x="112"/>
        <item x="460"/>
        <item x="31"/>
        <item x="359"/>
        <item x="5"/>
        <item x="298"/>
        <item x="117"/>
        <item x="196"/>
        <item x="285"/>
        <item x="225"/>
        <item x="40"/>
        <item x="26"/>
        <item x="382"/>
        <item x="256"/>
        <item x="255"/>
        <item x="241"/>
        <item x="281"/>
        <item x="136"/>
        <item x="416"/>
        <item x="296"/>
        <item x="209"/>
        <item x="271"/>
        <item x="212"/>
        <item x="328"/>
        <item x="4"/>
        <item x="201"/>
        <item x="475"/>
        <item x="154"/>
        <item x="126"/>
        <item x="303"/>
        <item x="383"/>
        <item x="91"/>
        <item x="132"/>
        <item x="116"/>
        <item x="166"/>
        <item x="77"/>
        <item x="109"/>
        <item x="240"/>
        <item x="410"/>
        <item x="121"/>
        <item x="386"/>
        <item x="80"/>
        <item x="38"/>
        <item x="378"/>
        <item x="17"/>
        <item x="407"/>
        <item x="174"/>
        <item x="330"/>
        <item x="381"/>
        <item x="317"/>
        <item x="357"/>
        <item x="69"/>
        <item x="283"/>
        <item x="384"/>
        <item x="514"/>
        <item x="345"/>
        <item x="81"/>
        <item x="153"/>
        <item x="79"/>
        <item x="327"/>
        <item x="272"/>
        <item x="474"/>
        <item x="85"/>
        <item x="471"/>
        <item x="399"/>
        <item x="133"/>
        <item x="41"/>
        <item x="52"/>
        <item x="446"/>
        <item x="358"/>
        <item x="367"/>
        <item x="48"/>
        <item x="135"/>
        <item x="202"/>
        <item x="108"/>
        <item x="414"/>
        <item x="295"/>
        <item x="467"/>
        <item x="391"/>
        <item x="11"/>
        <item x="288"/>
        <item x="259"/>
        <item x="119"/>
        <item x="337"/>
        <item x="261"/>
        <item x="482"/>
        <item x="459"/>
        <item x="19"/>
        <item x="301"/>
        <item x="199"/>
        <item x="224"/>
        <item x="55"/>
        <item x="200"/>
        <item x="310"/>
        <item x="100"/>
        <item x="9"/>
        <item x="444"/>
        <item x="86"/>
        <item x="238"/>
        <item x="248"/>
        <item x="361"/>
        <item x="189"/>
        <item x="176"/>
        <item x="247"/>
        <item x="157"/>
        <item x="419"/>
        <item x="401"/>
        <item x="331"/>
        <item x="437"/>
        <item x="148"/>
        <item x="267"/>
        <item x="486"/>
        <item x="214"/>
        <item x="54"/>
        <item x="495"/>
        <item x="229"/>
        <item x="376"/>
        <item x="156"/>
        <item x="180"/>
        <item x="169"/>
        <item x="21"/>
        <item x="497"/>
        <item x="164"/>
        <item x="34"/>
        <item x="223"/>
        <item x="292"/>
        <item x="191"/>
        <item x="441"/>
        <item x="93"/>
        <item x="372"/>
        <item x="499"/>
        <item x="379"/>
        <item x="235"/>
        <item x="403"/>
        <item x="177"/>
        <item x="393"/>
        <item x="351"/>
        <item x="370"/>
        <item x="82"/>
        <item x="344"/>
        <item x="217"/>
        <item x="525"/>
        <item x="432"/>
        <item x="20"/>
        <item x="329"/>
        <item x="333"/>
        <item x="64"/>
        <item x="457"/>
        <item x="33"/>
        <item x="127"/>
        <item x="71"/>
        <item x="438"/>
        <item x="321"/>
        <item x="123"/>
        <item x="352"/>
        <item x="406"/>
        <item x="428"/>
        <item x="387"/>
        <item x="390"/>
        <item x="265"/>
        <item x="366"/>
        <item x="75"/>
        <item x="341"/>
        <item x="516"/>
        <item x="111"/>
        <item x="210"/>
        <item x="98"/>
        <item x="51"/>
        <item x="232"/>
        <item x="430"/>
        <item x="355"/>
        <item x="237"/>
        <item x="418"/>
        <item x="218"/>
        <item x="340"/>
        <item x="129"/>
        <item x="279"/>
        <item x="159"/>
        <item x="291"/>
        <item x="360"/>
        <item x="413"/>
        <item x="429"/>
        <item x="518"/>
        <item x="491"/>
        <item x="470"/>
        <item x="397"/>
        <item x="114"/>
        <item x="436"/>
        <item x="465"/>
        <item x="95"/>
        <item x="463"/>
        <item x="258"/>
        <item x="511"/>
        <item x="485"/>
        <item x="451"/>
        <item x="363"/>
        <item x="371"/>
        <item x="280"/>
        <item x="450"/>
        <item x="354"/>
        <item x="504"/>
        <item x="278"/>
        <item x="170"/>
        <item x="208"/>
        <item x="396"/>
        <item x="307"/>
        <item x="213"/>
        <item x="187"/>
        <item x="163"/>
        <item x="68"/>
        <item x="389"/>
        <item x="343"/>
        <item x="53"/>
        <item x="507"/>
        <item x="106"/>
        <item x="293"/>
        <item x="14"/>
        <item x="160"/>
        <item x="197"/>
        <item x="500"/>
        <item x="103"/>
        <item x="440"/>
        <item x="356"/>
        <item x="433"/>
        <item x="466"/>
        <item x="27"/>
        <item x="493"/>
        <item x="89"/>
        <item x="251"/>
        <item x="282"/>
        <item x="302"/>
        <item x="12"/>
        <item x="186"/>
        <item x="315"/>
        <item x="178"/>
        <item x="346"/>
        <item x="96"/>
        <item x="515"/>
        <item x="517"/>
        <item x="92"/>
        <item x="425"/>
        <item x="510"/>
        <item x="215"/>
        <item x="342"/>
        <item x="101"/>
        <item x="454"/>
        <item x="142"/>
        <item x="250"/>
        <item x="326"/>
        <item x="190"/>
        <item x="412"/>
        <item x="476"/>
        <item x="431"/>
        <item x="484"/>
        <item x="349"/>
        <item x="480"/>
        <item x="128"/>
        <item x="373"/>
        <item x="297"/>
        <item x="152"/>
        <item x="275"/>
        <item x="374"/>
        <item x="155"/>
        <item x="269"/>
        <item x="13"/>
        <item x="245"/>
        <item x="249"/>
        <item x="84"/>
        <item x="508"/>
        <item x="362"/>
        <item x="15"/>
        <item x="380"/>
        <item x="63"/>
        <item x="439"/>
        <item x="299"/>
        <item x="286"/>
        <item x="193"/>
        <item x="365"/>
        <item x="300"/>
        <item x="427"/>
        <item x="3"/>
        <item x="7"/>
        <item x="181"/>
        <item x="43"/>
        <item x="107"/>
        <item x="147"/>
        <item x="334"/>
        <item x="415"/>
        <item x="513"/>
        <item x="83"/>
        <item x="336"/>
        <item x="42"/>
        <item x="66"/>
        <item x="304"/>
        <item x="308"/>
        <item x="338"/>
        <item x="104"/>
        <item x="97"/>
        <item x="87"/>
        <item x="35"/>
        <item x="324"/>
        <item x="131"/>
        <item x="424"/>
        <item x="204"/>
        <item x="489"/>
        <item x="492"/>
        <item x="350"/>
        <item x="16"/>
        <item x="233"/>
        <item x="115"/>
        <item x="468"/>
        <item x="388"/>
        <item x="236"/>
        <item x="192"/>
        <item x="320"/>
        <item x="150"/>
        <item x="194"/>
        <item x="105"/>
        <item x="478"/>
        <item x="30"/>
        <item x="260"/>
        <item x="443"/>
        <item x="502"/>
        <item x="140"/>
        <item x="149"/>
        <item x="519"/>
        <item x="394"/>
        <item x="65"/>
        <item x="306"/>
        <item x="487"/>
        <item x="242"/>
        <item x="294"/>
        <item x="421"/>
        <item x="311"/>
        <item x="319"/>
        <item x="323"/>
        <item x="490"/>
        <item x="206"/>
        <item x="1"/>
        <item x="473"/>
        <item x="274"/>
        <item x="404"/>
        <item x="74"/>
        <item x="49"/>
        <item x="318"/>
        <item x="211"/>
        <item x="305"/>
        <item x="339"/>
        <item x="73"/>
        <item x="524"/>
        <item x="423"/>
        <item x="335"/>
        <item x="59"/>
        <item x="472"/>
        <item x="137"/>
        <item x="120"/>
        <item x="130"/>
        <item x="332"/>
        <item x="45"/>
        <item x="385"/>
        <item x="161"/>
        <item x="447"/>
        <item x="125"/>
        <item x="6"/>
        <item x="364"/>
        <item x="268"/>
        <item x="62"/>
        <item x="145"/>
        <item x="219"/>
        <item x="505"/>
        <item x="435"/>
        <item x="171"/>
        <item x="158"/>
        <item x="400"/>
        <item x="369"/>
        <item x="277"/>
        <item x="289"/>
        <item x="216"/>
        <item x="124"/>
        <item x="398"/>
        <item x="512"/>
        <item x="270"/>
        <item x="168"/>
        <item x="226"/>
        <item x="143"/>
        <item x="375"/>
        <item x="175"/>
        <item x="266"/>
        <item x="44"/>
        <item x="455"/>
        <item x="395"/>
        <item x="122"/>
        <item x="417"/>
        <item x="526"/>
        <item x="36"/>
        <item x="244"/>
        <item x="222"/>
        <item x="353"/>
        <item x="198"/>
        <item x="179"/>
        <item x="273"/>
        <item x="110"/>
        <item x="72"/>
        <item x="347"/>
        <item x="434"/>
        <item x="348"/>
        <item x="32"/>
        <item x="488"/>
        <item x="90"/>
        <item x="522"/>
        <item x="234"/>
        <item x="494"/>
        <item x="509"/>
        <item x="411"/>
        <item x="263"/>
        <item x="408"/>
        <item x="252"/>
        <item x="57"/>
        <item x="139"/>
        <item x="481"/>
        <item x="205"/>
        <item x="264"/>
        <item x="138"/>
        <item x="453"/>
        <item x="464"/>
        <item x="239"/>
        <item x="506"/>
        <item x="102"/>
        <item x="0"/>
        <item x="28"/>
        <item x="99"/>
        <item x="165"/>
        <item x="67"/>
        <item x="314"/>
        <item x="377"/>
        <item x="309"/>
        <item x="312"/>
        <item x="496"/>
        <item x="88"/>
        <item x="231"/>
        <item x="46"/>
        <item x="184"/>
        <item x="203"/>
        <item x="469"/>
        <item x="134"/>
        <item x="188"/>
        <item x="452"/>
        <item x="141"/>
        <item x="162"/>
        <item x="458"/>
        <item x="276"/>
        <item x="520"/>
        <item x="78"/>
        <item x="243"/>
        <item x="246"/>
        <item x="8"/>
        <item x="47"/>
        <item x="462"/>
        <item x="477"/>
        <item x="172"/>
        <item x="37"/>
        <item x="146"/>
        <item x="185"/>
        <item x="29"/>
        <item x="195"/>
        <item x="253"/>
        <item x="420"/>
        <item x="523"/>
        <item x="10"/>
        <item x="230"/>
        <item x="183"/>
        <item x="182"/>
        <item x="118"/>
        <item x="442"/>
        <item x="409"/>
        <item x="313"/>
        <item x="39"/>
        <item x="461"/>
        <item x="422"/>
        <item x="479"/>
        <item x="70"/>
        <item x="2"/>
        <item x="521"/>
        <item x="60"/>
        <item x="325"/>
        <item x="25"/>
        <item x="144"/>
        <item x="501"/>
        <item x="284"/>
        <item x="445"/>
        <item x="262"/>
        <item x="56"/>
        <item t="default"/>
      </items>
    </pivotField>
    <pivotField showAll="0"/>
    <pivotField showAll="0"/>
    <pivotField showAll="0"/>
    <pivotField showAll="0">
      <items count="5">
        <item x="3"/>
        <item x="2"/>
        <item x="1"/>
        <item x="0"/>
        <item t="default"/>
      </items>
    </pivotField>
    <pivotField showAll="0">
      <items count="11">
        <item x="6"/>
        <item x="1"/>
        <item x="7"/>
        <item x="0"/>
        <item x="9"/>
        <item x="8"/>
        <item x="2"/>
        <item x="4"/>
        <item x="5"/>
        <item x="3"/>
        <item t="default"/>
      </items>
    </pivotField>
    <pivotField showAll="0"/>
    <pivotField showAll="0"/>
    <pivotField showAll="0"/>
    <pivotField showAll="0"/>
    <pivotField showAll="0"/>
    <pivotField numFmtId="9" showAll="0"/>
    <pivotField dataField="1" showAll="0"/>
    <pivotField showAll="0"/>
    <pivotField showAll="0"/>
    <pivotField showAll="0">
      <items count="6">
        <item x="4"/>
        <item x="0"/>
        <item x="1"/>
        <item x="2"/>
        <item x="3"/>
        <item t="default"/>
      </items>
    </pivotField>
    <pivotField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20"/>
    <field x="19"/>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Monthly Sales Trend" fld="14" baseField="19" baseItem="1"/>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1A2F83-9E0C-4EA2-A4A7-11555C05CAD5}"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55:C61" firstHeaderRow="1" firstDataRow="1" firstDataCol="1"/>
  <pivotFields count="19">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1"/>
        <item x="0"/>
        <item x="2"/>
        <item x="3"/>
        <item x="4"/>
        <item t="default"/>
      </items>
    </pivotField>
  </pivotFields>
  <rowFields count="1">
    <field x="18"/>
  </rowFields>
  <rowItems count="6">
    <i>
      <x/>
    </i>
    <i>
      <x v="1"/>
    </i>
    <i>
      <x v="2"/>
    </i>
    <i>
      <x v="3"/>
    </i>
    <i>
      <x v="4"/>
    </i>
    <i t="grand">
      <x/>
    </i>
  </rowItems>
  <colItems count="1">
    <i/>
  </colItems>
  <dataFields count="1">
    <dataField name="Delivery Status Overview" fld="0" subtotal="count" baseField="18" baseItem="1"/>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E54943-D0BD-4DA3-AADD-105A88BE32F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38:F44" firstHeaderRow="1" firstDataRow="1" firstDataCol="1"/>
  <pivotFields count="21">
    <pivotField dataField="1" showAll="0"/>
    <pivotField showAll="0"/>
    <pivotField numFmtId="14" showAll="0">
      <items count="528">
        <item x="456"/>
        <item x="287"/>
        <item x="94"/>
        <item x="322"/>
        <item x="220"/>
        <item x="151"/>
        <item x="113"/>
        <item x="167"/>
        <item x="402"/>
        <item x="50"/>
        <item x="426"/>
        <item x="76"/>
        <item x="254"/>
        <item x="207"/>
        <item x="228"/>
        <item x="227"/>
        <item x="58"/>
        <item x="173"/>
        <item x="61"/>
        <item x="316"/>
        <item x="290"/>
        <item x="221"/>
        <item x="503"/>
        <item x="449"/>
        <item x="498"/>
        <item x="257"/>
        <item x="23"/>
        <item x="483"/>
        <item x="22"/>
        <item x="24"/>
        <item x="405"/>
        <item x="18"/>
        <item x="368"/>
        <item x="448"/>
        <item x="392"/>
        <item x="112"/>
        <item x="460"/>
        <item x="31"/>
        <item x="359"/>
        <item x="5"/>
        <item x="298"/>
        <item x="117"/>
        <item x="196"/>
        <item x="285"/>
        <item x="225"/>
        <item x="40"/>
        <item x="26"/>
        <item x="382"/>
        <item x="256"/>
        <item x="255"/>
        <item x="241"/>
        <item x="281"/>
        <item x="136"/>
        <item x="416"/>
        <item x="296"/>
        <item x="209"/>
        <item x="271"/>
        <item x="212"/>
        <item x="328"/>
        <item x="4"/>
        <item x="201"/>
        <item x="475"/>
        <item x="154"/>
        <item x="126"/>
        <item x="303"/>
        <item x="383"/>
        <item x="91"/>
        <item x="132"/>
        <item x="116"/>
        <item x="166"/>
        <item x="77"/>
        <item x="109"/>
        <item x="240"/>
        <item x="410"/>
        <item x="121"/>
        <item x="386"/>
        <item x="80"/>
        <item x="38"/>
        <item x="378"/>
        <item x="17"/>
        <item x="407"/>
        <item x="174"/>
        <item x="330"/>
        <item x="381"/>
        <item x="317"/>
        <item x="357"/>
        <item x="69"/>
        <item x="283"/>
        <item x="384"/>
        <item x="514"/>
        <item x="345"/>
        <item x="81"/>
        <item x="153"/>
        <item x="79"/>
        <item x="327"/>
        <item x="272"/>
        <item x="474"/>
        <item x="85"/>
        <item x="471"/>
        <item x="399"/>
        <item x="133"/>
        <item x="41"/>
        <item x="52"/>
        <item x="446"/>
        <item x="358"/>
        <item x="367"/>
        <item x="48"/>
        <item x="135"/>
        <item x="202"/>
        <item x="108"/>
        <item x="414"/>
        <item x="295"/>
        <item x="467"/>
        <item x="391"/>
        <item x="11"/>
        <item x="288"/>
        <item x="259"/>
        <item x="119"/>
        <item x="337"/>
        <item x="261"/>
        <item x="482"/>
        <item x="459"/>
        <item x="19"/>
        <item x="301"/>
        <item x="199"/>
        <item x="224"/>
        <item x="55"/>
        <item x="200"/>
        <item x="310"/>
        <item x="100"/>
        <item x="9"/>
        <item x="444"/>
        <item x="86"/>
        <item x="238"/>
        <item x="248"/>
        <item x="361"/>
        <item x="189"/>
        <item x="176"/>
        <item x="247"/>
        <item x="157"/>
        <item x="419"/>
        <item x="401"/>
        <item x="331"/>
        <item x="437"/>
        <item x="148"/>
        <item x="267"/>
        <item x="486"/>
        <item x="214"/>
        <item x="54"/>
        <item x="495"/>
        <item x="229"/>
        <item x="376"/>
        <item x="156"/>
        <item x="180"/>
        <item x="169"/>
        <item x="21"/>
        <item x="497"/>
        <item x="164"/>
        <item x="34"/>
        <item x="223"/>
        <item x="292"/>
        <item x="191"/>
        <item x="441"/>
        <item x="93"/>
        <item x="372"/>
        <item x="499"/>
        <item x="379"/>
        <item x="235"/>
        <item x="403"/>
        <item x="177"/>
        <item x="393"/>
        <item x="351"/>
        <item x="370"/>
        <item x="82"/>
        <item x="344"/>
        <item x="217"/>
        <item x="525"/>
        <item x="432"/>
        <item x="20"/>
        <item x="329"/>
        <item x="333"/>
        <item x="64"/>
        <item x="457"/>
        <item x="33"/>
        <item x="127"/>
        <item x="71"/>
        <item x="438"/>
        <item x="321"/>
        <item x="123"/>
        <item x="352"/>
        <item x="406"/>
        <item x="428"/>
        <item x="387"/>
        <item x="390"/>
        <item x="265"/>
        <item x="366"/>
        <item x="75"/>
        <item x="341"/>
        <item x="516"/>
        <item x="111"/>
        <item x="210"/>
        <item x="98"/>
        <item x="51"/>
        <item x="232"/>
        <item x="430"/>
        <item x="355"/>
        <item x="237"/>
        <item x="418"/>
        <item x="218"/>
        <item x="340"/>
        <item x="129"/>
        <item x="279"/>
        <item x="159"/>
        <item x="291"/>
        <item x="360"/>
        <item x="413"/>
        <item x="429"/>
        <item x="518"/>
        <item x="491"/>
        <item x="470"/>
        <item x="397"/>
        <item x="114"/>
        <item x="436"/>
        <item x="465"/>
        <item x="95"/>
        <item x="463"/>
        <item x="258"/>
        <item x="511"/>
        <item x="485"/>
        <item x="451"/>
        <item x="363"/>
        <item x="371"/>
        <item x="280"/>
        <item x="450"/>
        <item x="354"/>
        <item x="504"/>
        <item x="278"/>
        <item x="170"/>
        <item x="208"/>
        <item x="396"/>
        <item x="307"/>
        <item x="213"/>
        <item x="187"/>
        <item x="163"/>
        <item x="68"/>
        <item x="389"/>
        <item x="343"/>
        <item x="53"/>
        <item x="507"/>
        <item x="106"/>
        <item x="293"/>
        <item x="14"/>
        <item x="160"/>
        <item x="197"/>
        <item x="500"/>
        <item x="103"/>
        <item x="440"/>
        <item x="356"/>
        <item x="433"/>
        <item x="466"/>
        <item x="27"/>
        <item x="493"/>
        <item x="89"/>
        <item x="251"/>
        <item x="282"/>
        <item x="302"/>
        <item x="12"/>
        <item x="186"/>
        <item x="315"/>
        <item x="178"/>
        <item x="346"/>
        <item x="96"/>
        <item x="515"/>
        <item x="517"/>
        <item x="92"/>
        <item x="425"/>
        <item x="510"/>
        <item x="215"/>
        <item x="342"/>
        <item x="101"/>
        <item x="454"/>
        <item x="142"/>
        <item x="250"/>
        <item x="326"/>
        <item x="190"/>
        <item x="412"/>
        <item x="476"/>
        <item x="431"/>
        <item x="484"/>
        <item x="349"/>
        <item x="480"/>
        <item x="128"/>
        <item x="373"/>
        <item x="297"/>
        <item x="152"/>
        <item x="275"/>
        <item x="374"/>
        <item x="155"/>
        <item x="269"/>
        <item x="13"/>
        <item x="245"/>
        <item x="249"/>
        <item x="84"/>
        <item x="508"/>
        <item x="362"/>
        <item x="15"/>
        <item x="380"/>
        <item x="63"/>
        <item x="439"/>
        <item x="299"/>
        <item x="286"/>
        <item x="193"/>
        <item x="365"/>
        <item x="300"/>
        <item x="427"/>
        <item x="3"/>
        <item x="7"/>
        <item x="181"/>
        <item x="43"/>
        <item x="107"/>
        <item x="147"/>
        <item x="334"/>
        <item x="415"/>
        <item x="513"/>
        <item x="83"/>
        <item x="336"/>
        <item x="42"/>
        <item x="66"/>
        <item x="304"/>
        <item x="308"/>
        <item x="338"/>
        <item x="104"/>
        <item x="97"/>
        <item x="87"/>
        <item x="35"/>
        <item x="324"/>
        <item x="131"/>
        <item x="424"/>
        <item x="204"/>
        <item x="489"/>
        <item x="492"/>
        <item x="350"/>
        <item x="16"/>
        <item x="233"/>
        <item x="115"/>
        <item x="468"/>
        <item x="388"/>
        <item x="236"/>
        <item x="192"/>
        <item x="320"/>
        <item x="150"/>
        <item x="194"/>
        <item x="105"/>
        <item x="478"/>
        <item x="30"/>
        <item x="260"/>
        <item x="443"/>
        <item x="502"/>
        <item x="140"/>
        <item x="149"/>
        <item x="519"/>
        <item x="394"/>
        <item x="65"/>
        <item x="306"/>
        <item x="487"/>
        <item x="242"/>
        <item x="294"/>
        <item x="421"/>
        <item x="311"/>
        <item x="319"/>
        <item x="323"/>
        <item x="490"/>
        <item x="206"/>
        <item x="1"/>
        <item x="473"/>
        <item x="274"/>
        <item x="404"/>
        <item x="74"/>
        <item x="49"/>
        <item x="318"/>
        <item x="211"/>
        <item x="305"/>
        <item x="339"/>
        <item x="73"/>
        <item x="524"/>
        <item x="423"/>
        <item x="335"/>
        <item x="59"/>
        <item x="472"/>
        <item x="137"/>
        <item x="120"/>
        <item x="130"/>
        <item x="332"/>
        <item x="45"/>
        <item x="385"/>
        <item x="161"/>
        <item x="447"/>
        <item x="125"/>
        <item x="6"/>
        <item x="364"/>
        <item x="268"/>
        <item x="62"/>
        <item x="145"/>
        <item x="219"/>
        <item x="505"/>
        <item x="435"/>
        <item x="171"/>
        <item x="158"/>
        <item x="400"/>
        <item x="369"/>
        <item x="277"/>
        <item x="289"/>
        <item x="216"/>
        <item x="124"/>
        <item x="398"/>
        <item x="512"/>
        <item x="270"/>
        <item x="168"/>
        <item x="226"/>
        <item x="143"/>
        <item x="375"/>
        <item x="175"/>
        <item x="266"/>
        <item x="44"/>
        <item x="455"/>
        <item x="395"/>
        <item x="122"/>
        <item x="417"/>
        <item x="526"/>
        <item x="36"/>
        <item x="244"/>
        <item x="222"/>
        <item x="353"/>
        <item x="198"/>
        <item x="179"/>
        <item x="273"/>
        <item x="110"/>
        <item x="72"/>
        <item x="347"/>
        <item x="434"/>
        <item x="348"/>
        <item x="32"/>
        <item x="488"/>
        <item x="90"/>
        <item x="522"/>
        <item x="234"/>
        <item x="494"/>
        <item x="509"/>
        <item x="411"/>
        <item x="263"/>
        <item x="408"/>
        <item x="252"/>
        <item x="57"/>
        <item x="139"/>
        <item x="481"/>
        <item x="205"/>
        <item x="264"/>
        <item x="138"/>
        <item x="453"/>
        <item x="464"/>
        <item x="239"/>
        <item x="506"/>
        <item x="102"/>
        <item x="0"/>
        <item x="28"/>
        <item x="99"/>
        <item x="165"/>
        <item x="67"/>
        <item x="314"/>
        <item x="377"/>
        <item x="309"/>
        <item x="312"/>
        <item x="496"/>
        <item x="88"/>
        <item x="231"/>
        <item x="46"/>
        <item x="184"/>
        <item x="203"/>
        <item x="469"/>
        <item x="134"/>
        <item x="188"/>
        <item x="452"/>
        <item x="141"/>
        <item x="162"/>
        <item x="458"/>
        <item x="276"/>
        <item x="520"/>
        <item x="78"/>
        <item x="243"/>
        <item x="246"/>
        <item x="8"/>
        <item x="47"/>
        <item x="462"/>
        <item x="477"/>
        <item x="172"/>
        <item x="37"/>
        <item x="146"/>
        <item x="185"/>
        <item x="29"/>
        <item x="195"/>
        <item x="253"/>
        <item x="420"/>
        <item x="523"/>
        <item x="10"/>
        <item x="230"/>
        <item x="183"/>
        <item x="182"/>
        <item x="118"/>
        <item x="442"/>
        <item x="409"/>
        <item x="313"/>
        <item x="39"/>
        <item x="461"/>
        <item x="422"/>
        <item x="479"/>
        <item x="70"/>
        <item x="2"/>
        <item x="521"/>
        <item x="60"/>
        <item x="325"/>
        <item x="25"/>
        <item x="144"/>
        <item x="501"/>
        <item x="284"/>
        <item x="445"/>
        <item x="262"/>
        <item x="56"/>
        <item t="default"/>
      </items>
    </pivotField>
    <pivotField showAll="0"/>
    <pivotField showAll="0"/>
    <pivotField showAll="0"/>
    <pivotField showAll="0">
      <items count="5">
        <item x="3"/>
        <item x="2"/>
        <item x="1"/>
        <item x="0"/>
        <item t="default"/>
      </items>
    </pivotField>
    <pivotField showAll="0">
      <items count="11">
        <item x="6"/>
        <item x="1"/>
        <item x="7"/>
        <item x="0"/>
        <item x="9"/>
        <item x="8"/>
        <item x="2"/>
        <item x="4"/>
        <item x="5"/>
        <item x="3"/>
        <item t="default"/>
      </items>
    </pivotField>
    <pivotField showAll="0"/>
    <pivotField showAll="0"/>
    <pivotField showAll="0"/>
    <pivotField showAll="0"/>
    <pivotField showAll="0"/>
    <pivotField numFmtId="9" showAll="0"/>
    <pivotField showAll="0"/>
    <pivotField showAll="0"/>
    <pivotField showAll="0"/>
    <pivotField axis="axisRow" showAll="0">
      <items count="6">
        <item x="4"/>
        <item x="0"/>
        <item x="1"/>
        <item x="2"/>
        <item x="3"/>
        <item t="default"/>
      </items>
    </pivotField>
    <pivotField showAll="0"/>
    <pivotField showAll="0" defaultSubtotal="0"/>
    <pivotField showAll="0" defaultSubtotal="0">
      <items count="5">
        <item x="0"/>
        <item x="1"/>
        <item x="2"/>
        <item x="3"/>
        <item x="4"/>
      </items>
    </pivotField>
  </pivotFields>
  <rowFields count="1">
    <field x="17"/>
  </rowFields>
  <rowItems count="6">
    <i>
      <x/>
    </i>
    <i>
      <x v="1"/>
    </i>
    <i>
      <x v="2"/>
    </i>
    <i>
      <x v="3"/>
    </i>
    <i>
      <x v="4"/>
    </i>
    <i t="grand">
      <x/>
    </i>
  </rowItems>
  <colItems count="1">
    <i/>
  </colItems>
  <dataFields count="1">
    <dataField name="Orders by Payment Mode" fld="0" subtotal="count" baseField="17" baseItem="2"/>
  </dataFields>
  <chartFormats count="7">
    <chartFormat chart="0"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7" count="1" selected="0">
            <x v="0"/>
          </reference>
        </references>
      </pivotArea>
    </chartFormat>
    <chartFormat chart="6" format="9">
      <pivotArea type="data" outline="0" fieldPosition="0">
        <references count="2">
          <reference field="4294967294" count="1" selected="0">
            <x v="0"/>
          </reference>
          <reference field="17" count="1" selected="0">
            <x v="1"/>
          </reference>
        </references>
      </pivotArea>
    </chartFormat>
    <chartFormat chart="6" format="10">
      <pivotArea type="data" outline="0" fieldPosition="0">
        <references count="2">
          <reference field="4294967294" count="1" selected="0">
            <x v="0"/>
          </reference>
          <reference field="17" count="1" selected="0">
            <x v="2"/>
          </reference>
        </references>
      </pivotArea>
    </chartFormat>
    <chartFormat chart="6" format="11">
      <pivotArea type="data" outline="0" fieldPosition="0">
        <references count="2">
          <reference field="4294967294" count="1" selected="0">
            <x v="0"/>
          </reference>
          <reference field="17" count="1" selected="0">
            <x v="3"/>
          </reference>
        </references>
      </pivotArea>
    </chartFormat>
    <chartFormat chart="6" format="12">
      <pivotArea type="data" outline="0" fieldPosition="0">
        <references count="2">
          <reference field="4294967294" count="1" selected="0">
            <x v="0"/>
          </reference>
          <reference field="1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3CED8F-C05B-438F-9D28-5AEA9778048C}" name="PivotTable4"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9">
  <location ref="B38:C49" firstHeaderRow="1" firstDataRow="1" firstDataCol="1"/>
  <pivotFields count="21">
    <pivotField showAll="0"/>
    <pivotField showAll="0"/>
    <pivotField numFmtId="14" showAll="0">
      <items count="528">
        <item x="456"/>
        <item x="287"/>
        <item x="94"/>
        <item x="322"/>
        <item x="220"/>
        <item x="151"/>
        <item x="113"/>
        <item x="167"/>
        <item x="402"/>
        <item x="50"/>
        <item x="426"/>
        <item x="76"/>
        <item x="254"/>
        <item x="207"/>
        <item x="228"/>
        <item x="227"/>
        <item x="58"/>
        <item x="173"/>
        <item x="61"/>
        <item x="316"/>
        <item x="290"/>
        <item x="221"/>
        <item x="503"/>
        <item x="449"/>
        <item x="498"/>
        <item x="257"/>
        <item x="23"/>
        <item x="483"/>
        <item x="22"/>
        <item x="24"/>
        <item x="405"/>
        <item x="18"/>
        <item x="368"/>
        <item x="448"/>
        <item x="392"/>
        <item x="112"/>
        <item x="460"/>
        <item x="31"/>
        <item x="359"/>
        <item x="5"/>
        <item x="298"/>
        <item x="117"/>
        <item x="196"/>
        <item x="285"/>
        <item x="225"/>
        <item x="40"/>
        <item x="26"/>
        <item x="382"/>
        <item x="256"/>
        <item x="255"/>
        <item x="241"/>
        <item x="281"/>
        <item x="136"/>
        <item x="416"/>
        <item x="296"/>
        <item x="209"/>
        <item x="271"/>
        <item x="212"/>
        <item x="328"/>
        <item x="4"/>
        <item x="201"/>
        <item x="475"/>
        <item x="154"/>
        <item x="126"/>
        <item x="303"/>
        <item x="383"/>
        <item x="91"/>
        <item x="132"/>
        <item x="116"/>
        <item x="166"/>
        <item x="77"/>
        <item x="109"/>
        <item x="240"/>
        <item x="410"/>
        <item x="121"/>
        <item x="386"/>
        <item x="80"/>
        <item x="38"/>
        <item x="378"/>
        <item x="17"/>
        <item x="407"/>
        <item x="174"/>
        <item x="330"/>
        <item x="381"/>
        <item x="317"/>
        <item x="357"/>
        <item x="69"/>
        <item x="283"/>
        <item x="384"/>
        <item x="514"/>
        <item x="345"/>
        <item x="81"/>
        <item x="153"/>
        <item x="79"/>
        <item x="327"/>
        <item x="272"/>
        <item x="474"/>
        <item x="85"/>
        <item x="471"/>
        <item x="399"/>
        <item x="133"/>
        <item x="41"/>
        <item x="52"/>
        <item x="446"/>
        <item x="358"/>
        <item x="367"/>
        <item x="48"/>
        <item x="135"/>
        <item x="202"/>
        <item x="108"/>
        <item x="414"/>
        <item x="295"/>
        <item x="467"/>
        <item x="391"/>
        <item x="11"/>
        <item x="288"/>
        <item x="259"/>
        <item x="119"/>
        <item x="337"/>
        <item x="261"/>
        <item x="482"/>
        <item x="459"/>
        <item x="19"/>
        <item x="301"/>
        <item x="199"/>
        <item x="224"/>
        <item x="55"/>
        <item x="200"/>
        <item x="310"/>
        <item x="100"/>
        <item x="9"/>
        <item x="444"/>
        <item x="86"/>
        <item x="238"/>
        <item x="248"/>
        <item x="361"/>
        <item x="189"/>
        <item x="176"/>
        <item x="247"/>
        <item x="157"/>
        <item x="419"/>
        <item x="401"/>
        <item x="331"/>
        <item x="437"/>
        <item x="148"/>
        <item x="267"/>
        <item x="486"/>
        <item x="214"/>
        <item x="54"/>
        <item x="495"/>
        <item x="229"/>
        <item x="376"/>
        <item x="156"/>
        <item x="180"/>
        <item x="169"/>
        <item x="21"/>
        <item x="497"/>
        <item x="164"/>
        <item x="34"/>
        <item x="223"/>
        <item x="292"/>
        <item x="191"/>
        <item x="441"/>
        <item x="93"/>
        <item x="372"/>
        <item x="499"/>
        <item x="379"/>
        <item x="235"/>
        <item x="403"/>
        <item x="177"/>
        <item x="393"/>
        <item x="351"/>
        <item x="370"/>
        <item x="82"/>
        <item x="344"/>
        <item x="217"/>
        <item x="525"/>
        <item x="432"/>
        <item x="20"/>
        <item x="329"/>
        <item x="333"/>
        <item x="64"/>
        <item x="457"/>
        <item x="33"/>
        <item x="127"/>
        <item x="71"/>
        <item x="438"/>
        <item x="321"/>
        <item x="123"/>
        <item x="352"/>
        <item x="406"/>
        <item x="428"/>
        <item x="387"/>
        <item x="390"/>
        <item x="265"/>
        <item x="366"/>
        <item x="75"/>
        <item x="341"/>
        <item x="516"/>
        <item x="111"/>
        <item x="210"/>
        <item x="98"/>
        <item x="51"/>
        <item x="232"/>
        <item x="430"/>
        <item x="355"/>
        <item x="237"/>
        <item x="418"/>
        <item x="218"/>
        <item x="340"/>
        <item x="129"/>
        <item x="279"/>
        <item x="159"/>
        <item x="291"/>
        <item x="360"/>
        <item x="413"/>
        <item x="429"/>
        <item x="518"/>
        <item x="491"/>
        <item x="470"/>
        <item x="397"/>
        <item x="114"/>
        <item x="436"/>
        <item x="465"/>
        <item x="95"/>
        <item x="463"/>
        <item x="258"/>
        <item x="511"/>
        <item x="485"/>
        <item x="451"/>
        <item x="363"/>
        <item x="371"/>
        <item x="280"/>
        <item x="450"/>
        <item x="354"/>
        <item x="504"/>
        <item x="278"/>
        <item x="170"/>
        <item x="208"/>
        <item x="396"/>
        <item x="307"/>
        <item x="213"/>
        <item x="187"/>
        <item x="163"/>
        <item x="68"/>
        <item x="389"/>
        <item x="343"/>
        <item x="53"/>
        <item x="507"/>
        <item x="106"/>
        <item x="293"/>
        <item x="14"/>
        <item x="160"/>
        <item x="197"/>
        <item x="500"/>
        <item x="103"/>
        <item x="440"/>
        <item x="356"/>
        <item x="433"/>
        <item x="466"/>
        <item x="27"/>
        <item x="493"/>
        <item x="89"/>
        <item x="251"/>
        <item x="282"/>
        <item x="302"/>
        <item x="12"/>
        <item x="186"/>
        <item x="315"/>
        <item x="178"/>
        <item x="346"/>
        <item x="96"/>
        <item x="515"/>
        <item x="517"/>
        <item x="92"/>
        <item x="425"/>
        <item x="510"/>
        <item x="215"/>
        <item x="342"/>
        <item x="101"/>
        <item x="454"/>
        <item x="142"/>
        <item x="250"/>
        <item x="326"/>
        <item x="190"/>
        <item x="412"/>
        <item x="476"/>
        <item x="431"/>
        <item x="484"/>
        <item x="349"/>
        <item x="480"/>
        <item x="128"/>
        <item x="373"/>
        <item x="297"/>
        <item x="152"/>
        <item x="275"/>
        <item x="374"/>
        <item x="155"/>
        <item x="269"/>
        <item x="13"/>
        <item x="245"/>
        <item x="249"/>
        <item x="84"/>
        <item x="508"/>
        <item x="362"/>
        <item x="15"/>
        <item x="380"/>
        <item x="63"/>
        <item x="439"/>
        <item x="299"/>
        <item x="286"/>
        <item x="193"/>
        <item x="365"/>
        <item x="300"/>
        <item x="427"/>
        <item x="3"/>
        <item x="7"/>
        <item x="181"/>
        <item x="43"/>
        <item x="107"/>
        <item x="147"/>
        <item x="334"/>
        <item x="415"/>
        <item x="513"/>
        <item x="83"/>
        <item x="336"/>
        <item x="42"/>
        <item x="66"/>
        <item x="304"/>
        <item x="308"/>
        <item x="338"/>
        <item x="104"/>
        <item x="97"/>
        <item x="87"/>
        <item x="35"/>
        <item x="324"/>
        <item x="131"/>
        <item x="424"/>
        <item x="204"/>
        <item x="489"/>
        <item x="492"/>
        <item x="350"/>
        <item x="16"/>
        <item x="233"/>
        <item x="115"/>
        <item x="468"/>
        <item x="388"/>
        <item x="236"/>
        <item x="192"/>
        <item x="320"/>
        <item x="150"/>
        <item x="194"/>
        <item x="105"/>
        <item x="478"/>
        <item x="30"/>
        <item x="260"/>
        <item x="443"/>
        <item x="502"/>
        <item x="140"/>
        <item x="149"/>
        <item x="519"/>
        <item x="394"/>
        <item x="65"/>
        <item x="306"/>
        <item x="487"/>
        <item x="242"/>
        <item x="294"/>
        <item x="421"/>
        <item x="311"/>
        <item x="319"/>
        <item x="323"/>
        <item x="490"/>
        <item x="206"/>
        <item x="1"/>
        <item x="473"/>
        <item x="274"/>
        <item x="404"/>
        <item x="74"/>
        <item x="49"/>
        <item x="318"/>
        <item x="211"/>
        <item x="305"/>
        <item x="339"/>
        <item x="73"/>
        <item x="524"/>
        <item x="423"/>
        <item x="335"/>
        <item x="59"/>
        <item x="472"/>
        <item x="137"/>
        <item x="120"/>
        <item x="130"/>
        <item x="332"/>
        <item x="45"/>
        <item x="385"/>
        <item x="161"/>
        <item x="447"/>
        <item x="125"/>
        <item x="6"/>
        <item x="364"/>
        <item x="268"/>
        <item x="62"/>
        <item x="145"/>
        <item x="219"/>
        <item x="505"/>
        <item x="435"/>
        <item x="171"/>
        <item x="158"/>
        <item x="400"/>
        <item x="369"/>
        <item x="277"/>
        <item x="289"/>
        <item x="216"/>
        <item x="124"/>
        <item x="398"/>
        <item x="512"/>
        <item x="270"/>
        <item x="168"/>
        <item x="226"/>
        <item x="143"/>
        <item x="375"/>
        <item x="175"/>
        <item x="266"/>
        <item x="44"/>
        <item x="455"/>
        <item x="395"/>
        <item x="122"/>
        <item x="417"/>
        <item x="526"/>
        <item x="36"/>
        <item x="244"/>
        <item x="222"/>
        <item x="353"/>
        <item x="198"/>
        <item x="179"/>
        <item x="273"/>
        <item x="110"/>
        <item x="72"/>
        <item x="347"/>
        <item x="434"/>
        <item x="348"/>
        <item x="32"/>
        <item x="488"/>
        <item x="90"/>
        <item x="522"/>
        <item x="234"/>
        <item x="494"/>
        <item x="509"/>
        <item x="411"/>
        <item x="263"/>
        <item x="408"/>
        <item x="252"/>
        <item x="57"/>
        <item x="139"/>
        <item x="481"/>
        <item x="205"/>
        <item x="264"/>
        <item x="138"/>
        <item x="453"/>
        <item x="464"/>
        <item x="239"/>
        <item x="506"/>
        <item x="102"/>
        <item x="0"/>
        <item x="28"/>
        <item x="99"/>
        <item x="165"/>
        <item x="67"/>
        <item x="314"/>
        <item x="377"/>
        <item x="309"/>
        <item x="312"/>
        <item x="496"/>
        <item x="88"/>
        <item x="231"/>
        <item x="46"/>
        <item x="184"/>
        <item x="203"/>
        <item x="469"/>
        <item x="134"/>
        <item x="188"/>
        <item x="452"/>
        <item x="141"/>
        <item x="162"/>
        <item x="458"/>
        <item x="276"/>
        <item x="520"/>
        <item x="78"/>
        <item x="243"/>
        <item x="246"/>
        <item x="8"/>
        <item x="47"/>
        <item x="462"/>
        <item x="477"/>
        <item x="172"/>
        <item x="37"/>
        <item x="146"/>
        <item x="185"/>
        <item x="29"/>
        <item x="195"/>
        <item x="253"/>
        <item x="420"/>
        <item x="523"/>
        <item x="10"/>
        <item x="230"/>
        <item x="183"/>
        <item x="182"/>
        <item x="118"/>
        <item x="442"/>
        <item x="409"/>
        <item x="313"/>
        <item x="39"/>
        <item x="461"/>
        <item x="422"/>
        <item x="479"/>
        <item x="70"/>
        <item x="2"/>
        <item x="521"/>
        <item x="60"/>
        <item x="325"/>
        <item x="25"/>
        <item x="144"/>
        <item x="501"/>
        <item x="284"/>
        <item x="445"/>
        <item x="262"/>
        <item x="56"/>
        <item t="default"/>
      </items>
    </pivotField>
    <pivotField showAll="0"/>
    <pivotField showAll="0"/>
    <pivotField showAll="0"/>
    <pivotField showAll="0">
      <items count="5">
        <item x="3"/>
        <item x="2"/>
        <item x="1"/>
        <item x="0"/>
        <item t="default"/>
      </items>
    </pivotField>
    <pivotField axis="axisRow" showAll="0" sortType="descending">
      <items count="11">
        <item x="3"/>
        <item x="5"/>
        <item x="4"/>
        <item x="2"/>
        <item x="8"/>
        <item x="9"/>
        <item x="0"/>
        <item x="7"/>
        <item x="1"/>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9" showAll="0"/>
    <pivotField dataField="1" showAll="0"/>
    <pivotField showAll="0"/>
    <pivotField showAll="0"/>
    <pivotField showAll="0">
      <items count="6">
        <item x="4"/>
        <item x="0"/>
        <item x="1"/>
        <item x="2"/>
        <item x="3"/>
        <item t="default"/>
      </items>
    </pivotField>
    <pivotField showAll="0"/>
    <pivotField showAll="0" defaultSubtotal="0"/>
    <pivotField showAll="0" defaultSubtotal="0">
      <items count="5">
        <item x="0"/>
        <item x="1"/>
        <item x="2"/>
        <item x="3"/>
        <item x="4"/>
      </items>
    </pivotField>
  </pivotFields>
  <rowFields count="1">
    <field x="7"/>
  </rowFields>
  <rowItems count="11">
    <i>
      <x v="7"/>
    </i>
    <i>
      <x v="3"/>
    </i>
    <i>
      <x/>
    </i>
    <i>
      <x v="4"/>
    </i>
    <i>
      <x v="6"/>
    </i>
    <i>
      <x v="2"/>
    </i>
    <i>
      <x v="1"/>
    </i>
    <i>
      <x v="9"/>
    </i>
    <i>
      <x v="8"/>
    </i>
    <i>
      <x v="5"/>
    </i>
    <i t="grand">
      <x/>
    </i>
  </rowItems>
  <colItems count="1">
    <i/>
  </colItems>
  <dataFields count="1">
    <dataField name="Top Products by Sales" fld="14" baseField="7"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B408AD-AE85-4490-BA64-A087A95B403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6:F11" firstHeaderRow="1" firstDataRow="1" firstDataCol="1"/>
  <pivotFields count="21">
    <pivotField showAll="0"/>
    <pivotField showAll="0"/>
    <pivotField numFmtId="14" showAll="0">
      <items count="528">
        <item x="456"/>
        <item x="287"/>
        <item x="94"/>
        <item x="322"/>
        <item x="220"/>
        <item x="151"/>
        <item x="113"/>
        <item x="167"/>
        <item x="402"/>
        <item x="50"/>
        <item x="426"/>
        <item x="76"/>
        <item x="254"/>
        <item x="207"/>
        <item x="228"/>
        <item x="227"/>
        <item x="58"/>
        <item x="173"/>
        <item x="61"/>
        <item x="316"/>
        <item x="290"/>
        <item x="221"/>
        <item x="503"/>
        <item x="449"/>
        <item x="498"/>
        <item x="257"/>
        <item x="23"/>
        <item x="483"/>
        <item x="22"/>
        <item x="24"/>
        <item x="405"/>
        <item x="18"/>
        <item x="368"/>
        <item x="448"/>
        <item x="392"/>
        <item x="112"/>
        <item x="460"/>
        <item x="31"/>
        <item x="359"/>
        <item x="5"/>
        <item x="298"/>
        <item x="117"/>
        <item x="196"/>
        <item x="285"/>
        <item x="225"/>
        <item x="40"/>
        <item x="26"/>
        <item x="382"/>
        <item x="256"/>
        <item x="255"/>
        <item x="241"/>
        <item x="281"/>
        <item x="136"/>
        <item x="416"/>
        <item x="296"/>
        <item x="209"/>
        <item x="271"/>
        <item x="212"/>
        <item x="328"/>
        <item x="4"/>
        <item x="201"/>
        <item x="475"/>
        <item x="154"/>
        <item x="126"/>
        <item x="303"/>
        <item x="383"/>
        <item x="91"/>
        <item x="132"/>
        <item x="116"/>
        <item x="166"/>
        <item x="77"/>
        <item x="109"/>
        <item x="240"/>
        <item x="410"/>
        <item x="121"/>
        <item x="386"/>
        <item x="80"/>
        <item x="38"/>
        <item x="378"/>
        <item x="17"/>
        <item x="407"/>
        <item x="174"/>
        <item x="330"/>
        <item x="381"/>
        <item x="317"/>
        <item x="357"/>
        <item x="69"/>
        <item x="283"/>
        <item x="384"/>
        <item x="514"/>
        <item x="345"/>
        <item x="81"/>
        <item x="153"/>
        <item x="79"/>
        <item x="327"/>
        <item x="272"/>
        <item x="474"/>
        <item x="85"/>
        <item x="471"/>
        <item x="399"/>
        <item x="133"/>
        <item x="41"/>
        <item x="52"/>
        <item x="446"/>
        <item x="358"/>
        <item x="367"/>
        <item x="48"/>
        <item x="135"/>
        <item x="202"/>
        <item x="108"/>
        <item x="414"/>
        <item x="295"/>
        <item x="467"/>
        <item x="391"/>
        <item x="11"/>
        <item x="288"/>
        <item x="259"/>
        <item x="119"/>
        <item x="337"/>
        <item x="261"/>
        <item x="482"/>
        <item x="459"/>
        <item x="19"/>
        <item x="301"/>
        <item x="199"/>
        <item x="224"/>
        <item x="55"/>
        <item x="200"/>
        <item x="310"/>
        <item x="100"/>
        <item x="9"/>
        <item x="444"/>
        <item x="86"/>
        <item x="238"/>
        <item x="248"/>
        <item x="361"/>
        <item x="189"/>
        <item x="176"/>
        <item x="247"/>
        <item x="157"/>
        <item x="419"/>
        <item x="401"/>
        <item x="331"/>
        <item x="437"/>
        <item x="148"/>
        <item x="267"/>
        <item x="486"/>
        <item x="214"/>
        <item x="54"/>
        <item x="495"/>
        <item x="229"/>
        <item x="376"/>
        <item x="156"/>
        <item x="180"/>
        <item x="169"/>
        <item x="21"/>
        <item x="497"/>
        <item x="164"/>
        <item x="34"/>
        <item x="223"/>
        <item x="292"/>
        <item x="191"/>
        <item x="441"/>
        <item x="93"/>
        <item x="372"/>
        <item x="499"/>
        <item x="379"/>
        <item x="235"/>
        <item x="403"/>
        <item x="177"/>
        <item x="393"/>
        <item x="351"/>
        <item x="370"/>
        <item x="82"/>
        <item x="344"/>
        <item x="217"/>
        <item x="525"/>
        <item x="432"/>
        <item x="20"/>
        <item x="329"/>
        <item x="333"/>
        <item x="64"/>
        <item x="457"/>
        <item x="33"/>
        <item x="127"/>
        <item x="71"/>
        <item x="438"/>
        <item x="321"/>
        <item x="123"/>
        <item x="352"/>
        <item x="406"/>
        <item x="428"/>
        <item x="387"/>
        <item x="390"/>
        <item x="265"/>
        <item x="366"/>
        <item x="75"/>
        <item x="341"/>
        <item x="516"/>
        <item x="111"/>
        <item x="210"/>
        <item x="98"/>
        <item x="51"/>
        <item x="232"/>
        <item x="430"/>
        <item x="355"/>
        <item x="237"/>
        <item x="418"/>
        <item x="218"/>
        <item x="340"/>
        <item x="129"/>
        <item x="279"/>
        <item x="159"/>
        <item x="291"/>
        <item x="360"/>
        <item x="413"/>
        <item x="429"/>
        <item x="518"/>
        <item x="491"/>
        <item x="470"/>
        <item x="397"/>
        <item x="114"/>
        <item x="436"/>
        <item x="465"/>
        <item x="95"/>
        <item x="463"/>
        <item x="258"/>
        <item x="511"/>
        <item x="485"/>
        <item x="451"/>
        <item x="363"/>
        <item x="371"/>
        <item x="280"/>
        <item x="450"/>
        <item x="354"/>
        <item x="504"/>
        <item x="278"/>
        <item x="170"/>
        <item x="208"/>
        <item x="396"/>
        <item x="307"/>
        <item x="213"/>
        <item x="187"/>
        <item x="163"/>
        <item x="68"/>
        <item x="389"/>
        <item x="343"/>
        <item x="53"/>
        <item x="507"/>
        <item x="106"/>
        <item x="293"/>
        <item x="14"/>
        <item x="160"/>
        <item x="197"/>
        <item x="500"/>
        <item x="103"/>
        <item x="440"/>
        <item x="356"/>
        <item x="433"/>
        <item x="466"/>
        <item x="27"/>
        <item x="493"/>
        <item x="89"/>
        <item x="251"/>
        <item x="282"/>
        <item x="302"/>
        <item x="12"/>
        <item x="186"/>
        <item x="315"/>
        <item x="178"/>
        <item x="346"/>
        <item x="96"/>
        <item x="515"/>
        <item x="517"/>
        <item x="92"/>
        <item x="425"/>
        <item x="510"/>
        <item x="215"/>
        <item x="342"/>
        <item x="101"/>
        <item x="454"/>
        <item x="142"/>
        <item x="250"/>
        <item x="326"/>
        <item x="190"/>
        <item x="412"/>
        <item x="476"/>
        <item x="431"/>
        <item x="484"/>
        <item x="349"/>
        <item x="480"/>
        <item x="128"/>
        <item x="373"/>
        <item x="297"/>
        <item x="152"/>
        <item x="275"/>
        <item x="374"/>
        <item x="155"/>
        <item x="269"/>
        <item x="13"/>
        <item x="245"/>
        <item x="249"/>
        <item x="84"/>
        <item x="508"/>
        <item x="362"/>
        <item x="15"/>
        <item x="380"/>
        <item x="63"/>
        <item x="439"/>
        <item x="299"/>
        <item x="286"/>
        <item x="193"/>
        <item x="365"/>
        <item x="300"/>
        <item x="427"/>
        <item x="3"/>
        <item x="7"/>
        <item x="181"/>
        <item x="43"/>
        <item x="107"/>
        <item x="147"/>
        <item x="334"/>
        <item x="415"/>
        <item x="513"/>
        <item x="83"/>
        <item x="336"/>
        <item x="42"/>
        <item x="66"/>
        <item x="304"/>
        <item x="308"/>
        <item x="338"/>
        <item x="104"/>
        <item x="97"/>
        <item x="87"/>
        <item x="35"/>
        <item x="324"/>
        <item x="131"/>
        <item x="424"/>
        <item x="204"/>
        <item x="489"/>
        <item x="492"/>
        <item x="350"/>
        <item x="16"/>
        <item x="233"/>
        <item x="115"/>
        <item x="468"/>
        <item x="388"/>
        <item x="236"/>
        <item x="192"/>
        <item x="320"/>
        <item x="150"/>
        <item x="194"/>
        <item x="105"/>
        <item x="478"/>
        <item x="30"/>
        <item x="260"/>
        <item x="443"/>
        <item x="502"/>
        <item x="140"/>
        <item x="149"/>
        <item x="519"/>
        <item x="394"/>
        <item x="65"/>
        <item x="306"/>
        <item x="487"/>
        <item x="242"/>
        <item x="294"/>
        <item x="421"/>
        <item x="311"/>
        <item x="319"/>
        <item x="323"/>
        <item x="490"/>
        <item x="206"/>
        <item x="1"/>
        <item x="473"/>
        <item x="274"/>
        <item x="404"/>
        <item x="74"/>
        <item x="49"/>
        <item x="318"/>
        <item x="211"/>
        <item x="305"/>
        <item x="339"/>
        <item x="73"/>
        <item x="524"/>
        <item x="423"/>
        <item x="335"/>
        <item x="59"/>
        <item x="472"/>
        <item x="137"/>
        <item x="120"/>
        <item x="130"/>
        <item x="332"/>
        <item x="45"/>
        <item x="385"/>
        <item x="161"/>
        <item x="447"/>
        <item x="125"/>
        <item x="6"/>
        <item x="364"/>
        <item x="268"/>
        <item x="62"/>
        <item x="145"/>
        <item x="219"/>
        <item x="505"/>
        <item x="435"/>
        <item x="171"/>
        <item x="158"/>
        <item x="400"/>
        <item x="369"/>
        <item x="277"/>
        <item x="289"/>
        <item x="216"/>
        <item x="124"/>
        <item x="398"/>
        <item x="512"/>
        <item x="270"/>
        <item x="168"/>
        <item x="226"/>
        <item x="143"/>
        <item x="375"/>
        <item x="175"/>
        <item x="266"/>
        <item x="44"/>
        <item x="455"/>
        <item x="395"/>
        <item x="122"/>
        <item x="417"/>
        <item x="526"/>
        <item x="36"/>
        <item x="244"/>
        <item x="222"/>
        <item x="353"/>
        <item x="198"/>
        <item x="179"/>
        <item x="273"/>
        <item x="110"/>
        <item x="72"/>
        <item x="347"/>
        <item x="434"/>
        <item x="348"/>
        <item x="32"/>
        <item x="488"/>
        <item x="90"/>
        <item x="522"/>
        <item x="234"/>
        <item x="494"/>
        <item x="509"/>
        <item x="411"/>
        <item x="263"/>
        <item x="408"/>
        <item x="252"/>
        <item x="57"/>
        <item x="139"/>
        <item x="481"/>
        <item x="205"/>
        <item x="264"/>
        <item x="138"/>
        <item x="453"/>
        <item x="464"/>
        <item x="239"/>
        <item x="506"/>
        <item x="102"/>
        <item x="0"/>
        <item x="28"/>
        <item x="99"/>
        <item x="165"/>
        <item x="67"/>
        <item x="314"/>
        <item x="377"/>
        <item x="309"/>
        <item x="312"/>
        <item x="496"/>
        <item x="88"/>
        <item x="231"/>
        <item x="46"/>
        <item x="184"/>
        <item x="203"/>
        <item x="469"/>
        <item x="134"/>
        <item x="188"/>
        <item x="452"/>
        <item x="141"/>
        <item x="162"/>
        <item x="458"/>
        <item x="276"/>
        <item x="520"/>
        <item x="78"/>
        <item x="243"/>
        <item x="246"/>
        <item x="8"/>
        <item x="47"/>
        <item x="462"/>
        <item x="477"/>
        <item x="172"/>
        <item x="37"/>
        <item x="146"/>
        <item x="185"/>
        <item x="29"/>
        <item x="195"/>
        <item x="253"/>
        <item x="420"/>
        <item x="523"/>
        <item x="10"/>
        <item x="230"/>
        <item x="183"/>
        <item x="182"/>
        <item x="118"/>
        <item x="442"/>
        <item x="409"/>
        <item x="313"/>
        <item x="39"/>
        <item x="461"/>
        <item x="422"/>
        <item x="479"/>
        <item x="70"/>
        <item x="2"/>
        <item x="521"/>
        <item x="60"/>
        <item x="325"/>
        <item x="25"/>
        <item x="144"/>
        <item x="501"/>
        <item x="284"/>
        <item x="445"/>
        <item x="262"/>
        <item x="56"/>
        <item t="default"/>
      </items>
    </pivotField>
    <pivotField showAll="0"/>
    <pivotField showAll="0"/>
    <pivotField showAll="0"/>
    <pivotField axis="axisRow" showAll="0">
      <items count="5">
        <item x="3"/>
        <item x="2"/>
        <item x="1"/>
        <item x="0"/>
        <item t="default"/>
      </items>
    </pivotField>
    <pivotField showAll="0">
      <items count="11">
        <item x="6"/>
        <item x="1"/>
        <item x="7"/>
        <item x="0"/>
        <item x="9"/>
        <item x="8"/>
        <item x="2"/>
        <item x="4"/>
        <item x="5"/>
        <item x="3"/>
        <item t="default"/>
      </items>
    </pivotField>
    <pivotField showAll="0"/>
    <pivotField showAll="0"/>
    <pivotField showAll="0"/>
    <pivotField showAll="0"/>
    <pivotField showAll="0"/>
    <pivotField numFmtId="9" showAll="0"/>
    <pivotField dataField="1" showAll="0"/>
    <pivotField showAll="0"/>
    <pivotField showAll="0"/>
    <pivotField showAll="0">
      <items count="6">
        <item x="4"/>
        <item x="0"/>
        <item x="1"/>
        <item x="2"/>
        <item x="3"/>
        <item t="default"/>
      </items>
    </pivotField>
    <pivotField showAll="0"/>
    <pivotField showAll="0" defaultSubtotal="0"/>
    <pivotField showAll="0" defaultSubtotal="0">
      <items count="5">
        <item x="0"/>
        <item x="1"/>
        <item x="2"/>
        <item x="3"/>
        <item x="4"/>
      </items>
    </pivotField>
  </pivotFields>
  <rowFields count="1">
    <field x="6"/>
  </rowFields>
  <rowItems count="5">
    <i>
      <x/>
    </i>
    <i>
      <x v="1"/>
    </i>
    <i>
      <x v="2"/>
    </i>
    <i>
      <x v="3"/>
    </i>
    <i t="grand">
      <x/>
    </i>
  </rowItems>
  <colItems count="1">
    <i/>
  </colItems>
  <dataFields count="1">
    <dataField name="Sales by Region" fld="14" baseField="6"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07B135A2-BF77-40FD-8F39-15500DB6B624}" sourceName="Years (Order_Date)">
  <pivotTables>
    <pivotTable tabId="3" name="PivotTable1"/>
    <pivotTable tabId="3" name="PivotTable3"/>
    <pivotTable tabId="3" name="PivotTable4"/>
    <pivotTable tabId="3" name="PivotTable5"/>
  </pivotTables>
  <data>
    <tabular pivotCacheId="1828110032">
      <items count="5">
        <i x="1" s="1"/>
        <i x="2" s="1"/>
        <i x="0" s="1" nd="1"/>
        <i x="4"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088238E-600C-49DA-8250-1BFD55B49830}" sourceName="Region">
  <pivotTables>
    <pivotTable tabId="3" name="PivotTable1"/>
    <pivotTable tabId="3" name="PivotTable3"/>
    <pivotTable tabId="3" name="PivotTable4"/>
    <pivotTable tabId="3" name="PivotTable5"/>
  </pivotTables>
  <data>
    <tabular pivotCacheId="1828110032">
      <items count="4">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61F45BA-7361-42B5-A067-DA13EE1CA6EE}" sourceName="Product">
  <pivotTables>
    <pivotTable tabId="3" name="PivotTable1"/>
    <pivotTable tabId="3" name="PivotTable3"/>
    <pivotTable tabId="3" name="PivotTable4"/>
    <pivotTable tabId="3" name="PivotTable5"/>
  </pivotTables>
  <data>
    <tabular pivotCacheId="1828110032">
      <items count="10">
        <i x="6" s="1"/>
        <i x="1" s="1"/>
        <i x="7" s="1"/>
        <i x="0" s="1"/>
        <i x="9" s="1"/>
        <i x="8" s="1"/>
        <i x="2" s="1"/>
        <i x="4" s="1"/>
        <i x="5"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5F8DDCAB-72AD-41BC-9CE5-B8C187AEDAE0}" sourceName="Payment_Mode">
  <pivotTables>
    <pivotTable tabId="3" name="PivotTable1"/>
    <pivotTable tabId="3" name="PivotTable3"/>
    <pivotTable tabId="3" name="PivotTable4"/>
    <pivotTable tabId="3" name="PivotTable5"/>
  </pivotTables>
  <data>
    <tabular pivotCacheId="1828110032">
      <items count="5">
        <i x="4" s="1"/>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_Date)" xr10:uid="{7AB81466-ECF3-4011-9E44-81DC5AA34C35}" cache="Slicer_Years__Order_Date" caption="Years (Order_Date)" style="SlicerStyleDark1" rowHeight="108000"/>
  <slicer name="Region" xr10:uid="{EF2B8B45-FA37-4443-ADC2-1F942126B1CC}" cache="Slicer_Region" caption="Region" columnCount="2" rowHeight="108000"/>
  <slicer name="Product" xr10:uid="{49A761AD-6D2F-40EC-BA43-982CF2B59105}" cache="Slicer_Product" caption="Product" rowHeight="108000"/>
  <slicer name="Payment_Mode" xr10:uid="{60E5D0B5-E789-4826-8F47-147069CA8DAD}" cache="Slicer_Payment_Mode" caption="Payment_Mode" rowHeight="10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5DF5BD0-8A85-4FE2-B132-91FCBABB4026}" name="Table6" displayName="Table6" ref="A2:D12" totalsRowShown="0" headerRowDxfId="26" dataDxfId="25">
  <autoFilter ref="A2:D12" xr:uid="{E5DF5BD0-8A85-4FE2-B132-91FCBABB4026}"/>
  <tableColumns count="4">
    <tableColumn id="1" xr3:uid="{51B9F2ED-4BBC-4B96-BA29-B952BC91C863}" name="Product" dataDxfId="24"/>
    <tableColumn id="2" xr3:uid="{38CBDFE6-F15E-44CA-A1A0-89FCFA9DD59F}" name="Category" dataDxfId="23"/>
    <tableColumn id="3" xr3:uid="{C813D6EA-31CE-4E41-A279-410AE2C79927}" name="Unit Price" dataDxfId="22"/>
    <tableColumn id="4" xr3:uid="{344CEDAF-B2D6-4730-9F15-2D46C2812316}" name="Cost Price" dataDxfId="2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CF88FBF-6B56-43F7-A856-6271150B901A}" name="Table7" displayName="Table7" ref="F2:F22" totalsRowShown="0" headerRowDxfId="20" dataDxfId="19">
  <autoFilter ref="F2:F22" xr:uid="{FCF88FBF-6B56-43F7-A856-6271150B901A}"/>
  <tableColumns count="1">
    <tableColumn id="1" xr3:uid="{AFE298E8-1416-4FFF-9464-2B722A9B99DD}" name="Customer Name" dataDxfId="1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5AA58B4-A990-4408-82CC-3B345C31ACA1}" name="Table8" displayName="Table8" ref="H2:J15" totalsRowShown="0" headerRowDxfId="17" dataDxfId="16">
  <autoFilter ref="H2:J15" xr:uid="{45AA58B4-A990-4408-82CC-3B345C31ACA1}"/>
  <tableColumns count="3">
    <tableColumn id="1" xr3:uid="{970EBB76-A065-49BF-958B-93D428BA5E39}" name="City" dataDxfId="15"/>
    <tableColumn id="2" xr3:uid="{7699A765-DF18-487D-B8A3-BDFE448369E6}" name="State" dataDxfId="14"/>
    <tableColumn id="3" xr3:uid="{B96526E4-EE5A-45FE-9B81-6163D996731E}" name="Region" dataDxfId="1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683C250-7398-4CE9-9BE5-4BEAFA00E8A7}" name="Table9" displayName="Table9" ref="L2:L12" totalsRowShown="0" headerRowDxfId="12" dataDxfId="11">
  <autoFilter ref="L2:L12" xr:uid="{2683C250-7398-4CE9-9BE5-4BEAFA00E8A7}"/>
  <tableColumns count="1">
    <tableColumn id="1" xr3:uid="{921B10FB-099F-4F52-9531-783047A2F182}" name="Salespersons" dataDxfId="1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065AFA4-E4A6-4EB6-BAF4-C0C1C198CDD3}" name="Table10" displayName="Table10" ref="N2:N7" totalsRowShown="0" headerRowDxfId="9" dataDxfId="8">
  <autoFilter ref="N2:N7" xr:uid="{B065AFA4-E4A6-4EB6-BAF4-C0C1C198CDD3}"/>
  <tableColumns count="1">
    <tableColumn id="1" xr3:uid="{075CF4CE-6ED0-443D-9C6E-B6A9388FEF4F}" name="Payment Modes" dataDxfId="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E5F23F3-D5BD-4889-80FE-6A8EE85DE4BB}" name="Table11" displayName="Table11" ref="P2:P6" totalsRowShown="0" headerRowDxfId="6" dataDxfId="5">
  <autoFilter ref="P2:P6" xr:uid="{BE5F23F3-D5BD-4889-80FE-6A8EE85DE4BB}"/>
  <tableColumns count="1">
    <tableColumn id="1" xr3:uid="{51505603-989C-463D-9CD0-EFC7A5A90268}" name="Delivery Status" dataDxfId="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F1248A-AB8D-4E3B-94B7-6A32A16D58C5}" name="Table12" displayName="Table12" ref="A1:S1001" totalsRowShown="0" headerRowDxfId="3">
  <autoFilter ref="A1:S1001" xr:uid="{00F1248A-AB8D-4E3B-94B7-6A32A16D58C5}"/>
  <tableColumns count="19">
    <tableColumn id="1" xr3:uid="{94F17239-9A3F-43B3-9596-63B76C8E231F}" name="Order_ID"/>
    <tableColumn id="2" xr3:uid="{D02A1C57-1EB5-4D3B-9FFA-510D0E361036}" name="Customer_ID"/>
    <tableColumn id="3" xr3:uid="{469C68D1-60B1-4924-BC00-6CF92A58FF57}" name="Order_Date" dataDxfId="2"/>
    <tableColumn id="4" xr3:uid="{6AC8286D-1821-4F47-B9CB-BA9975AF99DE}" name="Customer_Name"/>
    <tableColumn id="5" xr3:uid="{63E17EBE-51D6-425A-A20F-72CD6C84356B}" name="City"/>
    <tableColumn id="6" xr3:uid="{95FBFED1-8AB2-491C-BA1F-862270E7E3FB}" name="State">
      <calculatedColumnFormula>_xlfn.XLOOKUP(E2,Table8[City],Table8[State])</calculatedColumnFormula>
    </tableColumn>
    <tableColumn id="7" xr3:uid="{50F6645E-7C7D-4434-8DF6-E7324540C8D2}" name="Region">
      <calculatedColumnFormula>_xlfn.XLOOKUP(E2,Table8[City],Table8[Region])</calculatedColumnFormula>
    </tableColumn>
    <tableColumn id="8" xr3:uid="{405C680D-CE33-4431-AA96-072D212BE4EC}" name="Product"/>
    <tableColumn id="9" xr3:uid="{2FA37463-765C-4A71-89E5-65ED2D729507}" name="Category">
      <calculatedColumnFormula>_xlfn.XLOOKUP(H2,Table6[Product],Table6[Category])</calculatedColumnFormula>
    </tableColumn>
    <tableColumn id="10" xr3:uid="{E11C29C6-DE21-4F50-92E4-FD0E9D209613}" name="Salesperson"/>
    <tableColumn id="11" xr3:uid="{EED42ECB-E1E6-4F48-82F5-101BC269DB6B}" name="Quantity"/>
    <tableColumn id="12" xr3:uid="{D899917A-05ED-492F-8B4C-E857906A26AE}" name="Unit_Price">
      <calculatedColumnFormula>_xlfn.XLOOKUP(H2,Table6[Product],Table6[Unit Price])</calculatedColumnFormula>
    </tableColumn>
    <tableColumn id="13" xr3:uid="{FF0D6781-FF6A-4028-8D32-0DCBE0FA317D}" name="Cost_Price">
      <calculatedColumnFormula>_xlfn.XLOOKUP(H2,Table6[Product],Table6[Cost Price])</calculatedColumnFormula>
    </tableColumn>
    <tableColumn id="14" xr3:uid="{1786FEB9-FA63-44DA-8606-BFA9A28632DE}" name="Discount_%" dataDxfId="1"/>
    <tableColumn id="15" xr3:uid="{13ECC6E2-79F6-40EC-948A-9D6727088E3B}" name="Total_Sales">
      <calculatedColumnFormula>(L2*K2)*(1-N2)</calculatedColumnFormula>
    </tableColumn>
    <tableColumn id="16" xr3:uid="{7D6C58DA-9803-4CE7-99D2-CB1866674094}" name="Total_Cost">
      <calculatedColumnFormula>M2*K2</calculatedColumnFormula>
    </tableColumn>
    <tableColumn id="17" xr3:uid="{96AE6EAC-4972-46D9-B02D-F2655204F8C9}" name="Profit">
      <calculatedColumnFormula>O2-P2</calculatedColumnFormula>
    </tableColumn>
    <tableColumn id="18" xr3:uid="{4CA0B63F-B57A-487B-8DEE-3B9BA6C528F1}" name="Payment_Mode"/>
    <tableColumn id="19" xr3:uid="{B0DF1746-C40E-491E-AEA1-9D0E822C4D9D}" name="Delivery_Status"/>
  </tableColumns>
  <tableStyleInfo name="TableStyleMedium2" showFirstColumn="0" showLastColumn="0" showRowStripes="1" showColumnStripes="0"/>
</table>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D9F20-D799-48B2-8EE2-3B3ECD5EA52D}">
  <dimension ref="A1:P22"/>
  <sheetViews>
    <sheetView topLeftCell="H1" zoomScale="114" zoomScaleNormal="114" workbookViewId="0">
      <pane ySplit="1" topLeftCell="A2" activePane="bottomLeft" state="frozen"/>
      <selection pane="bottomLeft" activeCell="H2" sqref="H2:J15"/>
    </sheetView>
  </sheetViews>
  <sheetFormatPr defaultRowHeight="13.8" x14ac:dyDescent="0.5"/>
  <cols>
    <col min="1" max="1" width="14.77734375" customWidth="1"/>
    <col min="2" max="5" width="11.33203125" customWidth="1"/>
    <col min="6" max="6" width="18.33203125" customWidth="1"/>
    <col min="7" max="8" width="11.33203125" customWidth="1"/>
    <col min="9" max="9" width="13" customWidth="1"/>
    <col min="10" max="11" width="11.6640625" customWidth="1"/>
    <col min="12" max="12" width="20.44140625" customWidth="1"/>
    <col min="13" max="13" width="12.5546875" customWidth="1"/>
    <col min="14" max="14" width="19.77734375" customWidth="1"/>
    <col min="15" max="15" width="14.88671875" customWidth="1"/>
    <col min="16" max="16" width="23.109375" customWidth="1"/>
    <col min="17" max="17" width="13.5546875" customWidth="1"/>
    <col min="18" max="18" width="12.6640625" bestFit="1" customWidth="1"/>
  </cols>
  <sheetData>
    <row r="1" spans="1:16" ht="18" x14ac:dyDescent="0.5">
      <c r="A1" s="15" t="s">
        <v>2071</v>
      </c>
      <c r="B1" s="15"/>
      <c r="C1" s="15"/>
      <c r="D1" s="15"/>
      <c r="E1" s="3"/>
      <c r="F1" s="8" t="s">
        <v>2103</v>
      </c>
      <c r="G1" s="1"/>
      <c r="H1" s="8"/>
      <c r="I1" s="8" t="s">
        <v>2081</v>
      </c>
      <c r="J1" s="8"/>
      <c r="K1" s="3"/>
      <c r="L1" s="8" t="s">
        <v>2100</v>
      </c>
      <c r="M1" s="5"/>
      <c r="N1" s="8" t="s">
        <v>2101</v>
      </c>
      <c r="O1" s="5"/>
      <c r="P1" s="8" t="s">
        <v>2102</v>
      </c>
    </row>
    <row r="2" spans="1:16" ht="18" x14ac:dyDescent="0.5">
      <c r="A2" s="3" t="s">
        <v>6</v>
      </c>
      <c r="B2" s="3" t="s">
        <v>7</v>
      </c>
      <c r="C2" s="3" t="s">
        <v>65</v>
      </c>
      <c r="D2" s="3" t="s">
        <v>66</v>
      </c>
      <c r="E2" s="3"/>
      <c r="F2" s="3" t="s">
        <v>2082</v>
      </c>
      <c r="G2" s="1"/>
      <c r="H2" s="3" t="s">
        <v>3</v>
      </c>
      <c r="I2" s="3" t="s">
        <v>4</v>
      </c>
      <c r="J2" s="3" t="s">
        <v>5</v>
      </c>
      <c r="K2" s="3"/>
      <c r="L2" s="5" t="s">
        <v>53</v>
      </c>
      <c r="M2" s="5"/>
      <c r="N2" s="5" t="s">
        <v>42</v>
      </c>
      <c r="O2" s="5"/>
      <c r="P2" s="5" t="s">
        <v>48</v>
      </c>
    </row>
    <row r="3" spans="1:16" ht="18" x14ac:dyDescent="0.5">
      <c r="A3" t="s">
        <v>16</v>
      </c>
      <c r="B3" s="1" t="s">
        <v>17</v>
      </c>
      <c r="C3" s="1">
        <v>65000</v>
      </c>
      <c r="D3" s="1">
        <v>52000</v>
      </c>
      <c r="E3" s="1"/>
      <c r="F3" s="1" t="s">
        <v>69</v>
      </c>
      <c r="G3" s="1"/>
      <c r="H3" s="1" t="s">
        <v>70</v>
      </c>
      <c r="I3" s="1" t="s">
        <v>34</v>
      </c>
      <c r="J3" s="1" t="s">
        <v>31</v>
      </c>
      <c r="K3" s="1"/>
      <c r="L3" s="4" t="s">
        <v>54</v>
      </c>
      <c r="M3" s="4"/>
      <c r="N3" s="4" t="s">
        <v>43</v>
      </c>
      <c r="O3" s="4"/>
      <c r="P3" s="4" t="s">
        <v>49</v>
      </c>
    </row>
    <row r="4" spans="1:16" ht="18" x14ac:dyDescent="0.5">
      <c r="A4" s="1" t="s">
        <v>18</v>
      </c>
      <c r="B4" s="1" t="s">
        <v>17</v>
      </c>
      <c r="C4" s="1">
        <v>35000</v>
      </c>
      <c r="D4" s="1">
        <v>28000</v>
      </c>
      <c r="E4" s="1"/>
      <c r="F4" s="1" t="s">
        <v>2083</v>
      </c>
      <c r="G4" s="1"/>
      <c r="H4" s="1" t="s">
        <v>2072</v>
      </c>
      <c r="I4" s="1" t="s">
        <v>34</v>
      </c>
      <c r="J4" s="1" t="s">
        <v>31</v>
      </c>
      <c r="K4" s="1"/>
      <c r="L4" s="4" t="s">
        <v>55</v>
      </c>
      <c r="M4" s="4"/>
      <c r="N4" s="4" t="s">
        <v>44</v>
      </c>
      <c r="O4" s="4"/>
      <c r="P4" s="4" t="s">
        <v>50</v>
      </c>
    </row>
    <row r="5" spans="1:16" ht="18" x14ac:dyDescent="0.5">
      <c r="A5" s="1" t="s">
        <v>19</v>
      </c>
      <c r="B5" s="1" t="s">
        <v>17</v>
      </c>
      <c r="C5" s="1">
        <v>25000</v>
      </c>
      <c r="D5" s="1">
        <v>20000</v>
      </c>
      <c r="E5" s="1"/>
      <c r="F5" s="1" t="s">
        <v>2084</v>
      </c>
      <c r="G5" s="1"/>
      <c r="H5" s="1" t="s">
        <v>2073</v>
      </c>
      <c r="I5" s="1" t="s">
        <v>35</v>
      </c>
      <c r="J5" s="1" t="s">
        <v>33</v>
      </c>
      <c r="K5" s="1"/>
      <c r="L5" s="4" t="s">
        <v>56</v>
      </c>
      <c r="M5" s="4"/>
      <c r="N5" s="4" t="s">
        <v>45</v>
      </c>
      <c r="O5" s="4"/>
      <c r="P5" s="4" t="s">
        <v>51</v>
      </c>
    </row>
    <row r="6" spans="1:16" ht="18" x14ac:dyDescent="0.5">
      <c r="A6" s="1" t="s">
        <v>20</v>
      </c>
      <c r="B6" s="1" t="s">
        <v>21</v>
      </c>
      <c r="C6" s="1">
        <v>3000</v>
      </c>
      <c r="D6" s="1">
        <v>1800</v>
      </c>
      <c r="E6" s="1"/>
      <c r="F6" s="1" t="s">
        <v>2085</v>
      </c>
      <c r="G6" s="1"/>
      <c r="H6" s="1" t="s">
        <v>2074</v>
      </c>
      <c r="I6" s="1" t="s">
        <v>35</v>
      </c>
      <c r="J6" s="1" t="s">
        <v>33</v>
      </c>
      <c r="K6" s="1"/>
      <c r="L6" s="4" t="s">
        <v>57</v>
      </c>
      <c r="M6" s="4"/>
      <c r="N6" s="4" t="s">
        <v>46</v>
      </c>
      <c r="O6" s="4"/>
      <c r="P6" s="4" t="s">
        <v>52</v>
      </c>
    </row>
    <row r="7" spans="1:16" ht="18" x14ac:dyDescent="0.5">
      <c r="A7" s="1" t="s">
        <v>22</v>
      </c>
      <c r="B7" s="1" t="s">
        <v>23</v>
      </c>
      <c r="C7" s="1">
        <v>12000</v>
      </c>
      <c r="D7" s="1">
        <v>8500</v>
      </c>
      <c r="E7" s="1"/>
      <c r="F7" s="1" t="s">
        <v>2086</v>
      </c>
      <c r="G7" s="1"/>
      <c r="H7" s="1" t="s">
        <v>2075</v>
      </c>
      <c r="I7" s="1" t="s">
        <v>36</v>
      </c>
      <c r="J7" s="1" t="s">
        <v>31</v>
      </c>
      <c r="K7" s="1"/>
      <c r="L7" s="4" t="s">
        <v>58</v>
      </c>
      <c r="M7" s="4"/>
      <c r="N7" s="4" t="s">
        <v>47</v>
      </c>
      <c r="O7" s="4"/>
    </row>
    <row r="8" spans="1:16" ht="14.4" customHeight="1" x14ac:dyDescent="0.5">
      <c r="A8" s="1" t="s">
        <v>24</v>
      </c>
      <c r="B8" s="1" t="s">
        <v>21</v>
      </c>
      <c r="C8" s="1">
        <v>1500</v>
      </c>
      <c r="D8" s="1">
        <v>900</v>
      </c>
      <c r="E8" s="1"/>
      <c r="F8" s="1" t="s">
        <v>59</v>
      </c>
      <c r="G8" s="1"/>
      <c r="H8" s="1" t="s">
        <v>2076</v>
      </c>
      <c r="I8" s="1" t="s">
        <v>36</v>
      </c>
      <c r="J8" s="1" t="s">
        <v>31</v>
      </c>
      <c r="K8" s="1"/>
      <c r="L8" s="4" t="s">
        <v>59</v>
      </c>
      <c r="M8" s="4"/>
      <c r="N8" s="1"/>
      <c r="O8" s="1"/>
    </row>
    <row r="9" spans="1:16" ht="18" x14ac:dyDescent="0.5">
      <c r="A9" s="1" t="s">
        <v>25</v>
      </c>
      <c r="B9" s="1" t="s">
        <v>21</v>
      </c>
      <c r="C9" s="1">
        <v>800</v>
      </c>
      <c r="D9" s="1">
        <v>450</v>
      </c>
      <c r="E9" s="1"/>
      <c r="F9" s="1" t="s">
        <v>2087</v>
      </c>
      <c r="G9" s="1"/>
      <c r="H9" s="1" t="s">
        <v>2077</v>
      </c>
      <c r="I9" s="1" t="s">
        <v>37</v>
      </c>
      <c r="J9" s="1" t="s">
        <v>31</v>
      </c>
      <c r="K9" s="1"/>
      <c r="L9" s="4" t="s">
        <v>60</v>
      </c>
      <c r="M9" s="4"/>
      <c r="N9" s="1"/>
      <c r="O9" s="1"/>
    </row>
    <row r="10" spans="1:16" ht="18" x14ac:dyDescent="0.5">
      <c r="A10" s="1" t="s">
        <v>26</v>
      </c>
      <c r="B10" s="1" t="s">
        <v>27</v>
      </c>
      <c r="C10" s="1">
        <v>15000</v>
      </c>
      <c r="D10" s="1">
        <v>11500</v>
      </c>
      <c r="E10" s="1"/>
      <c r="F10" s="1" t="s">
        <v>63</v>
      </c>
      <c r="G10" s="1"/>
      <c r="H10" s="1" t="s">
        <v>2078</v>
      </c>
      <c r="I10" s="1" t="s">
        <v>37</v>
      </c>
      <c r="J10" s="1" t="s">
        <v>31</v>
      </c>
      <c r="K10" s="1"/>
      <c r="L10" s="4" t="s">
        <v>61</v>
      </c>
      <c r="M10" s="4"/>
      <c r="N10" s="1"/>
      <c r="O10" s="1"/>
    </row>
    <row r="11" spans="1:16" ht="14.4" customHeight="1" x14ac:dyDescent="0.5">
      <c r="A11" s="1" t="s">
        <v>28</v>
      </c>
      <c r="B11" s="1" t="s">
        <v>27</v>
      </c>
      <c r="C11" s="1">
        <v>18000</v>
      </c>
      <c r="D11" s="1">
        <v>14000</v>
      </c>
      <c r="E11" s="1"/>
      <c r="F11" s="1" t="s">
        <v>2088</v>
      </c>
      <c r="G11" s="1"/>
      <c r="H11" s="1" t="s">
        <v>2079</v>
      </c>
      <c r="I11" s="1" t="s">
        <v>39</v>
      </c>
      <c r="J11" s="1" t="s">
        <v>33</v>
      </c>
      <c r="K11" s="1"/>
      <c r="L11" s="4" t="s">
        <v>62</v>
      </c>
      <c r="M11" s="4"/>
      <c r="N11" s="1"/>
      <c r="O11" s="1"/>
    </row>
    <row r="12" spans="1:16" ht="18" x14ac:dyDescent="0.5">
      <c r="A12" s="1" t="s">
        <v>29</v>
      </c>
      <c r="B12" s="1" t="s">
        <v>17</v>
      </c>
      <c r="C12" s="1">
        <v>5000</v>
      </c>
      <c r="D12" s="1">
        <v>3200</v>
      </c>
      <c r="E12" s="1"/>
      <c r="F12" s="1" t="s">
        <v>2089</v>
      </c>
      <c r="G12" s="1"/>
      <c r="H12" s="1" t="s">
        <v>2080</v>
      </c>
      <c r="I12" s="1" t="s">
        <v>39</v>
      </c>
      <c r="J12" s="1" t="s">
        <v>33</v>
      </c>
      <c r="K12" s="1"/>
      <c r="L12" s="4" t="s">
        <v>63</v>
      </c>
      <c r="M12" s="4"/>
      <c r="N12" s="1"/>
      <c r="O12" s="1"/>
    </row>
    <row r="13" spans="1:16" ht="18" x14ac:dyDescent="0.5">
      <c r="F13" s="1" t="s">
        <v>2090</v>
      </c>
      <c r="G13" s="1"/>
      <c r="H13" s="1" t="s">
        <v>2104</v>
      </c>
      <c r="I13" s="1" t="s">
        <v>38</v>
      </c>
      <c r="J13" s="1" t="s">
        <v>30</v>
      </c>
    </row>
    <row r="14" spans="1:16" ht="18" x14ac:dyDescent="0.5">
      <c r="F14" s="1" t="s">
        <v>2091</v>
      </c>
      <c r="G14" s="1"/>
      <c r="H14" s="1" t="s">
        <v>2105</v>
      </c>
      <c r="I14" s="1" t="s">
        <v>40</v>
      </c>
      <c r="J14" s="1" t="s">
        <v>30</v>
      </c>
    </row>
    <row r="15" spans="1:16" ht="18" x14ac:dyDescent="0.5">
      <c r="F15" s="1" t="s">
        <v>2092</v>
      </c>
      <c r="G15" s="1"/>
      <c r="H15" s="1" t="s">
        <v>2106</v>
      </c>
      <c r="I15" s="1" t="s">
        <v>41</v>
      </c>
      <c r="J15" s="1" t="s">
        <v>32</v>
      </c>
    </row>
    <row r="16" spans="1:16" ht="18" x14ac:dyDescent="0.5">
      <c r="F16" s="1" t="s">
        <v>2093</v>
      </c>
      <c r="G16" s="1"/>
    </row>
    <row r="17" spans="6:7" ht="18" x14ac:dyDescent="0.5">
      <c r="F17" s="1" t="s">
        <v>2094</v>
      </c>
      <c r="G17" s="1"/>
    </row>
    <row r="18" spans="6:7" ht="18" x14ac:dyDescent="0.5">
      <c r="F18" s="1" t="s">
        <v>2095</v>
      </c>
      <c r="G18" s="1"/>
    </row>
    <row r="19" spans="6:7" ht="18" x14ac:dyDescent="0.5">
      <c r="F19" s="1" t="s">
        <v>2096</v>
      </c>
      <c r="G19" s="1"/>
    </row>
    <row r="20" spans="6:7" ht="18" x14ac:dyDescent="0.5">
      <c r="F20" s="1" t="s">
        <v>2097</v>
      </c>
      <c r="G20" s="1"/>
    </row>
    <row r="21" spans="6:7" ht="18" x14ac:dyDescent="0.5">
      <c r="F21" s="1" t="s">
        <v>2098</v>
      </c>
      <c r="G21" s="1"/>
    </row>
    <row r="22" spans="6:7" ht="18" x14ac:dyDescent="0.5">
      <c r="F22" s="1" t="s">
        <v>2099</v>
      </c>
    </row>
  </sheetData>
  <mergeCells count="1">
    <mergeCell ref="A1:D1"/>
  </mergeCells>
  <phoneticPr fontId="3" type="noConversion"/>
  <pageMargins left="0.7" right="0.7" top="0.75" bottom="0.75" header="0.3" footer="0.3"/>
  <tableParts count="6">
    <tablePart r:id="rId1"/>
    <tablePart r:id="rId2"/>
    <tablePart r:id="rId3"/>
    <tablePart r:id="rId4"/>
    <tablePart r:id="rId5"/>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F3781-B874-4097-85A0-C4DF40034246}">
  <dimension ref="A1:S1001"/>
  <sheetViews>
    <sheetView workbookViewId="0">
      <pane ySplit="1" topLeftCell="A979" activePane="bottomLeft" state="frozen"/>
      <selection pane="bottomLeft" activeCell="B998" sqref="A2:S1001"/>
    </sheetView>
  </sheetViews>
  <sheetFormatPr defaultRowHeight="13.8" x14ac:dyDescent="0.5"/>
  <cols>
    <col min="1" max="1" width="10.44140625" customWidth="1"/>
    <col min="2" max="2" width="13.77734375" customWidth="1"/>
    <col min="3" max="3" width="12.5546875" customWidth="1"/>
    <col min="4" max="4" width="17" customWidth="1"/>
    <col min="5" max="5" width="11.33203125" customWidth="1"/>
    <col min="6" max="6" width="11.44140625" customWidth="1"/>
    <col min="8" max="8" width="11.77734375" customWidth="1"/>
    <col min="9" max="9" width="10.44140625" customWidth="1"/>
    <col min="10" max="10" width="12.88671875" customWidth="1"/>
    <col min="11" max="11" width="10.21875" customWidth="1"/>
    <col min="12" max="12" width="11.5546875" customWidth="1"/>
    <col min="13" max="13" width="11.6640625" customWidth="1"/>
    <col min="14" max="14" width="12.6640625" customWidth="1"/>
    <col min="15" max="15" width="12.33203125" customWidth="1"/>
    <col min="16" max="16" width="11.77734375" customWidth="1"/>
    <col min="18" max="18" width="16.44140625" customWidth="1"/>
    <col min="19" max="19" width="15.88671875" customWidth="1"/>
  </cols>
  <sheetData>
    <row r="1" spans="1:19" ht="30" customHeight="1" x14ac:dyDescent="0.5">
      <c r="A1" s="2" t="s">
        <v>0</v>
      </c>
      <c r="B1" s="2" t="s">
        <v>64</v>
      </c>
      <c r="C1" s="2" t="s">
        <v>1</v>
      </c>
      <c r="D1" s="2" t="s">
        <v>2</v>
      </c>
      <c r="E1" s="2" t="s">
        <v>3</v>
      </c>
      <c r="F1" s="2" t="s">
        <v>4</v>
      </c>
      <c r="G1" s="2" t="s">
        <v>5</v>
      </c>
      <c r="H1" s="2" t="s">
        <v>6</v>
      </c>
      <c r="I1" s="2" t="s">
        <v>7</v>
      </c>
      <c r="J1" s="2" t="s">
        <v>8</v>
      </c>
      <c r="K1" s="2" t="s">
        <v>9</v>
      </c>
      <c r="L1" s="2" t="s">
        <v>10</v>
      </c>
      <c r="M1" s="2" t="s">
        <v>72</v>
      </c>
      <c r="N1" s="2" t="s">
        <v>11</v>
      </c>
      <c r="O1" s="2" t="s">
        <v>12</v>
      </c>
      <c r="P1" s="2" t="s">
        <v>71</v>
      </c>
      <c r="Q1" s="2" t="s">
        <v>13</v>
      </c>
      <c r="R1" s="2" t="s">
        <v>14</v>
      </c>
      <c r="S1" s="2" t="s">
        <v>15</v>
      </c>
    </row>
    <row r="2" spans="1:19" ht="18" x14ac:dyDescent="0.5">
      <c r="A2" t="s">
        <v>67</v>
      </c>
      <c r="B2" t="s">
        <v>68</v>
      </c>
      <c r="C2" s="6">
        <v>45943</v>
      </c>
      <c r="D2" t="s">
        <v>2092</v>
      </c>
      <c r="E2" t="s">
        <v>2080</v>
      </c>
      <c r="F2" t="str">
        <f>_xlfn.XLOOKUP(E2,Table8[City],Table8[State])</f>
        <v>Gujarat</v>
      </c>
      <c r="G2" t="str">
        <f>_xlfn.XLOOKUP(E2,Table8[City],Table8[Region])</f>
        <v>West</v>
      </c>
      <c r="H2" t="s">
        <v>28</v>
      </c>
      <c r="I2" t="str">
        <f>_xlfn.XLOOKUP(H2,Table6[Product],Table6[Category])</f>
        <v>Office</v>
      </c>
      <c r="J2" t="s">
        <v>58</v>
      </c>
      <c r="K2">
        <v>5</v>
      </c>
      <c r="L2">
        <f>_xlfn.XLOOKUP(H2,Table6[Product],Table6[Unit Price])</f>
        <v>18000</v>
      </c>
      <c r="M2">
        <f>_xlfn.XLOOKUP(H2,Table6[Product],Table6[Cost Price])</f>
        <v>14000</v>
      </c>
      <c r="N2" s="7">
        <v>0.04</v>
      </c>
      <c r="O2">
        <f>(L2*K2)*(1-N2)</f>
        <v>86400</v>
      </c>
      <c r="P2">
        <f>M2*K2</f>
        <v>70000</v>
      </c>
      <c r="Q2">
        <f>O2-P2</f>
        <v>16400</v>
      </c>
      <c r="R2" t="s">
        <v>44</v>
      </c>
      <c r="S2" t="s">
        <v>49</v>
      </c>
    </row>
    <row r="3" spans="1:19" ht="18" x14ac:dyDescent="0.5">
      <c r="A3" t="s">
        <v>73</v>
      </c>
      <c r="B3" t="s">
        <v>1072</v>
      </c>
      <c r="C3" s="6">
        <v>45812</v>
      </c>
      <c r="D3" t="s">
        <v>2099</v>
      </c>
      <c r="E3" t="s">
        <v>2073</v>
      </c>
      <c r="F3" t="str">
        <f>_xlfn.XLOOKUP(E3,Table8[City],Table8[State])</f>
        <v>Maharashtra</v>
      </c>
      <c r="G3" t="str">
        <f>_xlfn.XLOOKUP(E3,Table8[City],Table8[Region])</f>
        <v>West</v>
      </c>
      <c r="H3" t="s">
        <v>24</v>
      </c>
      <c r="I3" t="str">
        <f>_xlfn.XLOOKUP(H3,Table6[Product],Table6[Category])</f>
        <v>Accessories</v>
      </c>
      <c r="J3" t="s">
        <v>58</v>
      </c>
      <c r="K3">
        <v>3</v>
      </c>
      <c r="L3">
        <f>_xlfn.XLOOKUP(H3,Table6[Product],Table6[Unit Price])</f>
        <v>1500</v>
      </c>
      <c r="M3">
        <f>_xlfn.XLOOKUP(H3,Table6[Product],Table6[Cost Price])</f>
        <v>900</v>
      </c>
      <c r="N3" s="7">
        <v>0.08</v>
      </c>
      <c r="O3">
        <f t="shared" ref="O3:O66" si="0">(L3*K3)*(1-N3)</f>
        <v>4140</v>
      </c>
      <c r="P3">
        <f t="shared" ref="P3:P66" si="1">M3*K3</f>
        <v>2700</v>
      </c>
      <c r="Q3">
        <f t="shared" ref="Q3:Q66" si="2">O3-P3</f>
        <v>1440</v>
      </c>
      <c r="R3" t="s">
        <v>45</v>
      </c>
      <c r="S3" t="s">
        <v>52</v>
      </c>
    </row>
    <row r="4" spans="1:19" ht="18" x14ac:dyDescent="0.5">
      <c r="A4" t="s">
        <v>74</v>
      </c>
      <c r="B4" t="s">
        <v>1073</v>
      </c>
      <c r="C4" s="6">
        <v>46010</v>
      </c>
      <c r="D4" t="s">
        <v>2085</v>
      </c>
      <c r="E4" t="s">
        <v>2072</v>
      </c>
      <c r="F4" t="str">
        <f>_xlfn.XLOOKUP(E4,Table8[City],Table8[State])</f>
        <v>Karnataka</v>
      </c>
      <c r="G4" t="str">
        <f>_xlfn.XLOOKUP(E4,Table8[City],Table8[Region])</f>
        <v>South</v>
      </c>
      <c r="H4" t="s">
        <v>18</v>
      </c>
      <c r="I4" t="str">
        <f>_xlfn.XLOOKUP(H4,Table6[Product],Table6[Category])</f>
        <v>Electronics</v>
      </c>
      <c r="J4" t="s">
        <v>58</v>
      </c>
      <c r="K4">
        <v>3</v>
      </c>
      <c r="L4">
        <f>_xlfn.XLOOKUP(H4,Table6[Product],Table6[Unit Price])</f>
        <v>35000</v>
      </c>
      <c r="M4">
        <f>_xlfn.XLOOKUP(H4,Table6[Product],Table6[Cost Price])</f>
        <v>28000</v>
      </c>
      <c r="N4" s="7">
        <v>0.22</v>
      </c>
      <c r="O4">
        <f t="shared" si="0"/>
        <v>81900</v>
      </c>
      <c r="P4">
        <f t="shared" si="1"/>
        <v>84000</v>
      </c>
      <c r="Q4">
        <f t="shared" si="2"/>
        <v>-2100</v>
      </c>
      <c r="R4" t="s">
        <v>47</v>
      </c>
      <c r="S4" t="s">
        <v>52</v>
      </c>
    </row>
    <row r="5" spans="1:19" ht="18" x14ac:dyDescent="0.5">
      <c r="A5" t="s">
        <v>75</v>
      </c>
      <c r="B5" t="s">
        <v>1074</v>
      </c>
      <c r="C5" s="6">
        <v>45738</v>
      </c>
      <c r="D5" t="s">
        <v>2084</v>
      </c>
      <c r="E5" t="s">
        <v>2105</v>
      </c>
      <c r="F5" t="str">
        <f>_xlfn.XLOOKUP(E5,Table8[City],Table8[State])</f>
        <v>Rajasthan</v>
      </c>
      <c r="G5" t="str">
        <f>_xlfn.XLOOKUP(E5,Table8[City],Table8[Region])</f>
        <v>North</v>
      </c>
      <c r="H5" t="s">
        <v>19</v>
      </c>
      <c r="I5" t="str">
        <f>_xlfn.XLOOKUP(H5,Table6[Product],Table6[Category])</f>
        <v>Electronics</v>
      </c>
      <c r="J5" t="s">
        <v>59</v>
      </c>
      <c r="K5">
        <v>1</v>
      </c>
      <c r="L5">
        <f>_xlfn.XLOOKUP(H5,Table6[Product],Table6[Unit Price])</f>
        <v>25000</v>
      </c>
      <c r="M5">
        <f>_xlfn.XLOOKUP(H5,Table6[Product],Table6[Cost Price])</f>
        <v>20000</v>
      </c>
      <c r="N5" s="7">
        <v>0.28999999999999998</v>
      </c>
      <c r="O5">
        <f t="shared" si="0"/>
        <v>17750</v>
      </c>
      <c r="P5">
        <f t="shared" si="1"/>
        <v>20000</v>
      </c>
      <c r="Q5">
        <f t="shared" si="2"/>
        <v>-2250</v>
      </c>
      <c r="R5" t="s">
        <v>44</v>
      </c>
      <c r="S5" t="s">
        <v>50</v>
      </c>
    </row>
    <row r="6" spans="1:19" ht="18" x14ac:dyDescent="0.5">
      <c r="A6" t="s">
        <v>76</v>
      </c>
      <c r="B6" t="s">
        <v>1075</v>
      </c>
      <c r="C6" s="6">
        <v>45371</v>
      </c>
      <c r="D6" t="s">
        <v>2091</v>
      </c>
      <c r="E6" t="s">
        <v>70</v>
      </c>
      <c r="F6" t="str">
        <f>_xlfn.XLOOKUP(E6,Table8[City],Table8[State])</f>
        <v>Karnataka</v>
      </c>
      <c r="G6" t="str">
        <f>_xlfn.XLOOKUP(E6,Table8[City],Table8[Region])</f>
        <v>South</v>
      </c>
      <c r="H6" t="s">
        <v>22</v>
      </c>
      <c r="I6" t="str">
        <f>_xlfn.XLOOKUP(H6,Table6[Product],Table6[Category])</f>
        <v>Wearables</v>
      </c>
      <c r="J6" t="s">
        <v>59</v>
      </c>
      <c r="K6">
        <v>6</v>
      </c>
      <c r="L6">
        <f>_xlfn.XLOOKUP(H6,Table6[Product],Table6[Unit Price])</f>
        <v>12000</v>
      </c>
      <c r="M6">
        <f>_xlfn.XLOOKUP(H6,Table6[Product],Table6[Cost Price])</f>
        <v>8500</v>
      </c>
      <c r="N6" s="7">
        <v>0.21</v>
      </c>
      <c r="O6">
        <f t="shared" si="0"/>
        <v>56880</v>
      </c>
      <c r="P6">
        <f t="shared" si="1"/>
        <v>51000</v>
      </c>
      <c r="Q6">
        <f t="shared" si="2"/>
        <v>5880</v>
      </c>
      <c r="R6" t="s">
        <v>43</v>
      </c>
      <c r="S6" t="s">
        <v>50</v>
      </c>
    </row>
    <row r="7" spans="1:19" ht="18" x14ac:dyDescent="0.5">
      <c r="A7" t="s">
        <v>77</v>
      </c>
      <c r="B7" t="s">
        <v>1076</v>
      </c>
      <c r="C7" s="6">
        <v>45343</v>
      </c>
      <c r="D7" t="s">
        <v>2083</v>
      </c>
      <c r="E7" t="s">
        <v>2074</v>
      </c>
      <c r="F7" t="str">
        <f>_xlfn.XLOOKUP(E7,Table8[City],Table8[State])</f>
        <v>Maharashtra</v>
      </c>
      <c r="G7" t="str">
        <f>_xlfn.XLOOKUP(E7,Table8[City],Table8[Region])</f>
        <v>West</v>
      </c>
      <c r="H7" t="s">
        <v>22</v>
      </c>
      <c r="I7" t="str">
        <f>_xlfn.XLOOKUP(H7,Table6[Product],Table6[Category])</f>
        <v>Wearables</v>
      </c>
      <c r="J7" t="s">
        <v>63</v>
      </c>
      <c r="K7">
        <v>6</v>
      </c>
      <c r="L7">
        <f>_xlfn.XLOOKUP(H7,Table6[Product],Table6[Unit Price])</f>
        <v>12000</v>
      </c>
      <c r="M7">
        <f>_xlfn.XLOOKUP(H7,Table6[Product],Table6[Cost Price])</f>
        <v>8500</v>
      </c>
      <c r="N7" s="7">
        <v>7.0000000000000007E-2</v>
      </c>
      <c r="O7">
        <f t="shared" si="0"/>
        <v>66960</v>
      </c>
      <c r="P7">
        <f t="shared" si="1"/>
        <v>51000</v>
      </c>
      <c r="Q7">
        <f t="shared" si="2"/>
        <v>15960</v>
      </c>
      <c r="R7" t="s">
        <v>47</v>
      </c>
      <c r="S7" t="s">
        <v>51</v>
      </c>
    </row>
    <row r="8" spans="1:19" ht="18" x14ac:dyDescent="0.5">
      <c r="A8" t="s">
        <v>78</v>
      </c>
      <c r="B8" t="s">
        <v>1077</v>
      </c>
      <c r="C8" s="6">
        <v>45853</v>
      </c>
      <c r="D8" t="s">
        <v>2086</v>
      </c>
      <c r="E8" t="s">
        <v>2076</v>
      </c>
      <c r="F8" t="str">
        <f>_xlfn.XLOOKUP(E8,Table8[City],Table8[State])</f>
        <v>Tamil Nadu</v>
      </c>
      <c r="G8" t="str">
        <f>_xlfn.XLOOKUP(E8,Table8[City],Table8[Region])</f>
        <v>South</v>
      </c>
      <c r="H8" t="s">
        <v>19</v>
      </c>
      <c r="I8" t="str">
        <f>_xlfn.XLOOKUP(H8,Table6[Product],Table6[Category])</f>
        <v>Electronics</v>
      </c>
      <c r="J8" t="s">
        <v>56</v>
      </c>
      <c r="K8">
        <v>10</v>
      </c>
      <c r="L8">
        <f>_xlfn.XLOOKUP(H8,Table6[Product],Table6[Unit Price])</f>
        <v>25000</v>
      </c>
      <c r="M8">
        <f>_xlfn.XLOOKUP(H8,Table6[Product],Table6[Cost Price])</f>
        <v>20000</v>
      </c>
      <c r="N8" s="7">
        <v>0.27</v>
      </c>
      <c r="O8">
        <f t="shared" si="0"/>
        <v>182500</v>
      </c>
      <c r="P8">
        <f t="shared" si="1"/>
        <v>200000</v>
      </c>
      <c r="Q8">
        <f t="shared" si="2"/>
        <v>-17500</v>
      </c>
      <c r="R8" t="s">
        <v>43</v>
      </c>
      <c r="S8" t="s">
        <v>52</v>
      </c>
    </row>
    <row r="9" spans="1:19" ht="18" x14ac:dyDescent="0.5">
      <c r="A9" t="s">
        <v>79</v>
      </c>
      <c r="B9" t="s">
        <v>1078</v>
      </c>
      <c r="C9" s="6">
        <v>45740</v>
      </c>
      <c r="D9" t="s">
        <v>2087</v>
      </c>
      <c r="E9" t="s">
        <v>2077</v>
      </c>
      <c r="F9" t="str">
        <f>_xlfn.XLOOKUP(E9,Table8[City],Table8[State])</f>
        <v>Telangana</v>
      </c>
      <c r="G9" t="str">
        <f>_xlfn.XLOOKUP(E9,Table8[City],Table8[Region])</f>
        <v>South</v>
      </c>
      <c r="H9" t="s">
        <v>22</v>
      </c>
      <c r="I9" t="str">
        <f>_xlfn.XLOOKUP(H9,Table6[Product],Table6[Category])</f>
        <v>Wearables</v>
      </c>
      <c r="J9" t="s">
        <v>57</v>
      </c>
      <c r="K9">
        <v>7</v>
      </c>
      <c r="L9">
        <f>_xlfn.XLOOKUP(H9,Table6[Product],Table6[Unit Price])</f>
        <v>12000</v>
      </c>
      <c r="M9">
        <f>_xlfn.XLOOKUP(H9,Table6[Product],Table6[Cost Price])</f>
        <v>8500</v>
      </c>
      <c r="N9" s="7">
        <v>0.13</v>
      </c>
      <c r="O9">
        <f t="shared" si="0"/>
        <v>73080</v>
      </c>
      <c r="P9">
        <f t="shared" si="1"/>
        <v>59500</v>
      </c>
      <c r="Q9">
        <f t="shared" si="2"/>
        <v>13580</v>
      </c>
      <c r="R9" t="s">
        <v>45</v>
      </c>
      <c r="S9" t="s">
        <v>49</v>
      </c>
    </row>
    <row r="10" spans="1:19" ht="18" x14ac:dyDescent="0.5">
      <c r="A10" t="s">
        <v>80</v>
      </c>
      <c r="B10" t="s">
        <v>1079</v>
      </c>
      <c r="C10" s="6">
        <v>45975</v>
      </c>
      <c r="D10" t="s">
        <v>2089</v>
      </c>
      <c r="E10" t="s">
        <v>2105</v>
      </c>
      <c r="F10" t="str">
        <f>_xlfn.XLOOKUP(E10,Table8[City],Table8[State])</f>
        <v>Rajasthan</v>
      </c>
      <c r="G10" t="str">
        <f>_xlfn.XLOOKUP(E10,Table8[City],Table8[Region])</f>
        <v>North</v>
      </c>
      <c r="H10" t="s">
        <v>29</v>
      </c>
      <c r="I10" t="str">
        <f>_xlfn.XLOOKUP(H10,Table6[Product],Table6[Category])</f>
        <v>Electronics</v>
      </c>
      <c r="J10" t="s">
        <v>54</v>
      </c>
      <c r="K10">
        <v>9</v>
      </c>
      <c r="L10">
        <f>_xlfn.XLOOKUP(H10,Table6[Product],Table6[Unit Price])</f>
        <v>5000</v>
      </c>
      <c r="M10">
        <f>_xlfn.XLOOKUP(H10,Table6[Product],Table6[Cost Price])</f>
        <v>3200</v>
      </c>
      <c r="N10" s="7">
        <v>7.0000000000000007E-2</v>
      </c>
      <c r="O10">
        <f t="shared" si="0"/>
        <v>41850</v>
      </c>
      <c r="P10">
        <f t="shared" si="1"/>
        <v>28800</v>
      </c>
      <c r="Q10">
        <f t="shared" si="2"/>
        <v>13050</v>
      </c>
      <c r="R10" t="s">
        <v>46</v>
      </c>
      <c r="S10" t="s">
        <v>52</v>
      </c>
    </row>
    <row r="11" spans="1:19" ht="18" x14ac:dyDescent="0.5">
      <c r="A11" t="s">
        <v>81</v>
      </c>
      <c r="B11" t="s">
        <v>1080</v>
      </c>
      <c r="C11" s="6">
        <v>45475</v>
      </c>
      <c r="D11" t="s">
        <v>2094</v>
      </c>
      <c r="E11" t="s">
        <v>2104</v>
      </c>
      <c r="F11" t="str">
        <f>_xlfn.XLOOKUP(E11,Table8[City],Table8[State])</f>
        <v>Delhi</v>
      </c>
      <c r="G11" t="str">
        <f>_xlfn.XLOOKUP(E11,Table8[City],Table8[Region])</f>
        <v>North</v>
      </c>
      <c r="H11" t="s">
        <v>24</v>
      </c>
      <c r="I11" t="str">
        <f>_xlfn.XLOOKUP(H11,Table6[Product],Table6[Category])</f>
        <v>Accessories</v>
      </c>
      <c r="J11" t="s">
        <v>57</v>
      </c>
      <c r="K11">
        <v>8</v>
      </c>
      <c r="L11">
        <f>_xlfn.XLOOKUP(H11,Table6[Product],Table6[Unit Price])</f>
        <v>1500</v>
      </c>
      <c r="M11">
        <f>_xlfn.XLOOKUP(H11,Table6[Product],Table6[Cost Price])</f>
        <v>900</v>
      </c>
      <c r="N11" s="7">
        <v>0</v>
      </c>
      <c r="O11">
        <f t="shared" si="0"/>
        <v>12000</v>
      </c>
      <c r="P11">
        <f t="shared" si="1"/>
        <v>7200</v>
      </c>
      <c r="Q11">
        <f t="shared" si="2"/>
        <v>4800</v>
      </c>
      <c r="R11" t="s">
        <v>47</v>
      </c>
      <c r="S11" t="s">
        <v>50</v>
      </c>
    </row>
    <row r="12" spans="1:19" ht="18" x14ac:dyDescent="0.5">
      <c r="A12" t="s">
        <v>82</v>
      </c>
      <c r="B12" t="s">
        <v>1081</v>
      </c>
      <c r="C12" s="6">
        <v>45991</v>
      </c>
      <c r="D12" t="s">
        <v>2089</v>
      </c>
      <c r="E12" t="s">
        <v>2105</v>
      </c>
      <c r="F12" t="str">
        <f>_xlfn.XLOOKUP(E12,Table8[City],Table8[State])</f>
        <v>Rajasthan</v>
      </c>
      <c r="G12" t="str">
        <f>_xlfn.XLOOKUP(E12,Table8[City],Table8[Region])</f>
        <v>North</v>
      </c>
      <c r="H12" t="s">
        <v>18</v>
      </c>
      <c r="I12" t="str">
        <f>_xlfn.XLOOKUP(H12,Table6[Product],Table6[Category])</f>
        <v>Electronics</v>
      </c>
      <c r="J12" t="s">
        <v>56</v>
      </c>
      <c r="K12">
        <v>8</v>
      </c>
      <c r="L12">
        <f>_xlfn.XLOOKUP(H12,Table6[Product],Table6[Unit Price])</f>
        <v>35000</v>
      </c>
      <c r="M12">
        <f>_xlfn.XLOOKUP(H12,Table6[Product],Table6[Cost Price])</f>
        <v>28000</v>
      </c>
      <c r="N12" s="7">
        <v>0.26</v>
      </c>
      <c r="O12">
        <f t="shared" si="0"/>
        <v>207200</v>
      </c>
      <c r="P12">
        <f t="shared" si="1"/>
        <v>224000</v>
      </c>
      <c r="Q12">
        <f t="shared" si="2"/>
        <v>-16800</v>
      </c>
      <c r="R12" t="s">
        <v>44</v>
      </c>
      <c r="S12" t="s">
        <v>51</v>
      </c>
    </row>
    <row r="13" spans="1:19" ht="18" x14ac:dyDescent="0.5">
      <c r="A13" t="s">
        <v>83</v>
      </c>
      <c r="B13" t="s">
        <v>1082</v>
      </c>
      <c r="C13" s="6">
        <v>45449</v>
      </c>
      <c r="D13" t="s">
        <v>2088</v>
      </c>
      <c r="E13" t="s">
        <v>2074</v>
      </c>
      <c r="F13" t="str">
        <f>_xlfn.XLOOKUP(E13,Table8[City],Table8[State])</f>
        <v>Maharashtra</v>
      </c>
      <c r="G13" t="str">
        <f>_xlfn.XLOOKUP(E13,Table8[City],Table8[Region])</f>
        <v>West</v>
      </c>
      <c r="H13" t="s">
        <v>20</v>
      </c>
      <c r="I13" t="str">
        <f>_xlfn.XLOOKUP(H13,Table6[Product],Table6[Category])</f>
        <v>Accessories</v>
      </c>
      <c r="J13" t="s">
        <v>58</v>
      </c>
      <c r="K13">
        <v>7</v>
      </c>
      <c r="L13">
        <f>_xlfn.XLOOKUP(H13,Table6[Product],Table6[Unit Price])</f>
        <v>3000</v>
      </c>
      <c r="M13">
        <f>_xlfn.XLOOKUP(H13,Table6[Product],Table6[Cost Price])</f>
        <v>1800</v>
      </c>
      <c r="N13" s="7">
        <v>0.08</v>
      </c>
      <c r="O13">
        <f t="shared" si="0"/>
        <v>19320</v>
      </c>
      <c r="P13">
        <f t="shared" si="1"/>
        <v>12600</v>
      </c>
      <c r="Q13">
        <f t="shared" si="2"/>
        <v>6720</v>
      </c>
      <c r="R13" t="s">
        <v>43</v>
      </c>
      <c r="S13" t="s">
        <v>52</v>
      </c>
    </row>
    <row r="14" spans="1:19" ht="18" x14ac:dyDescent="0.5">
      <c r="A14" t="s">
        <v>84</v>
      </c>
      <c r="B14" t="s">
        <v>1083</v>
      </c>
      <c r="C14" s="6">
        <v>45677</v>
      </c>
      <c r="D14" t="s">
        <v>2094</v>
      </c>
      <c r="E14" t="s">
        <v>2105</v>
      </c>
      <c r="F14" t="str">
        <f>_xlfn.XLOOKUP(E14,Table8[City],Table8[State])</f>
        <v>Rajasthan</v>
      </c>
      <c r="G14" t="str">
        <f>_xlfn.XLOOKUP(E14,Table8[City],Table8[Region])</f>
        <v>North</v>
      </c>
      <c r="H14" t="s">
        <v>16</v>
      </c>
      <c r="I14" t="str">
        <f>_xlfn.XLOOKUP(H14,Table6[Product],Table6[Category])</f>
        <v>Electronics</v>
      </c>
      <c r="J14" t="s">
        <v>54</v>
      </c>
      <c r="K14">
        <v>9</v>
      </c>
      <c r="L14">
        <f>_xlfn.XLOOKUP(H14,Table6[Product],Table6[Unit Price])</f>
        <v>65000</v>
      </c>
      <c r="M14">
        <f>_xlfn.XLOOKUP(H14,Table6[Product],Table6[Cost Price])</f>
        <v>52000</v>
      </c>
      <c r="N14" s="7">
        <v>0.19</v>
      </c>
      <c r="O14">
        <f t="shared" si="0"/>
        <v>473850.00000000006</v>
      </c>
      <c r="P14">
        <f t="shared" si="1"/>
        <v>468000</v>
      </c>
      <c r="Q14">
        <f t="shared" si="2"/>
        <v>5850.0000000000582</v>
      </c>
      <c r="R14" t="s">
        <v>47</v>
      </c>
      <c r="S14" t="s">
        <v>50</v>
      </c>
    </row>
    <row r="15" spans="1:19" ht="18" x14ac:dyDescent="0.5">
      <c r="A15" t="s">
        <v>85</v>
      </c>
      <c r="B15" t="s">
        <v>1084</v>
      </c>
      <c r="C15" s="6">
        <v>45721</v>
      </c>
      <c r="D15" t="s">
        <v>2090</v>
      </c>
      <c r="E15" t="s">
        <v>2106</v>
      </c>
      <c r="F15" t="str">
        <f>_xlfn.XLOOKUP(E15,Table8[City],Table8[State])</f>
        <v>West Bengal</v>
      </c>
      <c r="G15" t="str">
        <f>_xlfn.XLOOKUP(E15,Table8[City],Table8[Region])</f>
        <v>East</v>
      </c>
      <c r="H15" t="s">
        <v>20</v>
      </c>
      <c r="I15" t="str">
        <f>_xlfn.XLOOKUP(H15,Table6[Product],Table6[Category])</f>
        <v>Accessories</v>
      </c>
      <c r="J15" t="s">
        <v>58</v>
      </c>
      <c r="K15">
        <v>1</v>
      </c>
      <c r="L15">
        <f>_xlfn.XLOOKUP(H15,Table6[Product],Table6[Unit Price])</f>
        <v>3000</v>
      </c>
      <c r="M15">
        <f>_xlfn.XLOOKUP(H15,Table6[Product],Table6[Cost Price])</f>
        <v>1800</v>
      </c>
      <c r="N15" s="7">
        <v>0.17</v>
      </c>
      <c r="O15">
        <f t="shared" si="0"/>
        <v>2490</v>
      </c>
      <c r="P15">
        <f t="shared" si="1"/>
        <v>1800</v>
      </c>
      <c r="Q15">
        <f t="shared" si="2"/>
        <v>690</v>
      </c>
      <c r="R15" t="s">
        <v>44</v>
      </c>
      <c r="S15" t="s">
        <v>49</v>
      </c>
    </row>
    <row r="16" spans="1:19" ht="18" x14ac:dyDescent="0.5">
      <c r="A16" t="s">
        <v>86</v>
      </c>
      <c r="B16" t="s">
        <v>1085</v>
      </c>
      <c r="C16" s="6">
        <v>45655</v>
      </c>
      <c r="D16" t="s">
        <v>2099</v>
      </c>
      <c r="E16" t="s">
        <v>2106</v>
      </c>
      <c r="F16" t="str">
        <f>_xlfn.XLOOKUP(E16,Table8[City],Table8[State])</f>
        <v>West Bengal</v>
      </c>
      <c r="G16" t="str">
        <f>_xlfn.XLOOKUP(E16,Table8[City],Table8[Region])</f>
        <v>East</v>
      </c>
      <c r="H16" t="s">
        <v>20</v>
      </c>
      <c r="I16" t="str">
        <f>_xlfn.XLOOKUP(H16,Table6[Product],Table6[Category])</f>
        <v>Accessories</v>
      </c>
      <c r="J16" t="s">
        <v>60</v>
      </c>
      <c r="K16">
        <v>7</v>
      </c>
      <c r="L16">
        <f>_xlfn.XLOOKUP(H16,Table6[Product],Table6[Unit Price])</f>
        <v>3000</v>
      </c>
      <c r="M16">
        <f>_xlfn.XLOOKUP(H16,Table6[Product],Table6[Cost Price])</f>
        <v>1800</v>
      </c>
      <c r="N16" s="7">
        <v>0.22</v>
      </c>
      <c r="O16">
        <f t="shared" si="0"/>
        <v>16380</v>
      </c>
      <c r="P16">
        <f t="shared" si="1"/>
        <v>12600</v>
      </c>
      <c r="Q16">
        <f t="shared" si="2"/>
        <v>3780</v>
      </c>
      <c r="R16" t="s">
        <v>46</v>
      </c>
      <c r="S16" t="s">
        <v>52</v>
      </c>
    </row>
    <row r="17" spans="1:19" ht="18" x14ac:dyDescent="0.5">
      <c r="A17" t="s">
        <v>87</v>
      </c>
      <c r="B17" t="s">
        <v>1086</v>
      </c>
      <c r="C17" s="6">
        <v>45728</v>
      </c>
      <c r="D17" t="s">
        <v>2086</v>
      </c>
      <c r="E17" t="s">
        <v>2078</v>
      </c>
      <c r="F17" t="str">
        <f>_xlfn.XLOOKUP(E17,Table8[City],Table8[State])</f>
        <v>Telangana</v>
      </c>
      <c r="G17" t="str">
        <f>_xlfn.XLOOKUP(E17,Table8[City],Table8[Region])</f>
        <v>South</v>
      </c>
      <c r="H17" t="s">
        <v>19</v>
      </c>
      <c r="I17" t="str">
        <f>_xlfn.XLOOKUP(H17,Table6[Product],Table6[Category])</f>
        <v>Electronics</v>
      </c>
      <c r="J17" t="s">
        <v>55</v>
      </c>
      <c r="K17">
        <v>4</v>
      </c>
      <c r="L17">
        <f>_xlfn.XLOOKUP(H17,Table6[Product],Table6[Unit Price])</f>
        <v>25000</v>
      </c>
      <c r="M17">
        <f>_xlfn.XLOOKUP(H17,Table6[Product],Table6[Cost Price])</f>
        <v>20000</v>
      </c>
      <c r="N17" s="7">
        <v>0.15</v>
      </c>
      <c r="O17">
        <f t="shared" si="0"/>
        <v>85000</v>
      </c>
      <c r="P17">
        <f t="shared" si="1"/>
        <v>80000</v>
      </c>
      <c r="Q17">
        <f t="shared" si="2"/>
        <v>5000</v>
      </c>
      <c r="R17" t="s">
        <v>47</v>
      </c>
      <c r="S17" t="s">
        <v>50</v>
      </c>
    </row>
    <row r="18" spans="1:19" ht="18" x14ac:dyDescent="0.5">
      <c r="A18" t="s">
        <v>88</v>
      </c>
      <c r="B18" t="s">
        <v>1087</v>
      </c>
      <c r="C18" s="6">
        <v>45775</v>
      </c>
      <c r="D18" t="s">
        <v>2095</v>
      </c>
      <c r="E18" t="s">
        <v>2073</v>
      </c>
      <c r="F18" t="str">
        <f>_xlfn.XLOOKUP(E18,Table8[City],Table8[State])</f>
        <v>Maharashtra</v>
      </c>
      <c r="G18" t="str">
        <f>_xlfn.XLOOKUP(E18,Table8[City],Table8[Region])</f>
        <v>West</v>
      </c>
      <c r="H18" t="s">
        <v>26</v>
      </c>
      <c r="I18" t="str">
        <f>_xlfn.XLOOKUP(H18,Table6[Product],Table6[Category])</f>
        <v>Office</v>
      </c>
      <c r="J18" t="s">
        <v>57</v>
      </c>
      <c r="K18">
        <v>6</v>
      </c>
      <c r="L18">
        <f>_xlfn.XLOOKUP(H18,Table6[Product],Table6[Unit Price])</f>
        <v>15000</v>
      </c>
      <c r="M18">
        <f>_xlfn.XLOOKUP(H18,Table6[Product],Table6[Cost Price])</f>
        <v>11500</v>
      </c>
      <c r="N18" s="7">
        <v>0.22</v>
      </c>
      <c r="O18">
        <f t="shared" si="0"/>
        <v>70200</v>
      </c>
      <c r="P18">
        <f t="shared" si="1"/>
        <v>69000</v>
      </c>
      <c r="Q18">
        <f t="shared" si="2"/>
        <v>1200</v>
      </c>
      <c r="R18" t="s">
        <v>44</v>
      </c>
      <c r="S18" t="s">
        <v>50</v>
      </c>
    </row>
    <row r="19" spans="1:19" ht="18" x14ac:dyDescent="0.5">
      <c r="A19" t="s">
        <v>89</v>
      </c>
      <c r="B19" t="s">
        <v>1088</v>
      </c>
      <c r="C19" s="6">
        <v>45406</v>
      </c>
      <c r="D19" t="s">
        <v>59</v>
      </c>
      <c r="E19" t="s">
        <v>2074</v>
      </c>
      <c r="F19" t="str">
        <f>_xlfn.XLOOKUP(E19,Table8[City],Table8[State])</f>
        <v>Maharashtra</v>
      </c>
      <c r="G19" t="str">
        <f>_xlfn.XLOOKUP(E19,Table8[City],Table8[Region])</f>
        <v>West</v>
      </c>
      <c r="H19" t="s">
        <v>29</v>
      </c>
      <c r="I19" t="str">
        <f>_xlfn.XLOOKUP(H19,Table6[Product],Table6[Category])</f>
        <v>Electronics</v>
      </c>
      <c r="J19" t="s">
        <v>56</v>
      </c>
      <c r="K19">
        <v>10</v>
      </c>
      <c r="L19">
        <f>_xlfn.XLOOKUP(H19,Table6[Product],Table6[Unit Price])</f>
        <v>5000</v>
      </c>
      <c r="M19">
        <f>_xlfn.XLOOKUP(H19,Table6[Product],Table6[Cost Price])</f>
        <v>3200</v>
      </c>
      <c r="N19" s="7">
        <v>0.21</v>
      </c>
      <c r="O19">
        <f t="shared" si="0"/>
        <v>39500</v>
      </c>
      <c r="P19">
        <f t="shared" si="1"/>
        <v>32000</v>
      </c>
      <c r="Q19">
        <f t="shared" si="2"/>
        <v>7500</v>
      </c>
      <c r="R19" t="s">
        <v>46</v>
      </c>
      <c r="S19" t="s">
        <v>51</v>
      </c>
    </row>
    <row r="20" spans="1:19" ht="18" x14ac:dyDescent="0.5">
      <c r="A20" t="s">
        <v>90</v>
      </c>
      <c r="B20" t="s">
        <v>1089</v>
      </c>
      <c r="C20" s="6">
        <v>45331</v>
      </c>
      <c r="D20" t="s">
        <v>2088</v>
      </c>
      <c r="E20" t="s">
        <v>2072</v>
      </c>
      <c r="F20" t="str">
        <f>_xlfn.XLOOKUP(E20,Table8[City],Table8[State])</f>
        <v>Karnataka</v>
      </c>
      <c r="G20" t="str">
        <f>_xlfn.XLOOKUP(E20,Table8[City],Table8[Region])</f>
        <v>South</v>
      </c>
      <c r="H20" t="s">
        <v>24</v>
      </c>
      <c r="I20" t="str">
        <f>_xlfn.XLOOKUP(H20,Table6[Product],Table6[Category])</f>
        <v>Accessories</v>
      </c>
      <c r="J20" t="s">
        <v>58</v>
      </c>
      <c r="K20">
        <v>10</v>
      </c>
      <c r="L20">
        <f>_xlfn.XLOOKUP(H20,Table6[Product],Table6[Unit Price])</f>
        <v>1500</v>
      </c>
      <c r="M20">
        <f>_xlfn.XLOOKUP(H20,Table6[Product],Table6[Cost Price])</f>
        <v>900</v>
      </c>
      <c r="N20" s="7">
        <v>0.04</v>
      </c>
      <c r="O20">
        <f t="shared" si="0"/>
        <v>14400</v>
      </c>
      <c r="P20">
        <f t="shared" si="1"/>
        <v>9000</v>
      </c>
      <c r="Q20">
        <f t="shared" si="2"/>
        <v>5400</v>
      </c>
      <c r="R20" t="s">
        <v>46</v>
      </c>
      <c r="S20" t="s">
        <v>50</v>
      </c>
    </row>
    <row r="21" spans="1:19" ht="18" x14ac:dyDescent="0.5">
      <c r="A21" t="s">
        <v>91</v>
      </c>
      <c r="B21" t="s">
        <v>1090</v>
      </c>
      <c r="C21" s="6">
        <v>45465</v>
      </c>
      <c r="D21" t="s">
        <v>2089</v>
      </c>
      <c r="E21" t="s">
        <v>2072</v>
      </c>
      <c r="F21" t="str">
        <f>_xlfn.XLOOKUP(E21,Table8[City],Table8[State])</f>
        <v>Karnataka</v>
      </c>
      <c r="G21" t="str">
        <f>_xlfn.XLOOKUP(E21,Table8[City],Table8[Region])</f>
        <v>South</v>
      </c>
      <c r="H21" t="s">
        <v>20</v>
      </c>
      <c r="I21" t="str">
        <f>_xlfn.XLOOKUP(H21,Table6[Product],Table6[Category])</f>
        <v>Accessories</v>
      </c>
      <c r="J21" t="s">
        <v>58</v>
      </c>
      <c r="K21">
        <v>5</v>
      </c>
      <c r="L21">
        <f>_xlfn.XLOOKUP(H21,Table6[Product],Table6[Unit Price])</f>
        <v>3000</v>
      </c>
      <c r="M21">
        <f>_xlfn.XLOOKUP(H21,Table6[Product],Table6[Cost Price])</f>
        <v>1800</v>
      </c>
      <c r="N21" s="7">
        <v>0.04</v>
      </c>
      <c r="O21">
        <f t="shared" si="0"/>
        <v>14400</v>
      </c>
      <c r="P21">
        <f t="shared" si="1"/>
        <v>9000</v>
      </c>
      <c r="Q21">
        <f t="shared" si="2"/>
        <v>5400</v>
      </c>
      <c r="R21" t="s">
        <v>43</v>
      </c>
      <c r="S21" t="s">
        <v>49</v>
      </c>
    </row>
    <row r="22" spans="1:19" ht="18" x14ac:dyDescent="0.5">
      <c r="A22" t="s">
        <v>92</v>
      </c>
      <c r="B22" t="s">
        <v>1091</v>
      </c>
      <c r="C22" s="6">
        <v>45544</v>
      </c>
      <c r="D22" t="s">
        <v>63</v>
      </c>
      <c r="E22" t="s">
        <v>2079</v>
      </c>
      <c r="F22" t="str">
        <f>_xlfn.XLOOKUP(E22,Table8[City],Table8[State])</f>
        <v>Gujarat</v>
      </c>
      <c r="G22" t="str">
        <f>_xlfn.XLOOKUP(E22,Table8[City],Table8[Region])</f>
        <v>West</v>
      </c>
      <c r="H22" t="s">
        <v>22</v>
      </c>
      <c r="I22" t="str">
        <f>_xlfn.XLOOKUP(H22,Table6[Product],Table6[Category])</f>
        <v>Wearables</v>
      </c>
      <c r="J22" t="s">
        <v>57</v>
      </c>
      <c r="K22">
        <v>9</v>
      </c>
      <c r="L22">
        <f>_xlfn.XLOOKUP(H22,Table6[Product],Table6[Unit Price])</f>
        <v>12000</v>
      </c>
      <c r="M22">
        <f>_xlfn.XLOOKUP(H22,Table6[Product],Table6[Cost Price])</f>
        <v>8500</v>
      </c>
      <c r="N22" s="7">
        <v>0.03</v>
      </c>
      <c r="O22">
        <f t="shared" si="0"/>
        <v>104760</v>
      </c>
      <c r="P22">
        <f t="shared" si="1"/>
        <v>76500</v>
      </c>
      <c r="Q22">
        <f t="shared" si="2"/>
        <v>28260</v>
      </c>
      <c r="R22" t="s">
        <v>44</v>
      </c>
      <c r="S22" t="s">
        <v>49</v>
      </c>
    </row>
    <row r="23" spans="1:19" ht="18" x14ac:dyDescent="0.5">
      <c r="A23" t="s">
        <v>93</v>
      </c>
      <c r="B23" t="s">
        <v>1092</v>
      </c>
      <c r="C23" s="6">
        <v>45513</v>
      </c>
      <c r="D23" t="s">
        <v>69</v>
      </c>
      <c r="E23" t="s">
        <v>2078</v>
      </c>
      <c r="F23" t="str">
        <f>_xlfn.XLOOKUP(E23,Table8[City],Table8[State])</f>
        <v>Telangana</v>
      </c>
      <c r="G23" t="str">
        <f>_xlfn.XLOOKUP(E23,Table8[City],Table8[Region])</f>
        <v>South</v>
      </c>
      <c r="H23" t="s">
        <v>26</v>
      </c>
      <c r="I23" t="str">
        <f>_xlfn.XLOOKUP(H23,Table6[Product],Table6[Category])</f>
        <v>Office</v>
      </c>
      <c r="J23" t="s">
        <v>56</v>
      </c>
      <c r="K23">
        <v>7</v>
      </c>
      <c r="L23">
        <f>_xlfn.XLOOKUP(H23,Table6[Product],Table6[Unit Price])</f>
        <v>15000</v>
      </c>
      <c r="M23">
        <f>_xlfn.XLOOKUP(H23,Table6[Product],Table6[Cost Price])</f>
        <v>11500</v>
      </c>
      <c r="N23" s="7">
        <v>0.06</v>
      </c>
      <c r="O23">
        <f t="shared" si="0"/>
        <v>98700</v>
      </c>
      <c r="P23">
        <f t="shared" si="1"/>
        <v>80500</v>
      </c>
      <c r="Q23">
        <f t="shared" si="2"/>
        <v>18200</v>
      </c>
      <c r="R23" t="s">
        <v>45</v>
      </c>
      <c r="S23" t="s">
        <v>49</v>
      </c>
    </row>
    <row r="24" spans="1:19" ht="18" x14ac:dyDescent="0.5">
      <c r="A24" t="s">
        <v>94</v>
      </c>
      <c r="B24" t="s">
        <v>1093</v>
      </c>
      <c r="C24" s="6">
        <v>45327</v>
      </c>
      <c r="D24" t="s">
        <v>2083</v>
      </c>
      <c r="E24" t="s">
        <v>2106</v>
      </c>
      <c r="F24" t="str">
        <f>_xlfn.XLOOKUP(E24,Table8[City],Table8[State])</f>
        <v>West Bengal</v>
      </c>
      <c r="G24" t="str">
        <f>_xlfn.XLOOKUP(E24,Table8[City],Table8[Region])</f>
        <v>East</v>
      </c>
      <c r="H24" t="s">
        <v>22</v>
      </c>
      <c r="I24" t="str">
        <f>_xlfn.XLOOKUP(H24,Table6[Product],Table6[Category])</f>
        <v>Wearables</v>
      </c>
      <c r="J24" t="s">
        <v>56</v>
      </c>
      <c r="K24">
        <v>10</v>
      </c>
      <c r="L24">
        <f>_xlfn.XLOOKUP(H24,Table6[Product],Table6[Unit Price])</f>
        <v>12000</v>
      </c>
      <c r="M24">
        <f>_xlfn.XLOOKUP(H24,Table6[Product],Table6[Cost Price])</f>
        <v>8500</v>
      </c>
      <c r="N24" s="7">
        <v>0.21</v>
      </c>
      <c r="O24">
        <f t="shared" si="0"/>
        <v>94800</v>
      </c>
      <c r="P24">
        <f t="shared" si="1"/>
        <v>85000</v>
      </c>
      <c r="Q24">
        <f t="shared" si="2"/>
        <v>9800</v>
      </c>
      <c r="R24" t="s">
        <v>45</v>
      </c>
      <c r="S24" t="s">
        <v>51</v>
      </c>
    </row>
    <row r="25" spans="1:19" ht="18" x14ac:dyDescent="0.5">
      <c r="A25" t="s">
        <v>95</v>
      </c>
      <c r="B25" t="s">
        <v>1094</v>
      </c>
      <c r="C25" s="6">
        <v>45322</v>
      </c>
      <c r="D25" t="s">
        <v>59</v>
      </c>
      <c r="E25" t="s">
        <v>2106</v>
      </c>
      <c r="F25" t="str">
        <f>_xlfn.XLOOKUP(E25,Table8[City],Table8[State])</f>
        <v>West Bengal</v>
      </c>
      <c r="G25" t="str">
        <f>_xlfn.XLOOKUP(E25,Table8[City],Table8[Region])</f>
        <v>East</v>
      </c>
      <c r="H25" t="s">
        <v>20</v>
      </c>
      <c r="I25" t="str">
        <f>_xlfn.XLOOKUP(H25,Table6[Product],Table6[Category])</f>
        <v>Accessories</v>
      </c>
      <c r="J25" t="s">
        <v>54</v>
      </c>
      <c r="K25">
        <v>10</v>
      </c>
      <c r="L25">
        <f>_xlfn.XLOOKUP(H25,Table6[Product],Table6[Unit Price])</f>
        <v>3000</v>
      </c>
      <c r="M25">
        <f>_xlfn.XLOOKUP(H25,Table6[Product],Table6[Cost Price])</f>
        <v>1800</v>
      </c>
      <c r="N25" s="7">
        <v>7.0000000000000007E-2</v>
      </c>
      <c r="O25">
        <f t="shared" si="0"/>
        <v>27899.999999999996</v>
      </c>
      <c r="P25">
        <f t="shared" si="1"/>
        <v>18000</v>
      </c>
      <c r="Q25">
        <f t="shared" si="2"/>
        <v>9899.9999999999964</v>
      </c>
      <c r="R25" t="s">
        <v>45</v>
      </c>
      <c r="S25" t="s">
        <v>50</v>
      </c>
    </row>
    <row r="26" spans="1:19" ht="18" x14ac:dyDescent="0.5">
      <c r="A26" t="s">
        <v>96</v>
      </c>
      <c r="B26" t="s">
        <v>1095</v>
      </c>
      <c r="C26" s="6">
        <v>45328</v>
      </c>
      <c r="D26" t="s">
        <v>59</v>
      </c>
      <c r="E26" t="s">
        <v>2075</v>
      </c>
      <c r="F26" t="str">
        <f>_xlfn.XLOOKUP(E26,Table8[City],Table8[State])</f>
        <v>Tamil Nadu</v>
      </c>
      <c r="G26" t="str">
        <f>_xlfn.XLOOKUP(E26,Table8[City],Table8[Region])</f>
        <v>South</v>
      </c>
      <c r="H26" t="s">
        <v>26</v>
      </c>
      <c r="I26" t="str">
        <f>_xlfn.XLOOKUP(H26,Table6[Product],Table6[Category])</f>
        <v>Office</v>
      </c>
      <c r="J26" t="s">
        <v>57</v>
      </c>
      <c r="K26">
        <v>4</v>
      </c>
      <c r="L26">
        <f>_xlfn.XLOOKUP(H26,Table6[Product],Table6[Unit Price])</f>
        <v>15000</v>
      </c>
      <c r="M26">
        <f>_xlfn.XLOOKUP(H26,Table6[Product],Table6[Cost Price])</f>
        <v>11500</v>
      </c>
      <c r="N26" s="7">
        <v>0.13</v>
      </c>
      <c r="O26">
        <f t="shared" si="0"/>
        <v>52200</v>
      </c>
      <c r="P26">
        <f t="shared" si="1"/>
        <v>46000</v>
      </c>
      <c r="Q26">
        <f t="shared" si="2"/>
        <v>6200</v>
      </c>
      <c r="R26" t="s">
        <v>44</v>
      </c>
      <c r="S26" t="s">
        <v>51</v>
      </c>
    </row>
    <row r="27" spans="1:19" ht="18" x14ac:dyDescent="0.5">
      <c r="A27" t="s">
        <v>97</v>
      </c>
      <c r="B27" t="s">
        <v>1096</v>
      </c>
      <c r="C27" s="6">
        <v>46014</v>
      </c>
      <c r="D27" t="s">
        <v>2083</v>
      </c>
      <c r="E27" t="s">
        <v>2075</v>
      </c>
      <c r="F27" t="str">
        <f>_xlfn.XLOOKUP(E27,Table8[City],Table8[State])</f>
        <v>Tamil Nadu</v>
      </c>
      <c r="G27" t="str">
        <f>_xlfn.XLOOKUP(E27,Table8[City],Table8[Region])</f>
        <v>South</v>
      </c>
      <c r="H27" t="s">
        <v>19</v>
      </c>
      <c r="I27" t="str">
        <f>_xlfn.XLOOKUP(H27,Table6[Product],Table6[Category])</f>
        <v>Electronics</v>
      </c>
      <c r="J27" t="s">
        <v>61</v>
      </c>
      <c r="K27">
        <v>8</v>
      </c>
      <c r="L27">
        <f>_xlfn.XLOOKUP(H27,Table6[Product],Table6[Unit Price])</f>
        <v>25000</v>
      </c>
      <c r="M27">
        <f>_xlfn.XLOOKUP(H27,Table6[Product],Table6[Cost Price])</f>
        <v>20000</v>
      </c>
      <c r="N27" s="7">
        <v>0.22</v>
      </c>
      <c r="O27">
        <f t="shared" si="0"/>
        <v>156000</v>
      </c>
      <c r="P27">
        <f t="shared" si="1"/>
        <v>160000</v>
      </c>
      <c r="Q27">
        <f t="shared" si="2"/>
        <v>-4000</v>
      </c>
      <c r="R27" t="s">
        <v>47</v>
      </c>
      <c r="S27" t="s">
        <v>51</v>
      </c>
    </row>
    <row r="28" spans="1:19" ht="18" x14ac:dyDescent="0.5">
      <c r="A28" t="s">
        <v>98</v>
      </c>
      <c r="B28" t="s">
        <v>1097</v>
      </c>
      <c r="C28" s="6">
        <v>45350</v>
      </c>
      <c r="D28" t="s">
        <v>69</v>
      </c>
      <c r="E28" t="s">
        <v>2075</v>
      </c>
      <c r="F28" t="str">
        <f>_xlfn.XLOOKUP(E28,Table8[City],Table8[State])</f>
        <v>Tamil Nadu</v>
      </c>
      <c r="G28" t="str">
        <f>_xlfn.XLOOKUP(E28,Table8[City],Table8[Region])</f>
        <v>South</v>
      </c>
      <c r="H28" t="s">
        <v>16</v>
      </c>
      <c r="I28" t="str">
        <f>_xlfn.XLOOKUP(H28,Table6[Product],Table6[Category])</f>
        <v>Electronics</v>
      </c>
      <c r="J28" t="s">
        <v>59</v>
      </c>
      <c r="K28">
        <v>9</v>
      </c>
      <c r="L28">
        <f>_xlfn.XLOOKUP(H28,Table6[Product],Table6[Unit Price])</f>
        <v>65000</v>
      </c>
      <c r="M28">
        <f>_xlfn.XLOOKUP(H28,Table6[Product],Table6[Cost Price])</f>
        <v>52000</v>
      </c>
      <c r="N28" s="7">
        <v>0.19</v>
      </c>
      <c r="O28">
        <f t="shared" si="0"/>
        <v>473850.00000000006</v>
      </c>
      <c r="P28">
        <f t="shared" si="1"/>
        <v>468000</v>
      </c>
      <c r="Q28">
        <f t="shared" si="2"/>
        <v>5850.0000000000582</v>
      </c>
      <c r="R28" t="s">
        <v>45</v>
      </c>
      <c r="S28" t="s">
        <v>49</v>
      </c>
    </row>
    <row r="29" spans="1:19" ht="18" x14ac:dyDescent="0.5">
      <c r="A29" t="s">
        <v>99</v>
      </c>
      <c r="B29" t="s">
        <v>1098</v>
      </c>
      <c r="C29" s="6">
        <v>45667</v>
      </c>
      <c r="D29" t="s">
        <v>2086</v>
      </c>
      <c r="E29" t="s">
        <v>2077</v>
      </c>
      <c r="F29" t="str">
        <f>_xlfn.XLOOKUP(E29,Table8[City],Table8[State])</f>
        <v>Telangana</v>
      </c>
      <c r="G29" t="str">
        <f>_xlfn.XLOOKUP(E29,Table8[City],Table8[Region])</f>
        <v>South</v>
      </c>
      <c r="H29" t="s">
        <v>28</v>
      </c>
      <c r="I29" t="str">
        <f>_xlfn.XLOOKUP(H29,Table6[Product],Table6[Category])</f>
        <v>Office</v>
      </c>
      <c r="J29" t="s">
        <v>61</v>
      </c>
      <c r="K29">
        <v>6</v>
      </c>
      <c r="L29">
        <f>_xlfn.XLOOKUP(H29,Table6[Product],Table6[Unit Price])</f>
        <v>18000</v>
      </c>
      <c r="M29">
        <f>_xlfn.XLOOKUP(H29,Table6[Product],Table6[Cost Price])</f>
        <v>14000</v>
      </c>
      <c r="N29" s="7">
        <v>0.08</v>
      </c>
      <c r="O29">
        <f t="shared" si="0"/>
        <v>99360</v>
      </c>
      <c r="P29">
        <f t="shared" si="1"/>
        <v>84000</v>
      </c>
      <c r="Q29">
        <f t="shared" si="2"/>
        <v>15360</v>
      </c>
      <c r="R29" t="s">
        <v>46</v>
      </c>
      <c r="S29" t="s">
        <v>51</v>
      </c>
    </row>
    <row r="30" spans="1:19" ht="18" x14ac:dyDescent="0.5">
      <c r="A30" t="s">
        <v>100</v>
      </c>
      <c r="B30" t="s">
        <v>1099</v>
      </c>
      <c r="C30" s="6">
        <v>45944</v>
      </c>
      <c r="D30" t="s">
        <v>2083</v>
      </c>
      <c r="E30" t="s">
        <v>2077</v>
      </c>
      <c r="F30" t="str">
        <f>_xlfn.XLOOKUP(E30,Table8[City],Table8[State])</f>
        <v>Telangana</v>
      </c>
      <c r="G30" t="str">
        <f>_xlfn.XLOOKUP(E30,Table8[City],Table8[Region])</f>
        <v>South</v>
      </c>
      <c r="H30" t="s">
        <v>16</v>
      </c>
      <c r="I30" t="str">
        <f>_xlfn.XLOOKUP(H30,Table6[Product],Table6[Category])</f>
        <v>Electronics</v>
      </c>
      <c r="J30" t="s">
        <v>56</v>
      </c>
      <c r="K30">
        <v>7</v>
      </c>
      <c r="L30">
        <f>_xlfn.XLOOKUP(H30,Table6[Product],Table6[Unit Price])</f>
        <v>65000</v>
      </c>
      <c r="M30">
        <f>_xlfn.XLOOKUP(H30,Table6[Product],Table6[Cost Price])</f>
        <v>52000</v>
      </c>
      <c r="N30" s="7">
        <v>0.13</v>
      </c>
      <c r="O30">
        <f t="shared" si="0"/>
        <v>395850</v>
      </c>
      <c r="P30">
        <f t="shared" si="1"/>
        <v>364000</v>
      </c>
      <c r="Q30">
        <f t="shared" si="2"/>
        <v>31850</v>
      </c>
      <c r="R30" t="s">
        <v>44</v>
      </c>
      <c r="S30" t="s">
        <v>49</v>
      </c>
    </row>
    <row r="31" spans="1:19" ht="18" x14ac:dyDescent="0.5">
      <c r="A31" t="s">
        <v>101</v>
      </c>
      <c r="B31" t="s">
        <v>1100</v>
      </c>
      <c r="C31" s="6">
        <v>45986</v>
      </c>
      <c r="D31" t="s">
        <v>2097</v>
      </c>
      <c r="E31" t="s">
        <v>2075</v>
      </c>
      <c r="F31" t="str">
        <f>_xlfn.XLOOKUP(E31,Table8[City],Table8[State])</f>
        <v>Tamil Nadu</v>
      </c>
      <c r="G31" t="str">
        <f>_xlfn.XLOOKUP(E31,Table8[City],Table8[Region])</f>
        <v>South</v>
      </c>
      <c r="H31" t="s">
        <v>22</v>
      </c>
      <c r="I31" t="str">
        <f>_xlfn.XLOOKUP(H31,Table6[Product],Table6[Category])</f>
        <v>Wearables</v>
      </c>
      <c r="J31" t="s">
        <v>59</v>
      </c>
      <c r="K31">
        <v>5</v>
      </c>
      <c r="L31">
        <f>_xlfn.XLOOKUP(H31,Table6[Product],Table6[Unit Price])</f>
        <v>12000</v>
      </c>
      <c r="M31">
        <f>_xlfn.XLOOKUP(H31,Table6[Product],Table6[Cost Price])</f>
        <v>8500</v>
      </c>
      <c r="N31" s="7">
        <v>0.14000000000000001</v>
      </c>
      <c r="O31">
        <f t="shared" si="0"/>
        <v>51600</v>
      </c>
      <c r="P31">
        <f t="shared" si="1"/>
        <v>42500</v>
      </c>
      <c r="Q31">
        <f t="shared" si="2"/>
        <v>9100</v>
      </c>
      <c r="R31" t="s">
        <v>45</v>
      </c>
      <c r="S31" t="s">
        <v>52</v>
      </c>
    </row>
    <row r="32" spans="1:19" ht="18" x14ac:dyDescent="0.5">
      <c r="A32" t="s">
        <v>102</v>
      </c>
      <c r="B32" t="s">
        <v>1101</v>
      </c>
      <c r="C32" s="6">
        <v>45790</v>
      </c>
      <c r="D32" t="s">
        <v>2083</v>
      </c>
      <c r="E32" t="s">
        <v>2105</v>
      </c>
      <c r="F32" t="str">
        <f>_xlfn.XLOOKUP(E32,Table8[City],Table8[State])</f>
        <v>Rajasthan</v>
      </c>
      <c r="G32" t="str">
        <f>_xlfn.XLOOKUP(E32,Table8[City],Table8[Region])</f>
        <v>North</v>
      </c>
      <c r="H32" t="s">
        <v>20</v>
      </c>
      <c r="I32" t="str">
        <f>_xlfn.XLOOKUP(H32,Table6[Product],Table6[Category])</f>
        <v>Accessories</v>
      </c>
      <c r="J32" t="s">
        <v>54</v>
      </c>
      <c r="K32">
        <v>9</v>
      </c>
      <c r="L32">
        <f>_xlfn.XLOOKUP(H32,Table6[Product],Table6[Unit Price])</f>
        <v>3000</v>
      </c>
      <c r="M32">
        <f>_xlfn.XLOOKUP(H32,Table6[Product],Table6[Cost Price])</f>
        <v>1800</v>
      </c>
      <c r="N32" s="7">
        <v>0.03</v>
      </c>
      <c r="O32">
        <f t="shared" si="0"/>
        <v>26190</v>
      </c>
      <c r="P32">
        <f t="shared" si="1"/>
        <v>16200</v>
      </c>
      <c r="Q32">
        <f t="shared" si="2"/>
        <v>9990</v>
      </c>
      <c r="R32" t="s">
        <v>45</v>
      </c>
      <c r="S32" t="s">
        <v>49</v>
      </c>
    </row>
    <row r="33" spans="1:19" ht="18" x14ac:dyDescent="0.5">
      <c r="A33" t="s">
        <v>103</v>
      </c>
      <c r="B33" t="s">
        <v>1102</v>
      </c>
      <c r="C33" s="6">
        <v>45341</v>
      </c>
      <c r="D33" t="s">
        <v>59</v>
      </c>
      <c r="E33" t="s">
        <v>2074</v>
      </c>
      <c r="F33" t="str">
        <f>_xlfn.XLOOKUP(E33,Table8[City],Table8[State])</f>
        <v>Maharashtra</v>
      </c>
      <c r="G33" t="str">
        <f>_xlfn.XLOOKUP(E33,Table8[City],Table8[Region])</f>
        <v>West</v>
      </c>
      <c r="H33" t="s">
        <v>18</v>
      </c>
      <c r="I33" t="str">
        <f>_xlfn.XLOOKUP(H33,Table6[Product],Table6[Category])</f>
        <v>Electronics</v>
      </c>
      <c r="J33" t="s">
        <v>55</v>
      </c>
      <c r="K33">
        <v>8</v>
      </c>
      <c r="L33">
        <f>_xlfn.XLOOKUP(H33,Table6[Product],Table6[Unit Price])</f>
        <v>35000</v>
      </c>
      <c r="M33">
        <f>_xlfn.XLOOKUP(H33,Table6[Product],Table6[Cost Price])</f>
        <v>28000</v>
      </c>
      <c r="N33" s="7">
        <v>0.09</v>
      </c>
      <c r="O33">
        <f t="shared" si="0"/>
        <v>254800</v>
      </c>
      <c r="P33">
        <f t="shared" si="1"/>
        <v>224000</v>
      </c>
      <c r="Q33">
        <f t="shared" si="2"/>
        <v>30800</v>
      </c>
      <c r="R33" t="s">
        <v>47</v>
      </c>
      <c r="S33" t="s">
        <v>52</v>
      </c>
    </row>
    <row r="34" spans="1:19" ht="18" x14ac:dyDescent="0.5">
      <c r="A34" t="s">
        <v>104</v>
      </c>
      <c r="B34" t="s">
        <v>1103</v>
      </c>
      <c r="C34" s="6">
        <v>45912</v>
      </c>
      <c r="D34" t="s">
        <v>2085</v>
      </c>
      <c r="E34" t="s">
        <v>2079</v>
      </c>
      <c r="F34" t="str">
        <f>_xlfn.XLOOKUP(E34,Table8[City],Table8[State])</f>
        <v>Gujarat</v>
      </c>
      <c r="G34" t="str">
        <f>_xlfn.XLOOKUP(E34,Table8[City],Table8[Region])</f>
        <v>West</v>
      </c>
      <c r="H34" t="s">
        <v>19</v>
      </c>
      <c r="I34" t="str">
        <f>_xlfn.XLOOKUP(H34,Table6[Product],Table6[Category])</f>
        <v>Electronics</v>
      </c>
      <c r="J34" t="s">
        <v>58</v>
      </c>
      <c r="K34">
        <v>7</v>
      </c>
      <c r="L34">
        <f>_xlfn.XLOOKUP(H34,Table6[Product],Table6[Unit Price])</f>
        <v>25000</v>
      </c>
      <c r="M34">
        <f>_xlfn.XLOOKUP(H34,Table6[Product],Table6[Cost Price])</f>
        <v>20000</v>
      </c>
      <c r="N34" s="7">
        <v>0.17</v>
      </c>
      <c r="O34">
        <f t="shared" si="0"/>
        <v>145250</v>
      </c>
      <c r="P34">
        <f t="shared" si="1"/>
        <v>140000</v>
      </c>
      <c r="Q34">
        <f t="shared" si="2"/>
        <v>5250</v>
      </c>
      <c r="R34" t="s">
        <v>43</v>
      </c>
      <c r="S34" t="s">
        <v>52</v>
      </c>
    </row>
    <row r="35" spans="1:19" ht="18" x14ac:dyDescent="0.5">
      <c r="A35" t="s">
        <v>105</v>
      </c>
      <c r="B35" t="s">
        <v>1104</v>
      </c>
      <c r="C35" s="6">
        <v>45553</v>
      </c>
      <c r="D35" t="s">
        <v>2091</v>
      </c>
      <c r="E35" t="s">
        <v>2104</v>
      </c>
      <c r="F35" t="str">
        <f>_xlfn.XLOOKUP(E35,Table8[City],Table8[State])</f>
        <v>Delhi</v>
      </c>
      <c r="G35" t="str">
        <f>_xlfn.XLOOKUP(E35,Table8[City],Table8[Region])</f>
        <v>North</v>
      </c>
      <c r="H35" t="s">
        <v>26</v>
      </c>
      <c r="I35" t="str">
        <f>_xlfn.XLOOKUP(H35,Table6[Product],Table6[Category])</f>
        <v>Office</v>
      </c>
      <c r="J35" t="s">
        <v>56</v>
      </c>
      <c r="K35">
        <v>10</v>
      </c>
      <c r="L35">
        <f>_xlfn.XLOOKUP(H35,Table6[Product],Table6[Unit Price])</f>
        <v>15000</v>
      </c>
      <c r="M35">
        <f>_xlfn.XLOOKUP(H35,Table6[Product],Table6[Cost Price])</f>
        <v>11500</v>
      </c>
      <c r="N35" s="7">
        <v>0.12</v>
      </c>
      <c r="O35">
        <f t="shared" si="0"/>
        <v>132000</v>
      </c>
      <c r="P35">
        <f t="shared" si="1"/>
        <v>115000</v>
      </c>
      <c r="Q35">
        <f t="shared" si="2"/>
        <v>17000</v>
      </c>
      <c r="R35" t="s">
        <v>45</v>
      </c>
      <c r="S35" t="s">
        <v>49</v>
      </c>
    </row>
    <row r="36" spans="1:19" ht="18" x14ac:dyDescent="0.5">
      <c r="A36" t="s">
        <v>106</v>
      </c>
      <c r="B36" t="s">
        <v>1105</v>
      </c>
      <c r="C36" s="6">
        <v>45516</v>
      </c>
      <c r="D36" t="s">
        <v>69</v>
      </c>
      <c r="E36" t="s">
        <v>2077</v>
      </c>
      <c r="F36" t="str">
        <f>_xlfn.XLOOKUP(E36,Table8[City],Table8[State])</f>
        <v>Telangana</v>
      </c>
      <c r="G36" t="str">
        <f>_xlfn.XLOOKUP(E36,Table8[City],Table8[Region])</f>
        <v>South</v>
      </c>
      <c r="H36" t="s">
        <v>20</v>
      </c>
      <c r="I36" t="str">
        <f>_xlfn.XLOOKUP(H36,Table6[Product],Table6[Category])</f>
        <v>Accessories</v>
      </c>
      <c r="J36" t="s">
        <v>58</v>
      </c>
      <c r="K36">
        <v>9</v>
      </c>
      <c r="L36">
        <f>_xlfn.XLOOKUP(H36,Table6[Product],Table6[Unit Price])</f>
        <v>3000</v>
      </c>
      <c r="M36">
        <f>_xlfn.XLOOKUP(H36,Table6[Product],Table6[Cost Price])</f>
        <v>1800</v>
      </c>
      <c r="N36" s="7">
        <v>0.25</v>
      </c>
      <c r="O36">
        <f t="shared" si="0"/>
        <v>20250</v>
      </c>
      <c r="P36">
        <f t="shared" si="1"/>
        <v>16200</v>
      </c>
      <c r="Q36">
        <f t="shared" si="2"/>
        <v>4050</v>
      </c>
      <c r="R36" t="s">
        <v>47</v>
      </c>
      <c r="S36" t="s">
        <v>51</v>
      </c>
    </row>
    <row r="37" spans="1:19" ht="18" x14ac:dyDescent="0.5">
      <c r="A37" t="s">
        <v>107</v>
      </c>
      <c r="B37" t="s">
        <v>1106</v>
      </c>
      <c r="C37" s="6">
        <v>45764</v>
      </c>
      <c r="D37" t="s">
        <v>2087</v>
      </c>
      <c r="E37" t="s">
        <v>2106</v>
      </c>
      <c r="F37" t="str">
        <f>_xlfn.XLOOKUP(E37,Table8[City],Table8[State])</f>
        <v>West Bengal</v>
      </c>
      <c r="G37" t="str">
        <f>_xlfn.XLOOKUP(E37,Table8[City],Table8[Region])</f>
        <v>East</v>
      </c>
      <c r="H37" t="s">
        <v>19</v>
      </c>
      <c r="I37" t="str">
        <f>_xlfn.XLOOKUP(H37,Table6[Product],Table6[Category])</f>
        <v>Electronics</v>
      </c>
      <c r="J37" t="s">
        <v>59</v>
      </c>
      <c r="K37">
        <v>2</v>
      </c>
      <c r="L37">
        <f>_xlfn.XLOOKUP(H37,Table6[Product],Table6[Unit Price])</f>
        <v>25000</v>
      </c>
      <c r="M37">
        <f>_xlfn.XLOOKUP(H37,Table6[Product],Table6[Cost Price])</f>
        <v>20000</v>
      </c>
      <c r="N37" s="7">
        <v>0.27</v>
      </c>
      <c r="O37">
        <f t="shared" si="0"/>
        <v>36500</v>
      </c>
      <c r="P37">
        <f t="shared" si="1"/>
        <v>40000</v>
      </c>
      <c r="Q37">
        <f t="shared" si="2"/>
        <v>-3500</v>
      </c>
      <c r="R37" t="s">
        <v>45</v>
      </c>
      <c r="S37" t="s">
        <v>50</v>
      </c>
    </row>
    <row r="38" spans="1:19" ht="18" x14ac:dyDescent="0.5">
      <c r="A38" t="s">
        <v>108</v>
      </c>
      <c r="B38" t="s">
        <v>1107</v>
      </c>
      <c r="C38" s="6">
        <v>45513</v>
      </c>
      <c r="D38" t="s">
        <v>2093</v>
      </c>
      <c r="E38" t="s">
        <v>2076</v>
      </c>
      <c r="F38" t="str">
        <f>_xlfn.XLOOKUP(E38,Table8[City],Table8[State])</f>
        <v>Tamil Nadu</v>
      </c>
      <c r="G38" t="str">
        <f>_xlfn.XLOOKUP(E38,Table8[City],Table8[Region])</f>
        <v>South</v>
      </c>
      <c r="H38" t="s">
        <v>28</v>
      </c>
      <c r="I38" t="str">
        <f>_xlfn.XLOOKUP(H38,Table6[Product],Table6[Category])</f>
        <v>Office</v>
      </c>
      <c r="J38" t="s">
        <v>59</v>
      </c>
      <c r="K38">
        <v>10</v>
      </c>
      <c r="L38">
        <f>_xlfn.XLOOKUP(H38,Table6[Product],Table6[Unit Price])</f>
        <v>18000</v>
      </c>
      <c r="M38">
        <f>_xlfn.XLOOKUP(H38,Table6[Product],Table6[Cost Price])</f>
        <v>14000</v>
      </c>
      <c r="N38" s="7">
        <v>0.01</v>
      </c>
      <c r="O38">
        <f t="shared" si="0"/>
        <v>178200</v>
      </c>
      <c r="P38">
        <f t="shared" si="1"/>
        <v>140000</v>
      </c>
      <c r="Q38">
        <f t="shared" si="2"/>
        <v>38200</v>
      </c>
      <c r="R38" t="s">
        <v>45</v>
      </c>
      <c r="S38" t="s">
        <v>52</v>
      </c>
    </row>
    <row r="39" spans="1:19" ht="18" x14ac:dyDescent="0.5">
      <c r="A39" t="s">
        <v>109</v>
      </c>
      <c r="B39" t="s">
        <v>1108</v>
      </c>
      <c r="C39" s="6">
        <v>45897</v>
      </c>
      <c r="D39" t="s">
        <v>2085</v>
      </c>
      <c r="E39" t="s">
        <v>2075</v>
      </c>
      <c r="F39" t="str">
        <f>_xlfn.XLOOKUP(E39,Table8[City],Table8[State])</f>
        <v>Tamil Nadu</v>
      </c>
      <c r="G39" t="str">
        <f>_xlfn.XLOOKUP(E39,Table8[City],Table8[Region])</f>
        <v>South</v>
      </c>
      <c r="H39" t="s">
        <v>29</v>
      </c>
      <c r="I39" t="str">
        <f>_xlfn.XLOOKUP(H39,Table6[Product],Table6[Category])</f>
        <v>Electronics</v>
      </c>
      <c r="J39" t="s">
        <v>60</v>
      </c>
      <c r="K39">
        <v>1</v>
      </c>
      <c r="L39">
        <f>_xlfn.XLOOKUP(H39,Table6[Product],Table6[Unit Price])</f>
        <v>5000</v>
      </c>
      <c r="M39">
        <f>_xlfn.XLOOKUP(H39,Table6[Product],Table6[Cost Price])</f>
        <v>3200</v>
      </c>
      <c r="N39" s="7">
        <v>0.27</v>
      </c>
      <c r="O39">
        <f t="shared" si="0"/>
        <v>3650</v>
      </c>
      <c r="P39">
        <f t="shared" si="1"/>
        <v>3200</v>
      </c>
      <c r="Q39">
        <f t="shared" si="2"/>
        <v>450</v>
      </c>
      <c r="R39" t="s">
        <v>46</v>
      </c>
      <c r="S39" t="s">
        <v>51</v>
      </c>
    </row>
    <row r="40" spans="1:19" ht="18" x14ac:dyDescent="0.5">
      <c r="A40" t="s">
        <v>110</v>
      </c>
      <c r="B40" t="s">
        <v>1109</v>
      </c>
      <c r="C40" s="6">
        <v>45980</v>
      </c>
      <c r="D40" t="s">
        <v>2098</v>
      </c>
      <c r="E40" t="s">
        <v>2073</v>
      </c>
      <c r="F40" t="str">
        <f>_xlfn.XLOOKUP(E40,Table8[City],Table8[State])</f>
        <v>Maharashtra</v>
      </c>
      <c r="G40" t="str">
        <f>_xlfn.XLOOKUP(E40,Table8[City],Table8[Region])</f>
        <v>West</v>
      </c>
      <c r="H40" t="s">
        <v>19</v>
      </c>
      <c r="I40" t="str">
        <f>_xlfn.XLOOKUP(H40,Table6[Product],Table6[Category])</f>
        <v>Electronics</v>
      </c>
      <c r="J40" t="s">
        <v>55</v>
      </c>
      <c r="K40">
        <v>5</v>
      </c>
      <c r="L40">
        <f>_xlfn.XLOOKUP(H40,Table6[Product],Table6[Unit Price])</f>
        <v>25000</v>
      </c>
      <c r="M40">
        <f>_xlfn.XLOOKUP(H40,Table6[Product],Table6[Cost Price])</f>
        <v>20000</v>
      </c>
      <c r="N40" s="7">
        <v>0.21</v>
      </c>
      <c r="O40">
        <f t="shared" si="0"/>
        <v>98750</v>
      </c>
      <c r="P40">
        <f t="shared" si="1"/>
        <v>100000</v>
      </c>
      <c r="Q40">
        <f t="shared" si="2"/>
        <v>-1250</v>
      </c>
      <c r="R40" t="s">
        <v>47</v>
      </c>
      <c r="S40" t="s">
        <v>49</v>
      </c>
    </row>
    <row r="41" spans="1:19" ht="18" x14ac:dyDescent="0.5">
      <c r="A41" t="s">
        <v>111</v>
      </c>
      <c r="B41" t="s">
        <v>1110</v>
      </c>
      <c r="C41" s="6">
        <v>45404</v>
      </c>
      <c r="D41" t="s">
        <v>2091</v>
      </c>
      <c r="E41" t="s">
        <v>2079</v>
      </c>
      <c r="F41" t="str">
        <f>_xlfn.XLOOKUP(E41,Table8[City],Table8[State])</f>
        <v>Gujarat</v>
      </c>
      <c r="G41" t="str">
        <f>_xlfn.XLOOKUP(E41,Table8[City],Table8[Region])</f>
        <v>West</v>
      </c>
      <c r="H41" t="s">
        <v>20</v>
      </c>
      <c r="I41" t="str">
        <f>_xlfn.XLOOKUP(H41,Table6[Product],Table6[Category])</f>
        <v>Accessories</v>
      </c>
      <c r="J41" t="s">
        <v>56</v>
      </c>
      <c r="K41">
        <v>5</v>
      </c>
      <c r="L41">
        <f>_xlfn.XLOOKUP(H41,Table6[Product],Table6[Unit Price])</f>
        <v>3000</v>
      </c>
      <c r="M41">
        <f>_xlfn.XLOOKUP(H41,Table6[Product],Table6[Cost Price])</f>
        <v>1800</v>
      </c>
      <c r="N41" s="7">
        <v>0.24</v>
      </c>
      <c r="O41">
        <f t="shared" si="0"/>
        <v>11400</v>
      </c>
      <c r="P41">
        <f t="shared" si="1"/>
        <v>9000</v>
      </c>
      <c r="Q41">
        <f t="shared" si="2"/>
        <v>2400</v>
      </c>
      <c r="R41" t="s">
        <v>43</v>
      </c>
      <c r="S41" t="s">
        <v>50</v>
      </c>
    </row>
    <row r="42" spans="1:19" ht="18" x14ac:dyDescent="0.5">
      <c r="A42" t="s">
        <v>112</v>
      </c>
      <c r="B42" t="s">
        <v>1111</v>
      </c>
      <c r="C42" s="6">
        <v>45513</v>
      </c>
      <c r="D42" t="s">
        <v>2095</v>
      </c>
      <c r="E42" t="s">
        <v>2079</v>
      </c>
      <c r="F42" t="str">
        <f>_xlfn.XLOOKUP(E42,Table8[City],Table8[State])</f>
        <v>Gujarat</v>
      </c>
      <c r="G42" t="str">
        <f>_xlfn.XLOOKUP(E42,Table8[City],Table8[Region])</f>
        <v>West</v>
      </c>
      <c r="H42" t="s">
        <v>20</v>
      </c>
      <c r="I42" t="str">
        <f>_xlfn.XLOOKUP(H42,Table6[Product],Table6[Category])</f>
        <v>Accessories</v>
      </c>
      <c r="J42" t="s">
        <v>63</v>
      </c>
      <c r="K42">
        <v>1</v>
      </c>
      <c r="L42">
        <f>_xlfn.XLOOKUP(H42,Table6[Product],Table6[Unit Price])</f>
        <v>3000</v>
      </c>
      <c r="M42">
        <f>_xlfn.XLOOKUP(H42,Table6[Product],Table6[Cost Price])</f>
        <v>1800</v>
      </c>
      <c r="N42" s="7">
        <v>0.28999999999999998</v>
      </c>
      <c r="O42">
        <f t="shared" si="0"/>
        <v>2130</v>
      </c>
      <c r="P42">
        <f t="shared" si="1"/>
        <v>1800</v>
      </c>
      <c r="Q42">
        <f t="shared" si="2"/>
        <v>330</v>
      </c>
      <c r="R42" t="s">
        <v>44</v>
      </c>
      <c r="S42" t="s">
        <v>52</v>
      </c>
    </row>
    <row r="43" spans="1:19" ht="18" x14ac:dyDescent="0.5">
      <c r="A43" t="s">
        <v>113</v>
      </c>
      <c r="B43" t="s">
        <v>1112</v>
      </c>
      <c r="C43" s="6">
        <v>46004</v>
      </c>
      <c r="D43" t="s">
        <v>2088</v>
      </c>
      <c r="E43" t="s">
        <v>2077</v>
      </c>
      <c r="F43" t="str">
        <f>_xlfn.XLOOKUP(E43,Table8[City],Table8[State])</f>
        <v>Telangana</v>
      </c>
      <c r="G43" t="str">
        <f>_xlfn.XLOOKUP(E43,Table8[City],Table8[Region])</f>
        <v>South</v>
      </c>
      <c r="H43" t="s">
        <v>26</v>
      </c>
      <c r="I43" t="str">
        <f>_xlfn.XLOOKUP(H43,Table6[Product],Table6[Category])</f>
        <v>Office</v>
      </c>
      <c r="J43" t="s">
        <v>59</v>
      </c>
      <c r="K43">
        <v>5</v>
      </c>
      <c r="L43">
        <f>_xlfn.XLOOKUP(H43,Table6[Product],Table6[Unit Price])</f>
        <v>15000</v>
      </c>
      <c r="M43">
        <f>_xlfn.XLOOKUP(H43,Table6[Product],Table6[Cost Price])</f>
        <v>11500</v>
      </c>
      <c r="N43" s="7">
        <v>0.24</v>
      </c>
      <c r="O43">
        <f t="shared" si="0"/>
        <v>57000</v>
      </c>
      <c r="P43">
        <f t="shared" si="1"/>
        <v>57500</v>
      </c>
      <c r="Q43">
        <f t="shared" si="2"/>
        <v>-500</v>
      </c>
      <c r="R43" t="s">
        <v>46</v>
      </c>
      <c r="S43" t="s">
        <v>50</v>
      </c>
    </row>
    <row r="44" spans="1:19" ht="18" x14ac:dyDescent="0.5">
      <c r="A44" t="s">
        <v>114</v>
      </c>
      <c r="B44" t="s">
        <v>1113</v>
      </c>
      <c r="C44" s="6">
        <v>45349</v>
      </c>
      <c r="D44" t="s">
        <v>2085</v>
      </c>
      <c r="E44" t="s">
        <v>2106</v>
      </c>
      <c r="F44" t="str">
        <f>_xlfn.XLOOKUP(E44,Table8[City],Table8[State])</f>
        <v>West Bengal</v>
      </c>
      <c r="G44" t="str">
        <f>_xlfn.XLOOKUP(E44,Table8[City],Table8[Region])</f>
        <v>East</v>
      </c>
      <c r="H44" t="s">
        <v>29</v>
      </c>
      <c r="I44" t="str">
        <f>_xlfn.XLOOKUP(H44,Table6[Product],Table6[Category])</f>
        <v>Electronics</v>
      </c>
      <c r="J44" t="s">
        <v>58</v>
      </c>
      <c r="K44">
        <v>1</v>
      </c>
      <c r="L44">
        <f>_xlfn.XLOOKUP(H44,Table6[Product],Table6[Unit Price])</f>
        <v>5000</v>
      </c>
      <c r="M44">
        <f>_xlfn.XLOOKUP(H44,Table6[Product],Table6[Cost Price])</f>
        <v>3200</v>
      </c>
      <c r="N44" s="7">
        <v>0.16</v>
      </c>
      <c r="O44">
        <f t="shared" si="0"/>
        <v>4200</v>
      </c>
      <c r="P44">
        <f t="shared" si="1"/>
        <v>3200</v>
      </c>
      <c r="Q44">
        <f t="shared" si="2"/>
        <v>1000</v>
      </c>
      <c r="R44" t="s">
        <v>46</v>
      </c>
      <c r="S44" t="s">
        <v>50</v>
      </c>
    </row>
    <row r="45" spans="1:19" ht="18" x14ac:dyDescent="0.5">
      <c r="A45" t="s">
        <v>115</v>
      </c>
      <c r="B45" t="s">
        <v>1114</v>
      </c>
      <c r="C45" s="6">
        <v>45433</v>
      </c>
      <c r="D45" t="s">
        <v>2098</v>
      </c>
      <c r="E45" t="s">
        <v>2074</v>
      </c>
      <c r="F45" t="str">
        <f>_xlfn.XLOOKUP(E45,Table8[City],Table8[State])</f>
        <v>Maharashtra</v>
      </c>
      <c r="G45" t="str">
        <f>_xlfn.XLOOKUP(E45,Table8[City],Table8[Region])</f>
        <v>West</v>
      </c>
      <c r="H45" t="s">
        <v>24</v>
      </c>
      <c r="I45" t="str">
        <f>_xlfn.XLOOKUP(H45,Table6[Product],Table6[Category])</f>
        <v>Accessories</v>
      </c>
      <c r="J45" t="s">
        <v>55</v>
      </c>
      <c r="K45">
        <v>1</v>
      </c>
      <c r="L45">
        <f>_xlfn.XLOOKUP(H45,Table6[Product],Table6[Unit Price])</f>
        <v>1500</v>
      </c>
      <c r="M45">
        <f>_xlfn.XLOOKUP(H45,Table6[Product],Table6[Cost Price])</f>
        <v>900</v>
      </c>
      <c r="N45" s="7">
        <v>0.17</v>
      </c>
      <c r="O45">
        <f t="shared" si="0"/>
        <v>1245</v>
      </c>
      <c r="P45">
        <f t="shared" si="1"/>
        <v>900</v>
      </c>
      <c r="Q45">
        <f t="shared" si="2"/>
        <v>345</v>
      </c>
      <c r="R45" t="s">
        <v>43</v>
      </c>
      <c r="S45" t="s">
        <v>49</v>
      </c>
    </row>
    <row r="46" spans="1:19" ht="18" x14ac:dyDescent="0.5">
      <c r="A46" t="s">
        <v>116</v>
      </c>
      <c r="B46" t="s">
        <v>1115</v>
      </c>
      <c r="C46" s="6">
        <v>45752</v>
      </c>
      <c r="D46" t="s">
        <v>2088</v>
      </c>
      <c r="E46" t="s">
        <v>70</v>
      </c>
      <c r="F46" t="str">
        <f>_xlfn.XLOOKUP(E46,Table8[City],Table8[State])</f>
        <v>Karnataka</v>
      </c>
      <c r="G46" t="str">
        <f>_xlfn.XLOOKUP(E46,Table8[City],Table8[Region])</f>
        <v>South</v>
      </c>
      <c r="H46" t="s">
        <v>26</v>
      </c>
      <c r="I46" t="str">
        <f>_xlfn.XLOOKUP(H46,Table6[Product],Table6[Category])</f>
        <v>Office</v>
      </c>
      <c r="J46" t="s">
        <v>60</v>
      </c>
      <c r="K46">
        <v>3</v>
      </c>
      <c r="L46">
        <f>_xlfn.XLOOKUP(H46,Table6[Product],Table6[Unit Price])</f>
        <v>15000</v>
      </c>
      <c r="M46">
        <f>_xlfn.XLOOKUP(H46,Table6[Product],Table6[Cost Price])</f>
        <v>11500</v>
      </c>
      <c r="N46" s="7">
        <v>0.05</v>
      </c>
      <c r="O46">
        <f t="shared" si="0"/>
        <v>42750</v>
      </c>
      <c r="P46">
        <f t="shared" si="1"/>
        <v>34500</v>
      </c>
      <c r="Q46">
        <f t="shared" si="2"/>
        <v>8250</v>
      </c>
      <c r="R46" t="s">
        <v>44</v>
      </c>
      <c r="S46" t="s">
        <v>50</v>
      </c>
    </row>
    <row r="47" spans="1:19" ht="18" x14ac:dyDescent="0.5">
      <c r="A47" t="s">
        <v>117</v>
      </c>
      <c r="B47" t="s">
        <v>1116</v>
      </c>
      <c r="C47" s="6">
        <v>45743</v>
      </c>
      <c r="D47" t="s">
        <v>2096</v>
      </c>
      <c r="E47" t="s">
        <v>2076</v>
      </c>
      <c r="F47" t="str">
        <f>_xlfn.XLOOKUP(E47,Table8[City],Table8[State])</f>
        <v>Tamil Nadu</v>
      </c>
      <c r="G47" t="str">
        <f>_xlfn.XLOOKUP(E47,Table8[City],Table8[Region])</f>
        <v>South</v>
      </c>
      <c r="H47" t="s">
        <v>25</v>
      </c>
      <c r="I47" t="str">
        <f>_xlfn.XLOOKUP(H47,Table6[Product],Table6[Category])</f>
        <v>Accessories</v>
      </c>
      <c r="J47" t="s">
        <v>59</v>
      </c>
      <c r="K47">
        <v>7</v>
      </c>
      <c r="L47">
        <f>_xlfn.XLOOKUP(H47,Table6[Product],Table6[Unit Price])</f>
        <v>800</v>
      </c>
      <c r="M47">
        <f>_xlfn.XLOOKUP(H47,Table6[Product],Table6[Cost Price])</f>
        <v>450</v>
      </c>
      <c r="N47" s="7">
        <v>0.16</v>
      </c>
      <c r="O47">
        <f t="shared" si="0"/>
        <v>4704</v>
      </c>
      <c r="P47">
        <f t="shared" si="1"/>
        <v>3150</v>
      </c>
      <c r="Q47">
        <f t="shared" si="2"/>
        <v>1554</v>
      </c>
      <c r="R47" t="s">
        <v>43</v>
      </c>
      <c r="S47" t="s">
        <v>49</v>
      </c>
    </row>
    <row r="48" spans="1:19" ht="18" x14ac:dyDescent="0.5">
      <c r="A48" t="s">
        <v>118</v>
      </c>
      <c r="B48" t="s">
        <v>1117</v>
      </c>
      <c r="C48" s="6">
        <v>45887</v>
      </c>
      <c r="D48" t="s">
        <v>2088</v>
      </c>
      <c r="E48" t="s">
        <v>2080</v>
      </c>
      <c r="F48" t="str">
        <f>_xlfn.XLOOKUP(E48,Table8[City],Table8[State])</f>
        <v>Gujarat</v>
      </c>
      <c r="G48" t="str">
        <f>_xlfn.XLOOKUP(E48,Table8[City],Table8[Region])</f>
        <v>West</v>
      </c>
      <c r="H48" t="s">
        <v>22</v>
      </c>
      <c r="I48" t="str">
        <f>_xlfn.XLOOKUP(H48,Table6[Product],Table6[Category])</f>
        <v>Wearables</v>
      </c>
      <c r="J48" t="s">
        <v>55</v>
      </c>
      <c r="K48">
        <v>2</v>
      </c>
      <c r="L48">
        <f>_xlfn.XLOOKUP(H48,Table6[Product],Table6[Unit Price])</f>
        <v>12000</v>
      </c>
      <c r="M48">
        <f>_xlfn.XLOOKUP(H48,Table6[Product],Table6[Cost Price])</f>
        <v>8500</v>
      </c>
      <c r="N48" s="7">
        <v>0.27</v>
      </c>
      <c r="O48">
        <f t="shared" si="0"/>
        <v>17520</v>
      </c>
      <c r="P48">
        <f t="shared" si="1"/>
        <v>17000</v>
      </c>
      <c r="Q48">
        <f t="shared" si="2"/>
        <v>520</v>
      </c>
      <c r="R48" t="s">
        <v>46</v>
      </c>
      <c r="S48" t="s">
        <v>51</v>
      </c>
    </row>
    <row r="49" spans="1:19" ht="18" x14ac:dyDescent="0.5">
      <c r="A49" t="s">
        <v>119</v>
      </c>
      <c r="B49" t="s">
        <v>1118</v>
      </c>
      <c r="C49" s="6">
        <v>45845</v>
      </c>
      <c r="D49" t="s">
        <v>2091</v>
      </c>
      <c r="E49" t="s">
        <v>2080</v>
      </c>
      <c r="F49" t="str">
        <f>_xlfn.XLOOKUP(E49,Table8[City],Table8[State])</f>
        <v>Gujarat</v>
      </c>
      <c r="G49" t="str">
        <f>_xlfn.XLOOKUP(E49,Table8[City],Table8[Region])</f>
        <v>West</v>
      </c>
      <c r="H49" t="s">
        <v>28</v>
      </c>
      <c r="I49" t="str">
        <f>_xlfn.XLOOKUP(H49,Table6[Product],Table6[Category])</f>
        <v>Office</v>
      </c>
      <c r="J49" t="s">
        <v>63</v>
      </c>
      <c r="K49">
        <v>3</v>
      </c>
      <c r="L49">
        <f>_xlfn.XLOOKUP(H49,Table6[Product],Table6[Unit Price])</f>
        <v>18000</v>
      </c>
      <c r="M49">
        <f>_xlfn.XLOOKUP(H49,Table6[Product],Table6[Cost Price])</f>
        <v>14000</v>
      </c>
      <c r="N49" s="7">
        <v>0.15</v>
      </c>
      <c r="O49">
        <f t="shared" si="0"/>
        <v>45900</v>
      </c>
      <c r="P49">
        <f t="shared" si="1"/>
        <v>42000</v>
      </c>
      <c r="Q49">
        <f t="shared" si="2"/>
        <v>3900</v>
      </c>
      <c r="R49" t="s">
        <v>47</v>
      </c>
      <c r="S49" t="s">
        <v>50</v>
      </c>
    </row>
    <row r="50" spans="1:19" ht="18" x14ac:dyDescent="0.5">
      <c r="A50" t="s">
        <v>120</v>
      </c>
      <c r="B50" t="s">
        <v>1119</v>
      </c>
      <c r="C50" s="6">
        <v>45956</v>
      </c>
      <c r="D50" t="s">
        <v>2088</v>
      </c>
      <c r="E50" t="s">
        <v>70</v>
      </c>
      <c r="F50" t="str">
        <f>_xlfn.XLOOKUP(E50,Table8[City],Table8[State])</f>
        <v>Karnataka</v>
      </c>
      <c r="G50" t="str">
        <f>_xlfn.XLOOKUP(E50,Table8[City],Table8[Region])</f>
        <v>South</v>
      </c>
      <c r="H50" t="s">
        <v>18</v>
      </c>
      <c r="I50" t="str">
        <f>_xlfn.XLOOKUP(H50,Table6[Product],Table6[Category])</f>
        <v>Electronics</v>
      </c>
      <c r="J50" t="s">
        <v>57</v>
      </c>
      <c r="K50">
        <v>8</v>
      </c>
      <c r="L50">
        <f>_xlfn.XLOOKUP(H50,Table6[Product],Table6[Unit Price])</f>
        <v>35000</v>
      </c>
      <c r="M50">
        <f>_xlfn.XLOOKUP(H50,Table6[Product],Table6[Cost Price])</f>
        <v>28000</v>
      </c>
      <c r="N50" s="7">
        <v>7.0000000000000007E-2</v>
      </c>
      <c r="O50">
        <f t="shared" si="0"/>
        <v>260399.99999999997</v>
      </c>
      <c r="P50">
        <f t="shared" si="1"/>
        <v>224000</v>
      </c>
      <c r="Q50">
        <f t="shared" si="2"/>
        <v>36399.999999999971</v>
      </c>
      <c r="R50" t="s">
        <v>43</v>
      </c>
      <c r="S50" t="s">
        <v>49</v>
      </c>
    </row>
    <row r="51" spans="1:19" ht="18" x14ac:dyDescent="0.5">
      <c r="A51" t="s">
        <v>121</v>
      </c>
      <c r="B51" t="s">
        <v>1120</v>
      </c>
      <c r="C51" s="6">
        <v>45976</v>
      </c>
      <c r="D51" t="s">
        <v>2086</v>
      </c>
      <c r="E51" t="s">
        <v>2106</v>
      </c>
      <c r="F51" t="str">
        <f>_xlfn.XLOOKUP(E51,Table8[City],Table8[State])</f>
        <v>West Bengal</v>
      </c>
      <c r="G51" t="str">
        <f>_xlfn.XLOOKUP(E51,Table8[City],Table8[Region])</f>
        <v>East</v>
      </c>
      <c r="H51" t="s">
        <v>28</v>
      </c>
      <c r="I51" t="str">
        <f>_xlfn.XLOOKUP(H51,Table6[Product],Table6[Category])</f>
        <v>Office</v>
      </c>
      <c r="J51" t="s">
        <v>54</v>
      </c>
      <c r="K51">
        <v>5</v>
      </c>
      <c r="L51">
        <f>_xlfn.XLOOKUP(H51,Table6[Product],Table6[Unit Price])</f>
        <v>18000</v>
      </c>
      <c r="M51">
        <f>_xlfn.XLOOKUP(H51,Table6[Product],Table6[Cost Price])</f>
        <v>14000</v>
      </c>
      <c r="N51" s="7">
        <v>0.19</v>
      </c>
      <c r="O51">
        <f t="shared" si="0"/>
        <v>72900</v>
      </c>
      <c r="P51">
        <f t="shared" si="1"/>
        <v>70000</v>
      </c>
      <c r="Q51">
        <f t="shared" si="2"/>
        <v>2900</v>
      </c>
      <c r="R51" t="s">
        <v>47</v>
      </c>
      <c r="S51" t="s">
        <v>49</v>
      </c>
    </row>
    <row r="52" spans="1:19" ht="18" x14ac:dyDescent="0.5">
      <c r="A52" t="s">
        <v>122</v>
      </c>
      <c r="B52" t="s">
        <v>1121</v>
      </c>
      <c r="C52" s="6">
        <v>45439</v>
      </c>
      <c r="D52" t="s">
        <v>2095</v>
      </c>
      <c r="E52" t="s">
        <v>2072</v>
      </c>
      <c r="F52" t="str">
        <f>_xlfn.XLOOKUP(E52,Table8[City],Table8[State])</f>
        <v>Karnataka</v>
      </c>
      <c r="G52" t="str">
        <f>_xlfn.XLOOKUP(E52,Table8[City],Table8[Region])</f>
        <v>South</v>
      </c>
      <c r="H52" t="s">
        <v>24</v>
      </c>
      <c r="I52" t="str">
        <f>_xlfn.XLOOKUP(H52,Table6[Product],Table6[Category])</f>
        <v>Accessories</v>
      </c>
      <c r="J52" t="s">
        <v>57</v>
      </c>
      <c r="K52">
        <v>5</v>
      </c>
      <c r="L52">
        <f>_xlfn.XLOOKUP(H52,Table6[Product],Table6[Unit Price])</f>
        <v>1500</v>
      </c>
      <c r="M52">
        <f>_xlfn.XLOOKUP(H52,Table6[Product],Table6[Cost Price])</f>
        <v>900</v>
      </c>
      <c r="N52" s="7">
        <v>0.3</v>
      </c>
      <c r="O52">
        <f t="shared" si="0"/>
        <v>5250</v>
      </c>
      <c r="P52">
        <f t="shared" si="1"/>
        <v>4500</v>
      </c>
      <c r="Q52">
        <f t="shared" si="2"/>
        <v>750</v>
      </c>
      <c r="R52" t="s">
        <v>44</v>
      </c>
      <c r="S52" t="s">
        <v>51</v>
      </c>
    </row>
    <row r="53" spans="1:19" ht="18" x14ac:dyDescent="0.5">
      <c r="A53" t="s">
        <v>123</v>
      </c>
      <c r="B53" t="s">
        <v>1122</v>
      </c>
      <c r="C53" s="6">
        <v>45887</v>
      </c>
      <c r="D53" t="s">
        <v>2095</v>
      </c>
      <c r="E53" t="s">
        <v>2079</v>
      </c>
      <c r="F53" t="str">
        <f>_xlfn.XLOOKUP(E53,Table8[City],Table8[State])</f>
        <v>Gujarat</v>
      </c>
      <c r="G53" t="str">
        <f>_xlfn.XLOOKUP(E53,Table8[City],Table8[Region])</f>
        <v>West</v>
      </c>
      <c r="H53" t="s">
        <v>28</v>
      </c>
      <c r="I53" t="str">
        <f>_xlfn.XLOOKUP(H53,Table6[Product],Table6[Category])</f>
        <v>Office</v>
      </c>
      <c r="J53" t="s">
        <v>57</v>
      </c>
      <c r="K53">
        <v>9</v>
      </c>
      <c r="L53">
        <f>_xlfn.XLOOKUP(H53,Table6[Product],Table6[Unit Price])</f>
        <v>18000</v>
      </c>
      <c r="M53">
        <f>_xlfn.XLOOKUP(H53,Table6[Product],Table6[Cost Price])</f>
        <v>14000</v>
      </c>
      <c r="N53" s="7">
        <v>0.06</v>
      </c>
      <c r="O53">
        <f t="shared" si="0"/>
        <v>152280</v>
      </c>
      <c r="P53">
        <f t="shared" si="1"/>
        <v>126000</v>
      </c>
      <c r="Q53">
        <f t="shared" si="2"/>
        <v>26280</v>
      </c>
      <c r="R53" t="s">
        <v>44</v>
      </c>
      <c r="S53" t="s">
        <v>50</v>
      </c>
    </row>
    <row r="54" spans="1:19" ht="18" x14ac:dyDescent="0.5">
      <c r="A54" t="s">
        <v>124</v>
      </c>
      <c r="B54" t="s">
        <v>1123</v>
      </c>
      <c r="C54" s="6">
        <v>45822</v>
      </c>
      <c r="D54" t="s">
        <v>2089</v>
      </c>
      <c r="E54" t="s">
        <v>2072</v>
      </c>
      <c r="F54" t="str">
        <f>_xlfn.XLOOKUP(E54,Table8[City],Table8[State])</f>
        <v>Karnataka</v>
      </c>
      <c r="G54" t="str">
        <f>_xlfn.XLOOKUP(E54,Table8[City],Table8[Region])</f>
        <v>South</v>
      </c>
      <c r="H54" t="s">
        <v>26</v>
      </c>
      <c r="I54" t="str">
        <f>_xlfn.XLOOKUP(H54,Table6[Product],Table6[Category])</f>
        <v>Office</v>
      </c>
      <c r="J54" t="s">
        <v>58</v>
      </c>
      <c r="K54">
        <v>4</v>
      </c>
      <c r="L54">
        <f>_xlfn.XLOOKUP(H54,Table6[Product],Table6[Unit Price])</f>
        <v>15000</v>
      </c>
      <c r="M54">
        <f>_xlfn.XLOOKUP(H54,Table6[Product],Table6[Cost Price])</f>
        <v>11500</v>
      </c>
      <c r="N54" s="7">
        <v>0.05</v>
      </c>
      <c r="O54">
        <f t="shared" si="0"/>
        <v>57000</v>
      </c>
      <c r="P54">
        <f t="shared" si="1"/>
        <v>46000</v>
      </c>
      <c r="Q54">
        <f t="shared" si="2"/>
        <v>11000</v>
      </c>
      <c r="R54" t="s">
        <v>46</v>
      </c>
      <c r="S54" t="s">
        <v>49</v>
      </c>
    </row>
    <row r="55" spans="1:19" ht="18" x14ac:dyDescent="0.5">
      <c r="A55" t="s">
        <v>125</v>
      </c>
      <c r="B55" t="s">
        <v>1124</v>
      </c>
      <c r="C55" s="6">
        <v>45301</v>
      </c>
      <c r="D55" t="s">
        <v>2093</v>
      </c>
      <c r="E55" t="s">
        <v>2075</v>
      </c>
      <c r="F55" t="str">
        <f>_xlfn.XLOOKUP(E55,Table8[City],Table8[State])</f>
        <v>Tamil Nadu</v>
      </c>
      <c r="G55" t="str">
        <f>_xlfn.XLOOKUP(E55,Table8[City],Table8[Region])</f>
        <v>South</v>
      </c>
      <c r="H55" t="s">
        <v>25</v>
      </c>
      <c r="I55" t="str">
        <f>_xlfn.XLOOKUP(H55,Table6[Product],Table6[Category])</f>
        <v>Accessories</v>
      </c>
      <c r="J55" t="s">
        <v>54</v>
      </c>
      <c r="K55">
        <v>5</v>
      </c>
      <c r="L55">
        <f>_xlfn.XLOOKUP(H55,Table6[Product],Table6[Unit Price])</f>
        <v>800</v>
      </c>
      <c r="M55">
        <f>_xlfn.XLOOKUP(H55,Table6[Product],Table6[Cost Price])</f>
        <v>450</v>
      </c>
      <c r="N55" s="7">
        <v>0.23</v>
      </c>
      <c r="O55">
        <f t="shared" si="0"/>
        <v>3080</v>
      </c>
      <c r="P55">
        <f t="shared" si="1"/>
        <v>2250</v>
      </c>
      <c r="Q55">
        <f t="shared" si="2"/>
        <v>830</v>
      </c>
      <c r="R55" t="s">
        <v>44</v>
      </c>
      <c r="S55" t="s">
        <v>50</v>
      </c>
    </row>
    <row r="56" spans="1:19" ht="18" x14ac:dyDescent="0.5">
      <c r="A56" t="s">
        <v>126</v>
      </c>
      <c r="B56" t="s">
        <v>1125</v>
      </c>
      <c r="C56" s="6">
        <v>45581</v>
      </c>
      <c r="D56" t="s">
        <v>2094</v>
      </c>
      <c r="E56" t="s">
        <v>2104</v>
      </c>
      <c r="F56" t="str">
        <f>_xlfn.XLOOKUP(E56,Table8[City],Table8[State])</f>
        <v>Delhi</v>
      </c>
      <c r="G56" t="str">
        <f>_xlfn.XLOOKUP(E56,Table8[City],Table8[Region])</f>
        <v>North</v>
      </c>
      <c r="H56" t="s">
        <v>18</v>
      </c>
      <c r="I56" t="str">
        <f>_xlfn.XLOOKUP(H56,Table6[Product],Table6[Category])</f>
        <v>Electronics</v>
      </c>
      <c r="J56" t="s">
        <v>61</v>
      </c>
      <c r="K56">
        <v>5</v>
      </c>
      <c r="L56">
        <f>_xlfn.XLOOKUP(H56,Table6[Product],Table6[Unit Price])</f>
        <v>35000</v>
      </c>
      <c r="M56">
        <f>_xlfn.XLOOKUP(H56,Table6[Product],Table6[Cost Price])</f>
        <v>28000</v>
      </c>
      <c r="N56" s="7">
        <v>0.21</v>
      </c>
      <c r="O56">
        <f t="shared" si="0"/>
        <v>138250</v>
      </c>
      <c r="P56">
        <f t="shared" si="1"/>
        <v>140000</v>
      </c>
      <c r="Q56">
        <f t="shared" si="2"/>
        <v>-1750</v>
      </c>
      <c r="R56" t="s">
        <v>47</v>
      </c>
      <c r="S56" t="s">
        <v>49</v>
      </c>
    </row>
    <row r="57" spans="1:19" ht="18" x14ac:dyDescent="0.5">
      <c r="A57" t="s">
        <v>127</v>
      </c>
      <c r="B57" t="s">
        <v>1126</v>
      </c>
      <c r="C57" s="6">
        <v>45434</v>
      </c>
      <c r="D57" t="s">
        <v>2091</v>
      </c>
      <c r="E57" t="s">
        <v>2078</v>
      </c>
      <c r="F57" t="str">
        <f>_xlfn.XLOOKUP(E57,Table8[City],Table8[State])</f>
        <v>Telangana</v>
      </c>
      <c r="G57" t="str">
        <f>_xlfn.XLOOKUP(E57,Table8[City],Table8[Region])</f>
        <v>South</v>
      </c>
      <c r="H57" t="s">
        <v>22</v>
      </c>
      <c r="I57" t="str">
        <f>_xlfn.XLOOKUP(H57,Table6[Product],Table6[Category])</f>
        <v>Wearables</v>
      </c>
      <c r="J57" t="s">
        <v>63</v>
      </c>
      <c r="K57">
        <v>3</v>
      </c>
      <c r="L57">
        <f>_xlfn.XLOOKUP(H57,Table6[Product],Table6[Unit Price])</f>
        <v>12000</v>
      </c>
      <c r="M57">
        <f>_xlfn.XLOOKUP(H57,Table6[Product],Table6[Cost Price])</f>
        <v>8500</v>
      </c>
      <c r="N57" s="7">
        <v>0.04</v>
      </c>
      <c r="O57">
        <f t="shared" si="0"/>
        <v>34560</v>
      </c>
      <c r="P57">
        <f t="shared" si="1"/>
        <v>25500</v>
      </c>
      <c r="Q57">
        <f t="shared" si="2"/>
        <v>9060</v>
      </c>
      <c r="R57" t="s">
        <v>47</v>
      </c>
      <c r="S57" t="s">
        <v>50</v>
      </c>
    </row>
    <row r="58" spans="1:19" ht="18" x14ac:dyDescent="0.5">
      <c r="A58" t="s">
        <v>128</v>
      </c>
      <c r="B58" t="s">
        <v>1127</v>
      </c>
      <c r="C58" s="6">
        <v>45650</v>
      </c>
      <c r="D58" t="s">
        <v>2086</v>
      </c>
      <c r="E58" t="s">
        <v>2074</v>
      </c>
      <c r="F58" t="str">
        <f>_xlfn.XLOOKUP(E58,Table8[City],Table8[State])</f>
        <v>Maharashtra</v>
      </c>
      <c r="G58" t="str">
        <f>_xlfn.XLOOKUP(E58,Table8[City],Table8[Region])</f>
        <v>West</v>
      </c>
      <c r="H58" t="s">
        <v>18</v>
      </c>
      <c r="I58" t="str">
        <f>_xlfn.XLOOKUP(H58,Table6[Product],Table6[Category])</f>
        <v>Electronics</v>
      </c>
      <c r="J58" t="s">
        <v>63</v>
      </c>
      <c r="K58">
        <v>6</v>
      </c>
      <c r="L58">
        <f>_xlfn.XLOOKUP(H58,Table6[Product],Table6[Unit Price])</f>
        <v>35000</v>
      </c>
      <c r="M58">
        <f>_xlfn.XLOOKUP(H58,Table6[Product],Table6[Cost Price])</f>
        <v>28000</v>
      </c>
      <c r="N58" s="7">
        <v>0.18</v>
      </c>
      <c r="O58">
        <f t="shared" si="0"/>
        <v>172200</v>
      </c>
      <c r="P58">
        <f t="shared" si="1"/>
        <v>168000</v>
      </c>
      <c r="Q58">
        <f t="shared" si="2"/>
        <v>4200</v>
      </c>
      <c r="R58" t="s">
        <v>45</v>
      </c>
      <c r="S58" t="s">
        <v>52</v>
      </c>
    </row>
    <row r="59" spans="1:19" ht="18" x14ac:dyDescent="0.5">
      <c r="A59" t="s">
        <v>129</v>
      </c>
      <c r="B59" t="s">
        <v>1128</v>
      </c>
      <c r="C59" s="6">
        <v>46004</v>
      </c>
      <c r="D59" t="s">
        <v>2099</v>
      </c>
      <c r="E59" t="s">
        <v>70</v>
      </c>
      <c r="F59" t="str">
        <f>_xlfn.XLOOKUP(E59,Table8[City],Table8[State])</f>
        <v>Karnataka</v>
      </c>
      <c r="G59" t="str">
        <f>_xlfn.XLOOKUP(E59,Table8[City],Table8[Region])</f>
        <v>South</v>
      </c>
      <c r="H59" t="s">
        <v>18</v>
      </c>
      <c r="I59" t="str">
        <f>_xlfn.XLOOKUP(H59,Table6[Product],Table6[Category])</f>
        <v>Electronics</v>
      </c>
      <c r="J59" t="s">
        <v>63</v>
      </c>
      <c r="K59">
        <v>8</v>
      </c>
      <c r="L59">
        <f>_xlfn.XLOOKUP(H59,Table6[Product],Table6[Unit Price])</f>
        <v>35000</v>
      </c>
      <c r="M59">
        <f>_xlfn.XLOOKUP(H59,Table6[Product],Table6[Cost Price])</f>
        <v>28000</v>
      </c>
      <c r="N59" s="7">
        <v>0.11</v>
      </c>
      <c r="O59">
        <f t="shared" si="0"/>
        <v>249200</v>
      </c>
      <c r="P59">
        <f t="shared" si="1"/>
        <v>224000</v>
      </c>
      <c r="Q59">
        <f t="shared" si="2"/>
        <v>25200</v>
      </c>
      <c r="R59" t="s">
        <v>43</v>
      </c>
      <c r="S59" t="s">
        <v>50</v>
      </c>
    </row>
    <row r="60" spans="1:19" ht="18" x14ac:dyDescent="0.5">
      <c r="A60" t="s">
        <v>130</v>
      </c>
      <c r="B60" t="s">
        <v>1129</v>
      </c>
      <c r="C60" s="6">
        <v>45434</v>
      </c>
      <c r="D60" t="s">
        <v>2086</v>
      </c>
      <c r="E60" t="s">
        <v>2078</v>
      </c>
      <c r="F60" t="str">
        <f>_xlfn.XLOOKUP(E60,Table8[City],Table8[State])</f>
        <v>Telangana</v>
      </c>
      <c r="G60" t="str">
        <f>_xlfn.XLOOKUP(E60,Table8[City],Table8[Region])</f>
        <v>South</v>
      </c>
      <c r="H60" t="s">
        <v>28</v>
      </c>
      <c r="I60" t="str">
        <f>_xlfn.XLOOKUP(H60,Table6[Product],Table6[Category])</f>
        <v>Office</v>
      </c>
      <c r="J60" t="s">
        <v>58</v>
      </c>
      <c r="K60">
        <v>4</v>
      </c>
      <c r="L60">
        <f>_xlfn.XLOOKUP(H60,Table6[Product],Table6[Unit Price])</f>
        <v>18000</v>
      </c>
      <c r="M60">
        <f>_xlfn.XLOOKUP(H60,Table6[Product],Table6[Cost Price])</f>
        <v>14000</v>
      </c>
      <c r="N60" s="7">
        <v>0.25</v>
      </c>
      <c r="O60">
        <f t="shared" si="0"/>
        <v>54000</v>
      </c>
      <c r="P60">
        <f t="shared" si="1"/>
        <v>56000</v>
      </c>
      <c r="Q60">
        <f t="shared" si="2"/>
        <v>-2000</v>
      </c>
      <c r="R60" t="s">
        <v>43</v>
      </c>
      <c r="S60" t="s">
        <v>51</v>
      </c>
    </row>
    <row r="61" spans="1:19" ht="18" x14ac:dyDescent="0.5">
      <c r="A61" t="s">
        <v>131</v>
      </c>
      <c r="B61" t="s">
        <v>1130</v>
      </c>
      <c r="C61" s="6">
        <v>45503</v>
      </c>
      <c r="D61" t="s">
        <v>2099</v>
      </c>
      <c r="E61" t="s">
        <v>2076</v>
      </c>
      <c r="F61" t="str">
        <f>_xlfn.XLOOKUP(E61,Table8[City],Table8[State])</f>
        <v>Tamil Nadu</v>
      </c>
      <c r="G61" t="str">
        <f>_xlfn.XLOOKUP(E61,Table8[City],Table8[Region])</f>
        <v>South</v>
      </c>
      <c r="H61" t="s">
        <v>18</v>
      </c>
      <c r="I61" t="str">
        <f>_xlfn.XLOOKUP(H61,Table6[Product],Table6[Category])</f>
        <v>Electronics</v>
      </c>
      <c r="J61" t="s">
        <v>54</v>
      </c>
      <c r="K61">
        <v>4</v>
      </c>
      <c r="L61">
        <f>_xlfn.XLOOKUP(H61,Table6[Product],Table6[Unit Price])</f>
        <v>35000</v>
      </c>
      <c r="M61">
        <f>_xlfn.XLOOKUP(H61,Table6[Product],Table6[Cost Price])</f>
        <v>28000</v>
      </c>
      <c r="N61" s="7">
        <v>0.28999999999999998</v>
      </c>
      <c r="O61">
        <f t="shared" si="0"/>
        <v>99400</v>
      </c>
      <c r="P61">
        <f t="shared" si="1"/>
        <v>112000</v>
      </c>
      <c r="Q61">
        <f t="shared" si="2"/>
        <v>-12600</v>
      </c>
      <c r="R61" t="s">
        <v>45</v>
      </c>
      <c r="S61" t="s">
        <v>51</v>
      </c>
    </row>
    <row r="62" spans="1:19" ht="18" x14ac:dyDescent="0.5">
      <c r="A62" t="s">
        <v>132</v>
      </c>
      <c r="B62" t="s">
        <v>1131</v>
      </c>
      <c r="C62" s="6">
        <v>45471</v>
      </c>
      <c r="D62" t="s">
        <v>59</v>
      </c>
      <c r="E62" t="s">
        <v>2075</v>
      </c>
      <c r="F62" t="str">
        <f>_xlfn.XLOOKUP(E62,Table8[City],Table8[State])</f>
        <v>Tamil Nadu</v>
      </c>
      <c r="G62" t="str">
        <f>_xlfn.XLOOKUP(E62,Table8[City],Table8[Region])</f>
        <v>South</v>
      </c>
      <c r="H62" t="s">
        <v>22</v>
      </c>
      <c r="I62" t="str">
        <f>_xlfn.XLOOKUP(H62,Table6[Product],Table6[Category])</f>
        <v>Wearables</v>
      </c>
      <c r="J62" t="s">
        <v>60</v>
      </c>
      <c r="K62">
        <v>3</v>
      </c>
      <c r="L62">
        <f>_xlfn.XLOOKUP(H62,Table6[Product],Table6[Unit Price])</f>
        <v>12000</v>
      </c>
      <c r="M62">
        <f>_xlfn.XLOOKUP(H62,Table6[Product],Table6[Cost Price])</f>
        <v>8500</v>
      </c>
      <c r="N62" s="7">
        <v>0.06</v>
      </c>
      <c r="O62">
        <f t="shared" si="0"/>
        <v>33840</v>
      </c>
      <c r="P62">
        <f t="shared" si="1"/>
        <v>25500</v>
      </c>
      <c r="Q62">
        <f t="shared" si="2"/>
        <v>8340</v>
      </c>
      <c r="R62" t="s">
        <v>44</v>
      </c>
      <c r="S62" t="s">
        <v>49</v>
      </c>
    </row>
    <row r="63" spans="1:19" ht="18" x14ac:dyDescent="0.5">
      <c r="A63" t="s">
        <v>133</v>
      </c>
      <c r="B63" t="s">
        <v>1132</v>
      </c>
      <c r="C63" s="6">
        <v>46022</v>
      </c>
      <c r="D63" t="s">
        <v>2094</v>
      </c>
      <c r="E63" t="s">
        <v>2077</v>
      </c>
      <c r="F63" t="str">
        <f>_xlfn.XLOOKUP(E63,Table8[City],Table8[State])</f>
        <v>Telangana</v>
      </c>
      <c r="G63" t="str">
        <f>_xlfn.XLOOKUP(E63,Table8[City],Table8[Region])</f>
        <v>South</v>
      </c>
      <c r="H63" t="s">
        <v>16</v>
      </c>
      <c r="I63" t="str">
        <f>_xlfn.XLOOKUP(H63,Table6[Product],Table6[Category])</f>
        <v>Electronics</v>
      </c>
      <c r="J63" t="s">
        <v>62</v>
      </c>
      <c r="K63">
        <v>4</v>
      </c>
      <c r="L63">
        <f>_xlfn.XLOOKUP(H63,Table6[Product],Table6[Unit Price])</f>
        <v>65000</v>
      </c>
      <c r="M63">
        <f>_xlfn.XLOOKUP(H63,Table6[Product],Table6[Cost Price])</f>
        <v>52000</v>
      </c>
      <c r="N63" s="7">
        <v>0.06</v>
      </c>
      <c r="O63">
        <f t="shared" si="0"/>
        <v>244400</v>
      </c>
      <c r="P63">
        <f t="shared" si="1"/>
        <v>208000</v>
      </c>
      <c r="Q63">
        <f t="shared" si="2"/>
        <v>36400</v>
      </c>
      <c r="R63" t="s">
        <v>46</v>
      </c>
      <c r="S63" t="s">
        <v>50</v>
      </c>
    </row>
    <row r="64" spans="1:19" ht="18" x14ac:dyDescent="0.5">
      <c r="A64" t="s">
        <v>134</v>
      </c>
      <c r="B64" t="s">
        <v>1133</v>
      </c>
      <c r="C64" s="6">
        <v>45929</v>
      </c>
      <c r="D64" t="s">
        <v>63</v>
      </c>
      <c r="E64" t="s">
        <v>2074</v>
      </c>
      <c r="F64" t="str">
        <f>_xlfn.XLOOKUP(E64,Table8[City],Table8[State])</f>
        <v>Maharashtra</v>
      </c>
      <c r="G64" t="str">
        <f>_xlfn.XLOOKUP(E64,Table8[City],Table8[Region])</f>
        <v>West</v>
      </c>
      <c r="H64" t="s">
        <v>19</v>
      </c>
      <c r="I64" t="str">
        <f>_xlfn.XLOOKUP(H64,Table6[Product],Table6[Category])</f>
        <v>Electronics</v>
      </c>
      <c r="J64" t="s">
        <v>55</v>
      </c>
      <c r="K64">
        <v>8</v>
      </c>
      <c r="L64">
        <f>_xlfn.XLOOKUP(H64,Table6[Product],Table6[Unit Price])</f>
        <v>25000</v>
      </c>
      <c r="M64">
        <f>_xlfn.XLOOKUP(H64,Table6[Product],Table6[Cost Price])</f>
        <v>20000</v>
      </c>
      <c r="N64" s="7">
        <v>0.28000000000000003</v>
      </c>
      <c r="O64">
        <f t="shared" si="0"/>
        <v>144000</v>
      </c>
      <c r="P64">
        <f t="shared" si="1"/>
        <v>160000</v>
      </c>
      <c r="Q64">
        <f t="shared" si="2"/>
        <v>-16000</v>
      </c>
      <c r="R64" t="s">
        <v>44</v>
      </c>
      <c r="S64" t="s">
        <v>50</v>
      </c>
    </row>
    <row r="65" spans="1:19" ht="18" x14ac:dyDescent="0.5">
      <c r="A65" t="s">
        <v>135</v>
      </c>
      <c r="B65" t="s">
        <v>1134</v>
      </c>
      <c r="C65" s="6">
        <v>45311</v>
      </c>
      <c r="D65" t="s">
        <v>2099</v>
      </c>
      <c r="E65" t="s">
        <v>2072</v>
      </c>
      <c r="F65" t="str">
        <f>_xlfn.XLOOKUP(E65,Table8[City],Table8[State])</f>
        <v>Karnataka</v>
      </c>
      <c r="G65" t="str">
        <f>_xlfn.XLOOKUP(E65,Table8[City],Table8[Region])</f>
        <v>South</v>
      </c>
      <c r="H65" t="s">
        <v>18</v>
      </c>
      <c r="I65" t="str">
        <f>_xlfn.XLOOKUP(H65,Table6[Product],Table6[Category])</f>
        <v>Electronics</v>
      </c>
      <c r="J65" t="s">
        <v>59</v>
      </c>
      <c r="K65">
        <v>9</v>
      </c>
      <c r="L65">
        <f>_xlfn.XLOOKUP(H65,Table6[Product],Table6[Unit Price])</f>
        <v>35000</v>
      </c>
      <c r="M65">
        <f>_xlfn.XLOOKUP(H65,Table6[Product],Table6[Cost Price])</f>
        <v>28000</v>
      </c>
      <c r="N65" s="7">
        <v>0.04</v>
      </c>
      <c r="O65">
        <f t="shared" si="0"/>
        <v>302400</v>
      </c>
      <c r="P65">
        <f t="shared" si="1"/>
        <v>252000</v>
      </c>
      <c r="Q65">
        <f t="shared" si="2"/>
        <v>50400</v>
      </c>
      <c r="R65" t="s">
        <v>46</v>
      </c>
      <c r="S65" t="s">
        <v>50</v>
      </c>
    </row>
    <row r="66" spans="1:19" ht="18" x14ac:dyDescent="0.5">
      <c r="A66" t="s">
        <v>136</v>
      </c>
      <c r="B66" t="s">
        <v>1135</v>
      </c>
      <c r="C66" s="6">
        <v>45834</v>
      </c>
      <c r="D66" t="s">
        <v>2091</v>
      </c>
      <c r="E66" t="s">
        <v>2079</v>
      </c>
      <c r="F66" t="str">
        <f>_xlfn.XLOOKUP(E66,Table8[City],Table8[State])</f>
        <v>Gujarat</v>
      </c>
      <c r="G66" t="str">
        <f>_xlfn.XLOOKUP(E66,Table8[City],Table8[Region])</f>
        <v>West</v>
      </c>
      <c r="H66" t="s">
        <v>28</v>
      </c>
      <c r="I66" t="str">
        <f>_xlfn.XLOOKUP(H66,Table6[Product],Table6[Category])</f>
        <v>Office</v>
      </c>
      <c r="J66" t="s">
        <v>59</v>
      </c>
      <c r="K66">
        <v>4</v>
      </c>
      <c r="L66">
        <f>_xlfn.XLOOKUP(H66,Table6[Product],Table6[Unit Price])</f>
        <v>18000</v>
      </c>
      <c r="M66">
        <f>_xlfn.XLOOKUP(H66,Table6[Product],Table6[Cost Price])</f>
        <v>14000</v>
      </c>
      <c r="N66" s="7">
        <v>0.2</v>
      </c>
      <c r="O66">
        <f t="shared" si="0"/>
        <v>57600</v>
      </c>
      <c r="P66">
        <f t="shared" si="1"/>
        <v>56000</v>
      </c>
      <c r="Q66">
        <f t="shared" si="2"/>
        <v>1600</v>
      </c>
      <c r="R66" t="s">
        <v>47</v>
      </c>
      <c r="S66" t="s">
        <v>49</v>
      </c>
    </row>
    <row r="67" spans="1:19" ht="18" x14ac:dyDescent="0.5">
      <c r="A67" t="s">
        <v>137</v>
      </c>
      <c r="B67" t="s">
        <v>1136</v>
      </c>
      <c r="C67" s="6">
        <v>46012</v>
      </c>
      <c r="D67" t="s">
        <v>2092</v>
      </c>
      <c r="E67" t="s">
        <v>2073</v>
      </c>
      <c r="F67" t="str">
        <f>_xlfn.XLOOKUP(E67,Table8[City],Table8[State])</f>
        <v>Maharashtra</v>
      </c>
      <c r="G67" t="str">
        <f>_xlfn.XLOOKUP(E67,Table8[City],Table8[Region])</f>
        <v>West</v>
      </c>
      <c r="H67" t="s">
        <v>26</v>
      </c>
      <c r="I67" t="str">
        <f>_xlfn.XLOOKUP(H67,Table6[Product],Table6[Category])</f>
        <v>Office</v>
      </c>
      <c r="J67" t="s">
        <v>54</v>
      </c>
      <c r="K67">
        <v>8</v>
      </c>
      <c r="L67">
        <f>_xlfn.XLOOKUP(H67,Table6[Product],Table6[Unit Price])</f>
        <v>15000</v>
      </c>
      <c r="M67">
        <f>_xlfn.XLOOKUP(H67,Table6[Product],Table6[Cost Price])</f>
        <v>11500</v>
      </c>
      <c r="N67" s="7">
        <v>0.05</v>
      </c>
      <c r="O67">
        <f t="shared" ref="O67:O130" si="3">(L67*K67)*(1-N67)</f>
        <v>114000</v>
      </c>
      <c r="P67">
        <f t="shared" ref="P67:P130" si="4">M67*K67</f>
        <v>92000</v>
      </c>
      <c r="Q67">
        <f t="shared" ref="Q67:Q130" si="5">O67-P67</f>
        <v>22000</v>
      </c>
      <c r="R67" t="s">
        <v>47</v>
      </c>
      <c r="S67" t="s">
        <v>51</v>
      </c>
    </row>
    <row r="68" spans="1:19" ht="18" x14ac:dyDescent="0.5">
      <c r="A68" t="s">
        <v>138</v>
      </c>
      <c r="B68" t="s">
        <v>1137</v>
      </c>
      <c r="C68" s="6">
        <v>45313</v>
      </c>
      <c r="D68" t="s">
        <v>2092</v>
      </c>
      <c r="E68" t="s">
        <v>2105</v>
      </c>
      <c r="F68" t="str">
        <f>_xlfn.XLOOKUP(E68,Table8[City],Table8[State])</f>
        <v>Rajasthan</v>
      </c>
      <c r="G68" t="str">
        <f>_xlfn.XLOOKUP(E68,Table8[City],Table8[Region])</f>
        <v>North</v>
      </c>
      <c r="H68" t="s">
        <v>24</v>
      </c>
      <c r="I68" t="str">
        <f>_xlfn.XLOOKUP(H68,Table6[Product],Table6[Category])</f>
        <v>Accessories</v>
      </c>
      <c r="J68" t="s">
        <v>59</v>
      </c>
      <c r="K68">
        <v>9</v>
      </c>
      <c r="L68">
        <f>_xlfn.XLOOKUP(H68,Table6[Product],Table6[Unit Price])</f>
        <v>1500</v>
      </c>
      <c r="M68">
        <f>_xlfn.XLOOKUP(H68,Table6[Product],Table6[Cost Price])</f>
        <v>900</v>
      </c>
      <c r="N68" s="7">
        <v>0.02</v>
      </c>
      <c r="O68">
        <f t="shared" si="3"/>
        <v>13230</v>
      </c>
      <c r="P68">
        <f t="shared" si="4"/>
        <v>8100</v>
      </c>
      <c r="Q68">
        <f t="shared" si="5"/>
        <v>5130</v>
      </c>
      <c r="R68" t="s">
        <v>43</v>
      </c>
      <c r="S68" t="s">
        <v>52</v>
      </c>
    </row>
    <row r="69" spans="1:19" ht="18" x14ac:dyDescent="0.5">
      <c r="A69" t="s">
        <v>139</v>
      </c>
      <c r="B69" t="s">
        <v>1138</v>
      </c>
      <c r="C69" s="6">
        <v>45859</v>
      </c>
      <c r="D69" t="s">
        <v>2098</v>
      </c>
      <c r="E69" t="s">
        <v>2077</v>
      </c>
      <c r="F69" t="str">
        <f>_xlfn.XLOOKUP(E69,Table8[City],Table8[State])</f>
        <v>Telangana</v>
      </c>
      <c r="G69" t="str">
        <f>_xlfn.XLOOKUP(E69,Table8[City],Table8[Region])</f>
        <v>South</v>
      </c>
      <c r="H69" t="s">
        <v>20</v>
      </c>
      <c r="I69" t="str">
        <f>_xlfn.XLOOKUP(H69,Table6[Product],Table6[Category])</f>
        <v>Accessories</v>
      </c>
      <c r="J69" t="s">
        <v>54</v>
      </c>
      <c r="K69">
        <v>5</v>
      </c>
      <c r="L69">
        <f>_xlfn.XLOOKUP(H69,Table6[Product],Table6[Unit Price])</f>
        <v>3000</v>
      </c>
      <c r="M69">
        <f>_xlfn.XLOOKUP(H69,Table6[Product],Table6[Cost Price])</f>
        <v>1800</v>
      </c>
      <c r="N69" s="7">
        <v>0.2</v>
      </c>
      <c r="O69">
        <f t="shared" si="3"/>
        <v>12000</v>
      </c>
      <c r="P69">
        <f t="shared" si="4"/>
        <v>9000</v>
      </c>
      <c r="Q69">
        <f t="shared" si="5"/>
        <v>3000</v>
      </c>
      <c r="R69" t="s">
        <v>46</v>
      </c>
      <c r="S69" t="s">
        <v>49</v>
      </c>
    </row>
    <row r="70" spans="1:19" ht="18" x14ac:dyDescent="0.5">
      <c r="A70" t="s">
        <v>140</v>
      </c>
      <c r="B70" t="s">
        <v>1139</v>
      </c>
      <c r="C70" s="6">
        <v>45730</v>
      </c>
      <c r="D70" t="s">
        <v>2094</v>
      </c>
      <c r="E70" t="s">
        <v>2073</v>
      </c>
      <c r="F70" t="str">
        <f>_xlfn.XLOOKUP(E70,Table8[City],Table8[State])</f>
        <v>Maharashtra</v>
      </c>
      <c r="G70" t="str">
        <f>_xlfn.XLOOKUP(E70,Table8[City],Table8[Region])</f>
        <v>West</v>
      </c>
      <c r="H70" t="s">
        <v>24</v>
      </c>
      <c r="I70" t="str">
        <f>_xlfn.XLOOKUP(H70,Table6[Product],Table6[Category])</f>
        <v>Accessories</v>
      </c>
      <c r="J70" t="s">
        <v>57</v>
      </c>
      <c r="K70">
        <v>10</v>
      </c>
      <c r="L70">
        <f>_xlfn.XLOOKUP(H70,Table6[Product],Table6[Unit Price])</f>
        <v>1500</v>
      </c>
      <c r="M70">
        <f>_xlfn.XLOOKUP(H70,Table6[Product],Table6[Cost Price])</f>
        <v>900</v>
      </c>
      <c r="N70" s="7">
        <v>0.2</v>
      </c>
      <c r="O70">
        <f t="shared" si="3"/>
        <v>12000</v>
      </c>
      <c r="P70">
        <f t="shared" si="4"/>
        <v>9000</v>
      </c>
      <c r="Q70">
        <f t="shared" si="5"/>
        <v>3000</v>
      </c>
      <c r="R70" t="s">
        <v>43</v>
      </c>
      <c r="S70" t="s">
        <v>51</v>
      </c>
    </row>
    <row r="71" spans="1:19" ht="18" x14ac:dyDescent="0.5">
      <c r="A71" t="s">
        <v>141</v>
      </c>
      <c r="B71" t="s">
        <v>1140</v>
      </c>
      <c r="C71" s="6">
        <v>45551</v>
      </c>
      <c r="D71" t="s">
        <v>2093</v>
      </c>
      <c r="E71" t="s">
        <v>2072</v>
      </c>
      <c r="F71" t="str">
        <f>_xlfn.XLOOKUP(E71,Table8[City],Table8[State])</f>
        <v>Karnataka</v>
      </c>
      <c r="G71" t="str">
        <f>_xlfn.XLOOKUP(E71,Table8[City],Table8[Region])</f>
        <v>South</v>
      </c>
      <c r="H71" t="s">
        <v>20</v>
      </c>
      <c r="I71" t="str">
        <f>_xlfn.XLOOKUP(H71,Table6[Product],Table6[Category])</f>
        <v>Accessories</v>
      </c>
      <c r="J71" t="s">
        <v>58</v>
      </c>
      <c r="K71">
        <v>8</v>
      </c>
      <c r="L71">
        <f>_xlfn.XLOOKUP(H71,Table6[Product],Table6[Unit Price])</f>
        <v>3000</v>
      </c>
      <c r="M71">
        <f>_xlfn.XLOOKUP(H71,Table6[Product],Table6[Cost Price])</f>
        <v>1800</v>
      </c>
      <c r="N71" s="7">
        <v>0.17</v>
      </c>
      <c r="O71">
        <f t="shared" si="3"/>
        <v>19920</v>
      </c>
      <c r="P71">
        <f t="shared" si="4"/>
        <v>14400</v>
      </c>
      <c r="Q71">
        <f t="shared" si="5"/>
        <v>5520</v>
      </c>
      <c r="R71" t="s">
        <v>46</v>
      </c>
      <c r="S71" t="s">
        <v>49</v>
      </c>
    </row>
    <row r="72" spans="1:19" ht="18" x14ac:dyDescent="0.5">
      <c r="A72" t="s">
        <v>142</v>
      </c>
      <c r="B72" t="s">
        <v>1141</v>
      </c>
      <c r="C72" s="6">
        <v>45801</v>
      </c>
      <c r="D72" t="s">
        <v>2089</v>
      </c>
      <c r="E72" t="s">
        <v>70</v>
      </c>
      <c r="F72" t="str">
        <f>_xlfn.XLOOKUP(E72,Table8[City],Table8[State])</f>
        <v>Karnataka</v>
      </c>
      <c r="G72" t="str">
        <f>_xlfn.XLOOKUP(E72,Table8[City],Table8[Region])</f>
        <v>South</v>
      </c>
      <c r="H72" t="s">
        <v>20</v>
      </c>
      <c r="I72" t="str">
        <f>_xlfn.XLOOKUP(H72,Table6[Product],Table6[Category])</f>
        <v>Accessories</v>
      </c>
      <c r="J72" t="s">
        <v>63</v>
      </c>
      <c r="K72">
        <v>8</v>
      </c>
      <c r="L72">
        <f>_xlfn.XLOOKUP(H72,Table6[Product],Table6[Unit Price])</f>
        <v>3000</v>
      </c>
      <c r="M72">
        <f>_xlfn.XLOOKUP(H72,Table6[Product],Table6[Cost Price])</f>
        <v>1800</v>
      </c>
      <c r="N72" s="7">
        <v>0.05</v>
      </c>
      <c r="O72">
        <f t="shared" si="3"/>
        <v>22800</v>
      </c>
      <c r="P72">
        <f t="shared" si="4"/>
        <v>14400</v>
      </c>
      <c r="Q72">
        <f t="shared" si="5"/>
        <v>8400</v>
      </c>
      <c r="R72" t="s">
        <v>46</v>
      </c>
      <c r="S72" t="s">
        <v>49</v>
      </c>
    </row>
    <row r="73" spans="1:19" ht="18" x14ac:dyDescent="0.5">
      <c r="A73" t="s">
        <v>143</v>
      </c>
      <c r="B73" t="s">
        <v>1142</v>
      </c>
      <c r="C73" s="6">
        <v>45730</v>
      </c>
      <c r="D73" t="s">
        <v>2084</v>
      </c>
      <c r="E73" t="s">
        <v>2077</v>
      </c>
      <c r="F73" t="str">
        <f>_xlfn.XLOOKUP(E73,Table8[City],Table8[State])</f>
        <v>Telangana</v>
      </c>
      <c r="G73" t="str">
        <f>_xlfn.XLOOKUP(E73,Table8[City],Table8[Region])</f>
        <v>South</v>
      </c>
      <c r="H73" t="s">
        <v>28</v>
      </c>
      <c r="I73" t="str">
        <f>_xlfn.XLOOKUP(H73,Table6[Product],Table6[Category])</f>
        <v>Office</v>
      </c>
      <c r="J73" t="s">
        <v>57</v>
      </c>
      <c r="K73">
        <v>10</v>
      </c>
      <c r="L73">
        <f>_xlfn.XLOOKUP(H73,Table6[Product],Table6[Unit Price])</f>
        <v>18000</v>
      </c>
      <c r="M73">
        <f>_xlfn.XLOOKUP(H73,Table6[Product],Table6[Cost Price])</f>
        <v>14000</v>
      </c>
      <c r="N73" s="7">
        <v>0.18</v>
      </c>
      <c r="O73">
        <f t="shared" si="3"/>
        <v>147600</v>
      </c>
      <c r="P73">
        <f t="shared" si="4"/>
        <v>140000</v>
      </c>
      <c r="Q73">
        <f t="shared" si="5"/>
        <v>7600</v>
      </c>
      <c r="R73" t="s">
        <v>45</v>
      </c>
      <c r="S73" t="s">
        <v>51</v>
      </c>
    </row>
    <row r="74" spans="1:19" ht="18" x14ac:dyDescent="0.5">
      <c r="A74" t="s">
        <v>144</v>
      </c>
      <c r="B74" t="s">
        <v>1143</v>
      </c>
      <c r="C74" s="6">
        <v>45753</v>
      </c>
      <c r="D74" t="s">
        <v>2095</v>
      </c>
      <c r="E74" t="s">
        <v>2077</v>
      </c>
      <c r="F74" t="str">
        <f>_xlfn.XLOOKUP(E74,Table8[City],Table8[State])</f>
        <v>Telangana</v>
      </c>
      <c r="G74" t="str">
        <f>_xlfn.XLOOKUP(E74,Table8[City],Table8[Region])</f>
        <v>South</v>
      </c>
      <c r="H74" t="s">
        <v>25</v>
      </c>
      <c r="I74" t="str">
        <f>_xlfn.XLOOKUP(H74,Table6[Product],Table6[Category])</f>
        <v>Accessories</v>
      </c>
      <c r="J74" t="s">
        <v>56</v>
      </c>
      <c r="K74">
        <v>2</v>
      </c>
      <c r="L74">
        <f>_xlfn.XLOOKUP(H74,Table6[Product],Table6[Unit Price])</f>
        <v>800</v>
      </c>
      <c r="M74">
        <f>_xlfn.XLOOKUP(H74,Table6[Product],Table6[Cost Price])</f>
        <v>450</v>
      </c>
      <c r="N74" s="7">
        <v>0.03</v>
      </c>
      <c r="O74">
        <f t="shared" si="3"/>
        <v>1552</v>
      </c>
      <c r="P74">
        <f t="shared" si="4"/>
        <v>900</v>
      </c>
      <c r="Q74">
        <f t="shared" si="5"/>
        <v>652</v>
      </c>
      <c r="R74" t="s">
        <v>44</v>
      </c>
      <c r="S74" t="s">
        <v>52</v>
      </c>
    </row>
    <row r="75" spans="1:19" ht="18" x14ac:dyDescent="0.5">
      <c r="A75" t="s">
        <v>145</v>
      </c>
      <c r="B75" t="s">
        <v>1144</v>
      </c>
      <c r="C75" s="6">
        <v>45947</v>
      </c>
      <c r="D75" t="s">
        <v>2092</v>
      </c>
      <c r="E75" t="s">
        <v>2104</v>
      </c>
      <c r="F75" t="str">
        <f>_xlfn.XLOOKUP(E75,Table8[City],Table8[State])</f>
        <v>Delhi</v>
      </c>
      <c r="G75" t="str">
        <f>_xlfn.XLOOKUP(E75,Table8[City],Table8[Region])</f>
        <v>North</v>
      </c>
      <c r="H75" t="s">
        <v>16</v>
      </c>
      <c r="I75" t="str">
        <f>_xlfn.XLOOKUP(H75,Table6[Product],Table6[Category])</f>
        <v>Electronics</v>
      </c>
      <c r="J75" t="s">
        <v>58</v>
      </c>
      <c r="K75">
        <v>3</v>
      </c>
      <c r="L75">
        <f>_xlfn.XLOOKUP(H75,Table6[Product],Table6[Unit Price])</f>
        <v>65000</v>
      </c>
      <c r="M75">
        <f>_xlfn.XLOOKUP(H75,Table6[Product],Table6[Cost Price])</f>
        <v>52000</v>
      </c>
      <c r="N75" s="7">
        <v>0.28999999999999998</v>
      </c>
      <c r="O75">
        <f t="shared" si="3"/>
        <v>138450</v>
      </c>
      <c r="P75">
        <f t="shared" si="4"/>
        <v>156000</v>
      </c>
      <c r="Q75">
        <f t="shared" si="5"/>
        <v>-17550</v>
      </c>
      <c r="R75" t="s">
        <v>46</v>
      </c>
      <c r="S75" t="s">
        <v>50</v>
      </c>
    </row>
    <row r="76" spans="1:19" ht="18" x14ac:dyDescent="0.5">
      <c r="A76" t="s">
        <v>146</v>
      </c>
      <c r="B76" t="s">
        <v>1145</v>
      </c>
      <c r="C76" s="6">
        <v>45647</v>
      </c>
      <c r="D76" t="s">
        <v>2095</v>
      </c>
      <c r="E76" t="s">
        <v>2076</v>
      </c>
      <c r="F76" t="str">
        <f>_xlfn.XLOOKUP(E76,Table8[City],Table8[State])</f>
        <v>Tamil Nadu</v>
      </c>
      <c r="G76" t="str">
        <f>_xlfn.XLOOKUP(E76,Table8[City],Table8[Region])</f>
        <v>South</v>
      </c>
      <c r="H76" t="s">
        <v>24</v>
      </c>
      <c r="I76" t="str">
        <f>_xlfn.XLOOKUP(H76,Table6[Product],Table6[Category])</f>
        <v>Accessories</v>
      </c>
      <c r="J76" t="s">
        <v>59</v>
      </c>
      <c r="K76">
        <v>1</v>
      </c>
      <c r="L76">
        <f>_xlfn.XLOOKUP(H76,Table6[Product],Table6[Unit Price])</f>
        <v>1500</v>
      </c>
      <c r="M76">
        <f>_xlfn.XLOOKUP(H76,Table6[Product],Table6[Cost Price])</f>
        <v>900</v>
      </c>
      <c r="N76" s="7">
        <v>0.25</v>
      </c>
      <c r="O76">
        <f t="shared" si="3"/>
        <v>1125</v>
      </c>
      <c r="P76">
        <f t="shared" si="4"/>
        <v>900</v>
      </c>
      <c r="Q76">
        <f t="shared" si="5"/>
        <v>225</v>
      </c>
      <c r="R76" t="s">
        <v>43</v>
      </c>
      <c r="S76" t="s">
        <v>51</v>
      </c>
    </row>
    <row r="77" spans="1:19" ht="18" x14ac:dyDescent="0.5">
      <c r="A77" t="s">
        <v>147</v>
      </c>
      <c r="B77" t="s">
        <v>1146</v>
      </c>
      <c r="C77" s="6">
        <v>45414</v>
      </c>
      <c r="D77" t="s">
        <v>2096</v>
      </c>
      <c r="E77" t="s">
        <v>2077</v>
      </c>
      <c r="F77" t="str">
        <f>_xlfn.XLOOKUP(E77,Table8[City],Table8[State])</f>
        <v>Telangana</v>
      </c>
      <c r="G77" t="str">
        <f>_xlfn.XLOOKUP(E77,Table8[City],Table8[Region])</f>
        <v>South</v>
      </c>
      <c r="H77" t="s">
        <v>24</v>
      </c>
      <c r="I77" t="str">
        <f>_xlfn.XLOOKUP(H77,Table6[Product],Table6[Category])</f>
        <v>Accessories</v>
      </c>
      <c r="J77" t="s">
        <v>60</v>
      </c>
      <c r="K77">
        <v>8</v>
      </c>
      <c r="L77">
        <f>_xlfn.XLOOKUP(H77,Table6[Product],Table6[Unit Price])</f>
        <v>1500</v>
      </c>
      <c r="M77">
        <f>_xlfn.XLOOKUP(H77,Table6[Product],Table6[Cost Price])</f>
        <v>900</v>
      </c>
      <c r="N77" s="7">
        <v>0.1</v>
      </c>
      <c r="O77">
        <f t="shared" si="3"/>
        <v>10800</v>
      </c>
      <c r="P77">
        <f t="shared" si="4"/>
        <v>7200</v>
      </c>
      <c r="Q77">
        <f t="shared" si="5"/>
        <v>3600</v>
      </c>
      <c r="R77" t="s">
        <v>43</v>
      </c>
      <c r="S77" t="s">
        <v>49</v>
      </c>
    </row>
    <row r="78" spans="1:19" ht="18" x14ac:dyDescent="0.5">
      <c r="A78" t="s">
        <v>148</v>
      </c>
      <c r="B78" t="s">
        <v>1147</v>
      </c>
      <c r="C78" s="6">
        <v>46009</v>
      </c>
      <c r="D78" t="s">
        <v>2086</v>
      </c>
      <c r="E78" t="s">
        <v>2106</v>
      </c>
      <c r="F78" t="str">
        <f>_xlfn.XLOOKUP(E78,Table8[City],Table8[State])</f>
        <v>West Bengal</v>
      </c>
      <c r="G78" t="str">
        <f>_xlfn.XLOOKUP(E78,Table8[City],Table8[Region])</f>
        <v>East</v>
      </c>
      <c r="H78" t="s">
        <v>20</v>
      </c>
      <c r="I78" t="str">
        <f>_xlfn.XLOOKUP(H78,Table6[Product],Table6[Category])</f>
        <v>Accessories</v>
      </c>
      <c r="J78" t="s">
        <v>60</v>
      </c>
      <c r="K78">
        <v>6</v>
      </c>
      <c r="L78">
        <f>_xlfn.XLOOKUP(H78,Table6[Product],Table6[Unit Price])</f>
        <v>3000</v>
      </c>
      <c r="M78">
        <f>_xlfn.XLOOKUP(H78,Table6[Product],Table6[Cost Price])</f>
        <v>1800</v>
      </c>
      <c r="N78" s="7">
        <v>0.03</v>
      </c>
      <c r="O78">
        <f t="shared" si="3"/>
        <v>17460</v>
      </c>
      <c r="P78">
        <f t="shared" si="4"/>
        <v>10800</v>
      </c>
      <c r="Q78">
        <f t="shared" si="5"/>
        <v>6660</v>
      </c>
      <c r="R78" t="s">
        <v>45</v>
      </c>
      <c r="S78" t="s">
        <v>52</v>
      </c>
    </row>
    <row r="79" spans="1:19" ht="18" x14ac:dyDescent="0.5">
      <c r="A79" t="s">
        <v>149</v>
      </c>
      <c r="B79" t="s">
        <v>1148</v>
      </c>
      <c r="C79" s="6">
        <v>45557</v>
      </c>
      <c r="D79" t="s">
        <v>2094</v>
      </c>
      <c r="E79" t="s">
        <v>2080</v>
      </c>
      <c r="F79" t="str">
        <f>_xlfn.XLOOKUP(E79,Table8[City],Table8[State])</f>
        <v>Gujarat</v>
      </c>
      <c r="G79" t="str">
        <f>_xlfn.XLOOKUP(E79,Table8[City],Table8[Region])</f>
        <v>West</v>
      </c>
      <c r="H79" t="s">
        <v>26</v>
      </c>
      <c r="I79" t="str">
        <f>_xlfn.XLOOKUP(H79,Table6[Product],Table6[Category])</f>
        <v>Office</v>
      </c>
      <c r="J79" t="s">
        <v>57</v>
      </c>
      <c r="K79">
        <v>1</v>
      </c>
      <c r="L79">
        <f>_xlfn.XLOOKUP(H79,Table6[Product],Table6[Unit Price])</f>
        <v>15000</v>
      </c>
      <c r="M79">
        <f>_xlfn.XLOOKUP(H79,Table6[Product],Table6[Cost Price])</f>
        <v>11500</v>
      </c>
      <c r="N79" s="7">
        <v>0.02</v>
      </c>
      <c r="O79">
        <f t="shared" si="3"/>
        <v>14700</v>
      </c>
      <c r="P79">
        <f t="shared" si="4"/>
        <v>11500</v>
      </c>
      <c r="Q79">
        <f t="shared" si="5"/>
        <v>3200</v>
      </c>
      <c r="R79" t="s">
        <v>44</v>
      </c>
      <c r="S79" t="s">
        <v>49</v>
      </c>
    </row>
    <row r="80" spans="1:19" ht="18" x14ac:dyDescent="0.5">
      <c r="A80" t="s">
        <v>150</v>
      </c>
      <c r="B80" t="s">
        <v>1149</v>
      </c>
      <c r="C80" s="6">
        <v>45907</v>
      </c>
      <c r="D80" t="s">
        <v>2099</v>
      </c>
      <c r="E80" t="s">
        <v>2076</v>
      </c>
      <c r="F80" t="str">
        <f>_xlfn.XLOOKUP(E80,Table8[City],Table8[State])</f>
        <v>Tamil Nadu</v>
      </c>
      <c r="G80" t="str">
        <f>_xlfn.XLOOKUP(E80,Table8[City],Table8[Region])</f>
        <v>South</v>
      </c>
      <c r="H80" t="s">
        <v>25</v>
      </c>
      <c r="I80" t="str">
        <f>_xlfn.XLOOKUP(H80,Table6[Product],Table6[Category])</f>
        <v>Accessories</v>
      </c>
      <c r="J80" t="s">
        <v>62</v>
      </c>
      <c r="K80">
        <v>2</v>
      </c>
      <c r="L80">
        <f>_xlfn.XLOOKUP(H80,Table6[Product],Table6[Unit Price])</f>
        <v>800</v>
      </c>
      <c r="M80">
        <f>_xlfn.XLOOKUP(H80,Table6[Product],Table6[Cost Price])</f>
        <v>450</v>
      </c>
      <c r="N80" s="7">
        <v>0.06</v>
      </c>
      <c r="O80">
        <f t="shared" si="3"/>
        <v>1504</v>
      </c>
      <c r="P80">
        <f t="shared" si="4"/>
        <v>900</v>
      </c>
      <c r="Q80">
        <f t="shared" si="5"/>
        <v>604</v>
      </c>
      <c r="R80" t="s">
        <v>46</v>
      </c>
      <c r="S80" t="s">
        <v>51</v>
      </c>
    </row>
    <row r="81" spans="1:19" ht="18" x14ac:dyDescent="0.5">
      <c r="A81" t="s">
        <v>151</v>
      </c>
      <c r="B81" t="s">
        <v>1150</v>
      </c>
      <c r="C81" s="6">
        <v>45827</v>
      </c>
      <c r="D81" t="s">
        <v>2083</v>
      </c>
      <c r="E81" t="s">
        <v>2076</v>
      </c>
      <c r="F81" t="str">
        <f>_xlfn.XLOOKUP(E81,Table8[City],Table8[State])</f>
        <v>Tamil Nadu</v>
      </c>
      <c r="G81" t="str">
        <f>_xlfn.XLOOKUP(E81,Table8[City],Table8[Region])</f>
        <v>South</v>
      </c>
      <c r="H81" t="s">
        <v>26</v>
      </c>
      <c r="I81" t="str">
        <f>_xlfn.XLOOKUP(H81,Table6[Product],Table6[Category])</f>
        <v>Office</v>
      </c>
      <c r="J81" t="s">
        <v>55</v>
      </c>
      <c r="K81">
        <v>5</v>
      </c>
      <c r="L81">
        <f>_xlfn.XLOOKUP(H81,Table6[Product],Table6[Unit Price])</f>
        <v>15000</v>
      </c>
      <c r="M81">
        <f>_xlfn.XLOOKUP(H81,Table6[Product],Table6[Cost Price])</f>
        <v>11500</v>
      </c>
      <c r="N81" s="7">
        <v>0.12</v>
      </c>
      <c r="O81">
        <f t="shared" si="3"/>
        <v>66000</v>
      </c>
      <c r="P81">
        <f t="shared" si="4"/>
        <v>57500</v>
      </c>
      <c r="Q81">
        <f t="shared" si="5"/>
        <v>8500</v>
      </c>
      <c r="R81" t="s">
        <v>46</v>
      </c>
      <c r="S81" t="s">
        <v>51</v>
      </c>
    </row>
    <row r="82" spans="1:19" ht="18" x14ac:dyDescent="0.5">
      <c r="A82" t="s">
        <v>152</v>
      </c>
      <c r="B82" t="s">
        <v>1151</v>
      </c>
      <c r="C82" s="6">
        <v>45819</v>
      </c>
      <c r="D82" t="s">
        <v>59</v>
      </c>
      <c r="E82" t="s">
        <v>2074</v>
      </c>
      <c r="F82" t="str">
        <f>_xlfn.XLOOKUP(E82,Table8[City],Table8[State])</f>
        <v>Maharashtra</v>
      </c>
      <c r="G82" t="str">
        <f>_xlfn.XLOOKUP(E82,Table8[City],Table8[Region])</f>
        <v>West</v>
      </c>
      <c r="H82" t="s">
        <v>22</v>
      </c>
      <c r="I82" t="str">
        <f>_xlfn.XLOOKUP(H82,Table6[Product],Table6[Category])</f>
        <v>Wearables</v>
      </c>
      <c r="J82" t="s">
        <v>56</v>
      </c>
      <c r="K82">
        <v>4</v>
      </c>
      <c r="L82">
        <f>_xlfn.XLOOKUP(H82,Table6[Product],Table6[Unit Price])</f>
        <v>12000</v>
      </c>
      <c r="M82">
        <f>_xlfn.XLOOKUP(H82,Table6[Product],Table6[Cost Price])</f>
        <v>8500</v>
      </c>
      <c r="N82" s="7">
        <v>0.25</v>
      </c>
      <c r="O82">
        <f t="shared" si="3"/>
        <v>36000</v>
      </c>
      <c r="P82">
        <f t="shared" si="4"/>
        <v>34000</v>
      </c>
      <c r="Q82">
        <f t="shared" si="5"/>
        <v>2000</v>
      </c>
      <c r="R82" t="s">
        <v>43</v>
      </c>
      <c r="S82" t="s">
        <v>51</v>
      </c>
    </row>
    <row r="83" spans="1:19" ht="18" x14ac:dyDescent="0.5">
      <c r="A83" t="s">
        <v>153</v>
      </c>
      <c r="B83" t="s">
        <v>1152</v>
      </c>
      <c r="C83" s="6">
        <v>45572</v>
      </c>
      <c r="D83" t="s">
        <v>2099</v>
      </c>
      <c r="E83" t="s">
        <v>2072</v>
      </c>
      <c r="F83" t="str">
        <f>_xlfn.XLOOKUP(E83,Table8[City],Table8[State])</f>
        <v>Karnataka</v>
      </c>
      <c r="G83" t="str">
        <f>_xlfn.XLOOKUP(E83,Table8[City],Table8[Region])</f>
        <v>South</v>
      </c>
      <c r="H83" t="s">
        <v>25</v>
      </c>
      <c r="I83" t="str">
        <f>_xlfn.XLOOKUP(H83,Table6[Product],Table6[Category])</f>
        <v>Accessories</v>
      </c>
      <c r="J83" t="s">
        <v>54</v>
      </c>
      <c r="K83">
        <v>5</v>
      </c>
      <c r="L83">
        <f>_xlfn.XLOOKUP(H83,Table6[Product],Table6[Unit Price])</f>
        <v>800</v>
      </c>
      <c r="M83">
        <f>_xlfn.XLOOKUP(H83,Table6[Product],Table6[Cost Price])</f>
        <v>450</v>
      </c>
      <c r="N83" s="7">
        <v>0.09</v>
      </c>
      <c r="O83">
        <f t="shared" si="3"/>
        <v>3640</v>
      </c>
      <c r="P83">
        <f t="shared" si="4"/>
        <v>2250</v>
      </c>
      <c r="Q83">
        <f t="shared" si="5"/>
        <v>1390</v>
      </c>
      <c r="R83" t="s">
        <v>47</v>
      </c>
      <c r="S83" t="s">
        <v>50</v>
      </c>
    </row>
    <row r="84" spans="1:19" ht="18" x14ac:dyDescent="0.5">
      <c r="A84" t="s">
        <v>154</v>
      </c>
      <c r="B84" t="s">
        <v>1153</v>
      </c>
      <c r="C84" s="6">
        <v>45305</v>
      </c>
      <c r="D84" t="s">
        <v>2090</v>
      </c>
      <c r="E84" t="s">
        <v>2077</v>
      </c>
      <c r="F84" t="str">
        <f>_xlfn.XLOOKUP(E84,Table8[City],Table8[State])</f>
        <v>Telangana</v>
      </c>
      <c r="G84" t="str">
        <f>_xlfn.XLOOKUP(E84,Table8[City],Table8[Region])</f>
        <v>South</v>
      </c>
      <c r="H84" t="s">
        <v>28</v>
      </c>
      <c r="I84" t="str">
        <f>_xlfn.XLOOKUP(H84,Table6[Product],Table6[Category])</f>
        <v>Office</v>
      </c>
      <c r="J84" t="s">
        <v>62</v>
      </c>
      <c r="K84">
        <v>4</v>
      </c>
      <c r="L84">
        <f>_xlfn.XLOOKUP(H84,Table6[Product],Table6[Unit Price])</f>
        <v>18000</v>
      </c>
      <c r="M84">
        <f>_xlfn.XLOOKUP(H84,Table6[Product],Table6[Cost Price])</f>
        <v>14000</v>
      </c>
      <c r="N84" s="7">
        <v>0.1</v>
      </c>
      <c r="O84">
        <f t="shared" si="3"/>
        <v>64800</v>
      </c>
      <c r="P84">
        <f t="shared" si="4"/>
        <v>56000</v>
      </c>
      <c r="Q84">
        <f t="shared" si="5"/>
        <v>8800</v>
      </c>
      <c r="R84" t="s">
        <v>45</v>
      </c>
      <c r="S84" t="s">
        <v>50</v>
      </c>
    </row>
    <row r="85" spans="1:19" ht="18" x14ac:dyDescent="0.5">
      <c r="A85" t="s">
        <v>155</v>
      </c>
      <c r="B85" t="s">
        <v>1154</v>
      </c>
      <c r="C85" s="6">
        <v>45393</v>
      </c>
      <c r="D85" t="s">
        <v>2099</v>
      </c>
      <c r="E85" t="s">
        <v>2072</v>
      </c>
      <c r="F85" t="str">
        <f>_xlfn.XLOOKUP(E85,Table8[City],Table8[State])</f>
        <v>Karnataka</v>
      </c>
      <c r="G85" t="str">
        <f>_xlfn.XLOOKUP(E85,Table8[City],Table8[Region])</f>
        <v>South</v>
      </c>
      <c r="H85" t="s">
        <v>25</v>
      </c>
      <c r="I85" t="str">
        <f>_xlfn.XLOOKUP(H85,Table6[Product],Table6[Category])</f>
        <v>Accessories</v>
      </c>
      <c r="J85" t="s">
        <v>61</v>
      </c>
      <c r="K85">
        <v>7</v>
      </c>
      <c r="L85">
        <f>_xlfn.XLOOKUP(H85,Table6[Product],Table6[Unit Price])</f>
        <v>800</v>
      </c>
      <c r="M85">
        <f>_xlfn.XLOOKUP(H85,Table6[Product],Table6[Cost Price])</f>
        <v>450</v>
      </c>
      <c r="N85" s="7">
        <v>0.14000000000000001</v>
      </c>
      <c r="O85">
        <f t="shared" si="3"/>
        <v>4816</v>
      </c>
      <c r="P85">
        <f t="shared" si="4"/>
        <v>3150</v>
      </c>
      <c r="Q85">
        <f t="shared" si="5"/>
        <v>1666</v>
      </c>
      <c r="R85" t="s">
        <v>46</v>
      </c>
      <c r="S85" t="s">
        <v>52</v>
      </c>
    </row>
    <row r="86" spans="1:19" ht="18" x14ac:dyDescent="0.5">
      <c r="A86" t="s">
        <v>156</v>
      </c>
      <c r="B86" t="s">
        <v>1155</v>
      </c>
      <c r="C86" s="6">
        <v>45971</v>
      </c>
      <c r="D86" t="s">
        <v>2085</v>
      </c>
      <c r="E86" t="s">
        <v>2073</v>
      </c>
      <c r="F86" t="str">
        <f>_xlfn.XLOOKUP(E86,Table8[City],Table8[State])</f>
        <v>Maharashtra</v>
      </c>
      <c r="G86" t="str">
        <f>_xlfn.XLOOKUP(E86,Table8[City],Table8[Region])</f>
        <v>West</v>
      </c>
      <c r="H86" t="s">
        <v>18</v>
      </c>
      <c r="I86" t="str">
        <f>_xlfn.XLOOKUP(H86,Table6[Product],Table6[Category])</f>
        <v>Electronics</v>
      </c>
      <c r="J86" t="s">
        <v>62</v>
      </c>
      <c r="K86">
        <v>4</v>
      </c>
      <c r="L86">
        <f>_xlfn.XLOOKUP(H86,Table6[Product],Table6[Unit Price])</f>
        <v>35000</v>
      </c>
      <c r="M86">
        <f>_xlfn.XLOOKUP(H86,Table6[Product],Table6[Cost Price])</f>
        <v>28000</v>
      </c>
      <c r="N86" s="7">
        <v>0.16</v>
      </c>
      <c r="O86">
        <f t="shared" si="3"/>
        <v>117600</v>
      </c>
      <c r="P86">
        <f t="shared" si="4"/>
        <v>112000</v>
      </c>
      <c r="Q86">
        <f t="shared" si="5"/>
        <v>5600</v>
      </c>
      <c r="R86" t="s">
        <v>47</v>
      </c>
      <c r="S86" t="s">
        <v>51</v>
      </c>
    </row>
    <row r="87" spans="1:19" ht="18" x14ac:dyDescent="0.5">
      <c r="A87" t="s">
        <v>157</v>
      </c>
      <c r="B87" t="s">
        <v>1156</v>
      </c>
      <c r="C87" s="6">
        <v>45424</v>
      </c>
      <c r="D87" t="s">
        <v>2083</v>
      </c>
      <c r="E87" t="s">
        <v>2077</v>
      </c>
      <c r="F87" t="str">
        <f>_xlfn.XLOOKUP(E87,Table8[City],Table8[State])</f>
        <v>Telangana</v>
      </c>
      <c r="G87" t="str">
        <f>_xlfn.XLOOKUP(E87,Table8[City],Table8[Region])</f>
        <v>South</v>
      </c>
      <c r="H87" t="s">
        <v>25</v>
      </c>
      <c r="I87" t="str">
        <f>_xlfn.XLOOKUP(H87,Table6[Product],Table6[Category])</f>
        <v>Accessories</v>
      </c>
      <c r="J87" t="s">
        <v>54</v>
      </c>
      <c r="K87">
        <v>9</v>
      </c>
      <c r="L87">
        <f>_xlfn.XLOOKUP(H87,Table6[Product],Table6[Unit Price])</f>
        <v>800</v>
      </c>
      <c r="M87">
        <f>_xlfn.XLOOKUP(H87,Table6[Product],Table6[Cost Price])</f>
        <v>450</v>
      </c>
      <c r="N87" s="7">
        <v>0.1</v>
      </c>
      <c r="O87">
        <f t="shared" si="3"/>
        <v>6480</v>
      </c>
      <c r="P87">
        <f t="shared" si="4"/>
        <v>4050</v>
      </c>
      <c r="Q87">
        <f t="shared" si="5"/>
        <v>2430</v>
      </c>
      <c r="R87" t="s">
        <v>47</v>
      </c>
      <c r="S87" t="s">
        <v>52</v>
      </c>
    </row>
    <row r="88" spans="1:19" ht="18" x14ac:dyDescent="0.5">
      <c r="A88" t="s">
        <v>158</v>
      </c>
      <c r="B88" t="s">
        <v>1157</v>
      </c>
      <c r="C88" s="6">
        <v>45402</v>
      </c>
      <c r="D88" t="s">
        <v>2099</v>
      </c>
      <c r="E88" t="s">
        <v>2077</v>
      </c>
      <c r="F88" t="str">
        <f>_xlfn.XLOOKUP(E88,Table8[City],Table8[State])</f>
        <v>Telangana</v>
      </c>
      <c r="G88" t="str">
        <f>_xlfn.XLOOKUP(E88,Table8[City],Table8[Region])</f>
        <v>South</v>
      </c>
      <c r="H88" t="s">
        <v>28</v>
      </c>
      <c r="I88" t="str">
        <f>_xlfn.XLOOKUP(H88,Table6[Product],Table6[Category])</f>
        <v>Office</v>
      </c>
      <c r="J88" t="s">
        <v>62</v>
      </c>
      <c r="K88">
        <v>3</v>
      </c>
      <c r="L88">
        <f>_xlfn.XLOOKUP(H88,Table6[Product],Table6[Unit Price])</f>
        <v>18000</v>
      </c>
      <c r="M88">
        <f>_xlfn.XLOOKUP(H88,Table6[Product],Table6[Cost Price])</f>
        <v>14000</v>
      </c>
      <c r="N88" s="7">
        <v>0.11</v>
      </c>
      <c r="O88">
        <f t="shared" si="3"/>
        <v>48060</v>
      </c>
      <c r="P88">
        <f t="shared" si="4"/>
        <v>42000</v>
      </c>
      <c r="Q88">
        <f t="shared" si="5"/>
        <v>6060</v>
      </c>
      <c r="R88" t="s">
        <v>44</v>
      </c>
      <c r="S88" t="s">
        <v>49</v>
      </c>
    </row>
    <row r="89" spans="1:19" ht="18" x14ac:dyDescent="0.5">
      <c r="A89" t="s">
        <v>159</v>
      </c>
      <c r="B89" t="s">
        <v>1158</v>
      </c>
      <c r="C89" s="6">
        <v>45422</v>
      </c>
      <c r="D89" t="s">
        <v>2086</v>
      </c>
      <c r="E89" t="s">
        <v>2077</v>
      </c>
      <c r="F89" t="str">
        <f>_xlfn.XLOOKUP(E89,Table8[City],Table8[State])</f>
        <v>Telangana</v>
      </c>
      <c r="G89" t="str">
        <f>_xlfn.XLOOKUP(E89,Table8[City],Table8[Region])</f>
        <v>South</v>
      </c>
      <c r="H89" t="s">
        <v>18</v>
      </c>
      <c r="I89" t="str">
        <f>_xlfn.XLOOKUP(H89,Table6[Product],Table6[Category])</f>
        <v>Electronics</v>
      </c>
      <c r="J89" t="s">
        <v>59</v>
      </c>
      <c r="K89">
        <v>1</v>
      </c>
      <c r="L89">
        <f>_xlfn.XLOOKUP(H89,Table6[Product],Table6[Unit Price])</f>
        <v>35000</v>
      </c>
      <c r="M89">
        <f>_xlfn.XLOOKUP(H89,Table6[Product],Table6[Cost Price])</f>
        <v>28000</v>
      </c>
      <c r="N89" s="7">
        <v>0.01</v>
      </c>
      <c r="O89">
        <f t="shared" si="3"/>
        <v>34650</v>
      </c>
      <c r="P89">
        <f t="shared" si="4"/>
        <v>28000</v>
      </c>
      <c r="Q89">
        <f t="shared" si="5"/>
        <v>6650</v>
      </c>
      <c r="R89" t="s">
        <v>47</v>
      </c>
      <c r="S89" t="s">
        <v>52</v>
      </c>
    </row>
    <row r="90" spans="1:19" ht="18" x14ac:dyDescent="0.5">
      <c r="A90" t="s">
        <v>160</v>
      </c>
      <c r="B90" t="s">
        <v>1159</v>
      </c>
      <c r="C90" s="6">
        <v>45534</v>
      </c>
      <c r="D90" t="s">
        <v>2084</v>
      </c>
      <c r="E90" t="s">
        <v>2078</v>
      </c>
      <c r="F90" t="str">
        <f>_xlfn.XLOOKUP(E90,Table8[City],Table8[State])</f>
        <v>Telangana</v>
      </c>
      <c r="G90" t="str">
        <f>_xlfn.XLOOKUP(E90,Table8[City],Table8[Region])</f>
        <v>South</v>
      </c>
      <c r="H90" t="s">
        <v>25</v>
      </c>
      <c r="I90" t="str">
        <f>_xlfn.XLOOKUP(H90,Table6[Product],Table6[Category])</f>
        <v>Accessories</v>
      </c>
      <c r="J90" t="s">
        <v>59</v>
      </c>
      <c r="K90">
        <v>3</v>
      </c>
      <c r="L90">
        <f>_xlfn.XLOOKUP(H90,Table6[Product],Table6[Unit Price])</f>
        <v>800</v>
      </c>
      <c r="M90">
        <f>_xlfn.XLOOKUP(H90,Table6[Product],Table6[Cost Price])</f>
        <v>450</v>
      </c>
      <c r="N90" s="7">
        <v>0.2</v>
      </c>
      <c r="O90">
        <f t="shared" si="3"/>
        <v>1920</v>
      </c>
      <c r="P90">
        <f t="shared" si="4"/>
        <v>1350</v>
      </c>
      <c r="Q90">
        <f t="shared" si="5"/>
        <v>570</v>
      </c>
      <c r="R90" t="s">
        <v>46</v>
      </c>
      <c r="S90" t="s">
        <v>50</v>
      </c>
    </row>
    <row r="91" spans="1:19" ht="18" x14ac:dyDescent="0.5">
      <c r="A91" t="s">
        <v>161</v>
      </c>
      <c r="B91" t="s">
        <v>1160</v>
      </c>
      <c r="C91" s="6">
        <v>45750</v>
      </c>
      <c r="D91" t="s">
        <v>2098</v>
      </c>
      <c r="E91" t="s">
        <v>2074</v>
      </c>
      <c r="F91" t="str">
        <f>_xlfn.XLOOKUP(E91,Table8[City],Table8[State])</f>
        <v>Maharashtra</v>
      </c>
      <c r="G91" t="str">
        <f>_xlfn.XLOOKUP(E91,Table8[City],Table8[Region])</f>
        <v>West</v>
      </c>
      <c r="H91" t="s">
        <v>19</v>
      </c>
      <c r="I91" t="str">
        <f>_xlfn.XLOOKUP(H91,Table6[Product],Table6[Category])</f>
        <v>Electronics</v>
      </c>
      <c r="J91" t="s">
        <v>54</v>
      </c>
      <c r="K91">
        <v>2</v>
      </c>
      <c r="L91">
        <f>_xlfn.XLOOKUP(H91,Table6[Product],Table6[Unit Price])</f>
        <v>25000</v>
      </c>
      <c r="M91">
        <f>_xlfn.XLOOKUP(H91,Table6[Product],Table6[Cost Price])</f>
        <v>20000</v>
      </c>
      <c r="N91" s="7">
        <v>0.06</v>
      </c>
      <c r="O91">
        <f t="shared" si="3"/>
        <v>47000</v>
      </c>
      <c r="P91">
        <f t="shared" si="4"/>
        <v>40000</v>
      </c>
      <c r="Q91">
        <f t="shared" si="5"/>
        <v>7000</v>
      </c>
      <c r="R91" t="s">
        <v>47</v>
      </c>
      <c r="S91" t="s">
        <v>49</v>
      </c>
    </row>
    <row r="92" spans="1:19" ht="18" x14ac:dyDescent="0.5">
      <c r="A92" t="s">
        <v>162</v>
      </c>
      <c r="B92" t="s">
        <v>1161</v>
      </c>
      <c r="C92" s="6">
        <v>45725</v>
      </c>
      <c r="D92" t="s">
        <v>2093</v>
      </c>
      <c r="E92" t="s">
        <v>2072</v>
      </c>
      <c r="F92" t="str">
        <f>_xlfn.XLOOKUP(E92,Table8[City],Table8[State])</f>
        <v>Karnataka</v>
      </c>
      <c r="G92" t="str">
        <f>_xlfn.XLOOKUP(E92,Table8[City],Table8[Region])</f>
        <v>South</v>
      </c>
      <c r="H92" t="s">
        <v>24</v>
      </c>
      <c r="I92" t="str">
        <f>_xlfn.XLOOKUP(H92,Table6[Product],Table6[Category])</f>
        <v>Accessories</v>
      </c>
      <c r="J92" t="s">
        <v>63</v>
      </c>
      <c r="K92">
        <v>1</v>
      </c>
      <c r="L92">
        <f>_xlfn.XLOOKUP(H92,Table6[Product],Table6[Unit Price])</f>
        <v>1500</v>
      </c>
      <c r="M92">
        <f>_xlfn.XLOOKUP(H92,Table6[Product],Table6[Cost Price])</f>
        <v>900</v>
      </c>
      <c r="N92" s="7">
        <v>0.11</v>
      </c>
      <c r="O92">
        <f t="shared" si="3"/>
        <v>1335</v>
      </c>
      <c r="P92">
        <f t="shared" si="4"/>
        <v>900</v>
      </c>
      <c r="Q92">
        <f t="shared" si="5"/>
        <v>435</v>
      </c>
      <c r="R92" t="s">
        <v>43</v>
      </c>
      <c r="S92" t="s">
        <v>52</v>
      </c>
    </row>
    <row r="93" spans="1:19" ht="18" x14ac:dyDescent="0.5">
      <c r="A93" t="s">
        <v>163</v>
      </c>
      <c r="B93" t="s">
        <v>1162</v>
      </c>
      <c r="C93" s="6">
        <v>45429</v>
      </c>
      <c r="D93" t="s">
        <v>2096</v>
      </c>
      <c r="E93" t="s">
        <v>2105</v>
      </c>
      <c r="F93" t="str">
        <f>_xlfn.XLOOKUP(E93,Table8[City],Table8[State])</f>
        <v>Rajasthan</v>
      </c>
      <c r="G93" t="str">
        <f>_xlfn.XLOOKUP(E93,Table8[City],Table8[Region])</f>
        <v>North</v>
      </c>
      <c r="H93" t="s">
        <v>24</v>
      </c>
      <c r="I93" t="str">
        <f>_xlfn.XLOOKUP(H93,Table6[Product],Table6[Category])</f>
        <v>Accessories</v>
      </c>
      <c r="J93" t="s">
        <v>54</v>
      </c>
      <c r="K93">
        <v>5</v>
      </c>
      <c r="L93">
        <f>_xlfn.XLOOKUP(H93,Table6[Product],Table6[Unit Price])</f>
        <v>1500</v>
      </c>
      <c r="M93">
        <f>_xlfn.XLOOKUP(H93,Table6[Product],Table6[Cost Price])</f>
        <v>900</v>
      </c>
      <c r="N93" s="7">
        <v>0.09</v>
      </c>
      <c r="O93">
        <f t="shared" si="3"/>
        <v>6825</v>
      </c>
      <c r="P93">
        <f t="shared" si="4"/>
        <v>4500</v>
      </c>
      <c r="Q93">
        <f t="shared" si="5"/>
        <v>2325</v>
      </c>
      <c r="R93" t="s">
        <v>46</v>
      </c>
      <c r="S93" t="s">
        <v>49</v>
      </c>
    </row>
    <row r="94" spans="1:19" ht="18" x14ac:dyDescent="0.5">
      <c r="A94" t="s">
        <v>164</v>
      </c>
      <c r="B94" t="s">
        <v>1163</v>
      </c>
      <c r="C94" s="6">
        <v>45477</v>
      </c>
      <c r="D94" t="s">
        <v>2095</v>
      </c>
      <c r="E94" t="s">
        <v>2106</v>
      </c>
      <c r="F94" t="str">
        <f>_xlfn.XLOOKUP(E94,Table8[City],Table8[State])</f>
        <v>West Bengal</v>
      </c>
      <c r="G94" t="str">
        <f>_xlfn.XLOOKUP(E94,Table8[City],Table8[Region])</f>
        <v>East</v>
      </c>
      <c r="H94" t="s">
        <v>25</v>
      </c>
      <c r="I94" t="str">
        <f>_xlfn.XLOOKUP(H94,Table6[Product],Table6[Category])</f>
        <v>Accessories</v>
      </c>
      <c r="J94" t="s">
        <v>62</v>
      </c>
      <c r="K94">
        <v>8</v>
      </c>
      <c r="L94">
        <f>_xlfn.XLOOKUP(H94,Table6[Product],Table6[Unit Price])</f>
        <v>800</v>
      </c>
      <c r="M94">
        <f>_xlfn.XLOOKUP(H94,Table6[Product],Table6[Cost Price])</f>
        <v>450</v>
      </c>
      <c r="N94" s="7">
        <v>0.21</v>
      </c>
      <c r="O94">
        <f t="shared" si="3"/>
        <v>5056</v>
      </c>
      <c r="P94">
        <f t="shared" si="4"/>
        <v>3600</v>
      </c>
      <c r="Q94">
        <f t="shared" si="5"/>
        <v>1456</v>
      </c>
      <c r="R94" t="s">
        <v>46</v>
      </c>
      <c r="S94" t="s">
        <v>50</v>
      </c>
    </row>
    <row r="95" spans="1:19" ht="18" x14ac:dyDescent="0.5">
      <c r="A95" t="s">
        <v>165</v>
      </c>
      <c r="B95" t="s">
        <v>1164</v>
      </c>
      <c r="C95" s="6">
        <v>45763</v>
      </c>
      <c r="D95" t="s">
        <v>2084</v>
      </c>
      <c r="E95" t="s">
        <v>2105</v>
      </c>
      <c r="F95" t="str">
        <f>_xlfn.XLOOKUP(E95,Table8[City],Table8[State])</f>
        <v>Rajasthan</v>
      </c>
      <c r="G95" t="str">
        <f>_xlfn.XLOOKUP(E95,Table8[City],Table8[Region])</f>
        <v>North</v>
      </c>
      <c r="H95" t="s">
        <v>19</v>
      </c>
      <c r="I95" t="str">
        <f>_xlfn.XLOOKUP(H95,Table6[Product],Table6[Category])</f>
        <v>Electronics</v>
      </c>
      <c r="J95" t="s">
        <v>59</v>
      </c>
      <c r="K95">
        <v>1</v>
      </c>
      <c r="L95">
        <f>_xlfn.XLOOKUP(H95,Table6[Product],Table6[Unit Price])</f>
        <v>25000</v>
      </c>
      <c r="M95">
        <f>_xlfn.XLOOKUP(H95,Table6[Product],Table6[Cost Price])</f>
        <v>20000</v>
      </c>
      <c r="N95" s="7">
        <v>0.04</v>
      </c>
      <c r="O95">
        <f t="shared" si="3"/>
        <v>24000</v>
      </c>
      <c r="P95">
        <f t="shared" si="4"/>
        <v>20000</v>
      </c>
      <c r="Q95">
        <f t="shared" si="5"/>
        <v>4000</v>
      </c>
      <c r="R95" t="s">
        <v>45</v>
      </c>
      <c r="S95" t="s">
        <v>50</v>
      </c>
    </row>
    <row r="96" spans="1:19" ht="18" x14ac:dyDescent="0.5">
      <c r="A96" t="s">
        <v>166</v>
      </c>
      <c r="B96" t="s">
        <v>1165</v>
      </c>
      <c r="C96" s="6">
        <v>45954</v>
      </c>
      <c r="D96" t="s">
        <v>2083</v>
      </c>
      <c r="E96" t="s">
        <v>2104</v>
      </c>
      <c r="F96" t="str">
        <f>_xlfn.XLOOKUP(E96,Table8[City],Table8[State])</f>
        <v>Delhi</v>
      </c>
      <c r="G96" t="str">
        <f>_xlfn.XLOOKUP(E96,Table8[City],Table8[Region])</f>
        <v>North</v>
      </c>
      <c r="H96" t="s">
        <v>29</v>
      </c>
      <c r="I96" t="str">
        <f>_xlfn.XLOOKUP(H96,Table6[Product],Table6[Category])</f>
        <v>Electronics</v>
      </c>
      <c r="J96" t="s">
        <v>61</v>
      </c>
      <c r="K96">
        <v>6</v>
      </c>
      <c r="L96">
        <f>_xlfn.XLOOKUP(H96,Table6[Product],Table6[Unit Price])</f>
        <v>5000</v>
      </c>
      <c r="M96">
        <f>_xlfn.XLOOKUP(H96,Table6[Product],Table6[Cost Price])</f>
        <v>3200</v>
      </c>
      <c r="N96" s="7">
        <v>0.11</v>
      </c>
      <c r="O96">
        <f t="shared" si="3"/>
        <v>26700</v>
      </c>
      <c r="P96">
        <f t="shared" si="4"/>
        <v>19200</v>
      </c>
      <c r="Q96">
        <f t="shared" si="5"/>
        <v>7500</v>
      </c>
      <c r="R96" t="s">
        <v>44</v>
      </c>
      <c r="S96" t="s">
        <v>49</v>
      </c>
    </row>
    <row r="97" spans="1:19" ht="18" x14ac:dyDescent="0.5">
      <c r="A97" t="s">
        <v>167</v>
      </c>
      <c r="B97" t="s">
        <v>1166</v>
      </c>
      <c r="C97" s="6">
        <v>45669</v>
      </c>
      <c r="D97" t="s">
        <v>2093</v>
      </c>
      <c r="E97" t="s">
        <v>2074</v>
      </c>
      <c r="F97" t="str">
        <f>_xlfn.XLOOKUP(E97,Table8[City],Table8[State])</f>
        <v>Maharashtra</v>
      </c>
      <c r="G97" t="str">
        <f>_xlfn.XLOOKUP(E97,Table8[City],Table8[Region])</f>
        <v>West</v>
      </c>
      <c r="H97" t="s">
        <v>16</v>
      </c>
      <c r="I97" t="str">
        <f>_xlfn.XLOOKUP(H97,Table6[Product],Table6[Category])</f>
        <v>Electronics</v>
      </c>
      <c r="J97" t="s">
        <v>58</v>
      </c>
      <c r="K97">
        <v>9</v>
      </c>
      <c r="L97">
        <f>_xlfn.XLOOKUP(H97,Table6[Product],Table6[Unit Price])</f>
        <v>65000</v>
      </c>
      <c r="M97">
        <f>_xlfn.XLOOKUP(H97,Table6[Product],Table6[Cost Price])</f>
        <v>52000</v>
      </c>
      <c r="N97" s="7">
        <v>0.25</v>
      </c>
      <c r="O97">
        <f t="shared" si="3"/>
        <v>438750</v>
      </c>
      <c r="P97">
        <f t="shared" si="4"/>
        <v>468000</v>
      </c>
      <c r="Q97">
        <f t="shared" si="5"/>
        <v>-29250</v>
      </c>
      <c r="R97" t="s">
        <v>45</v>
      </c>
      <c r="S97" t="s">
        <v>52</v>
      </c>
    </row>
    <row r="98" spans="1:19" ht="18" x14ac:dyDescent="0.5">
      <c r="A98" t="s">
        <v>168</v>
      </c>
      <c r="B98" t="s">
        <v>1167</v>
      </c>
      <c r="C98" s="6">
        <v>45944</v>
      </c>
      <c r="D98" t="s">
        <v>63</v>
      </c>
      <c r="E98" t="s">
        <v>2106</v>
      </c>
      <c r="F98" t="str">
        <f>_xlfn.XLOOKUP(E98,Table8[City],Table8[State])</f>
        <v>West Bengal</v>
      </c>
      <c r="G98" t="str">
        <f>_xlfn.XLOOKUP(E98,Table8[City],Table8[Region])</f>
        <v>East</v>
      </c>
      <c r="H98" t="s">
        <v>22</v>
      </c>
      <c r="I98" t="str">
        <f>_xlfn.XLOOKUP(H98,Table6[Product],Table6[Category])</f>
        <v>Wearables</v>
      </c>
      <c r="J98" t="s">
        <v>55</v>
      </c>
      <c r="K98">
        <v>9</v>
      </c>
      <c r="L98">
        <f>_xlfn.XLOOKUP(H98,Table6[Product],Table6[Unit Price])</f>
        <v>12000</v>
      </c>
      <c r="M98">
        <f>_xlfn.XLOOKUP(H98,Table6[Product],Table6[Cost Price])</f>
        <v>8500</v>
      </c>
      <c r="N98" s="7">
        <v>0.25</v>
      </c>
      <c r="O98">
        <f t="shared" si="3"/>
        <v>81000</v>
      </c>
      <c r="P98">
        <f t="shared" si="4"/>
        <v>76500</v>
      </c>
      <c r="Q98">
        <f t="shared" si="5"/>
        <v>4500</v>
      </c>
      <c r="R98" t="s">
        <v>44</v>
      </c>
      <c r="S98" t="s">
        <v>51</v>
      </c>
    </row>
    <row r="99" spans="1:19" ht="18" x14ac:dyDescent="0.5">
      <c r="A99" t="s">
        <v>169</v>
      </c>
      <c r="B99" t="s">
        <v>1168</v>
      </c>
      <c r="C99" s="6">
        <v>45916</v>
      </c>
      <c r="D99" t="s">
        <v>63</v>
      </c>
      <c r="E99" t="s">
        <v>70</v>
      </c>
      <c r="F99" t="str">
        <f>_xlfn.XLOOKUP(E99,Table8[City],Table8[State])</f>
        <v>Karnataka</v>
      </c>
      <c r="G99" t="str">
        <f>_xlfn.XLOOKUP(E99,Table8[City],Table8[Region])</f>
        <v>South</v>
      </c>
      <c r="H99" t="s">
        <v>20</v>
      </c>
      <c r="I99" t="str">
        <f>_xlfn.XLOOKUP(H99,Table6[Product],Table6[Category])</f>
        <v>Accessories</v>
      </c>
      <c r="J99" t="s">
        <v>63</v>
      </c>
      <c r="K99">
        <v>8</v>
      </c>
      <c r="L99">
        <f>_xlfn.XLOOKUP(H99,Table6[Product],Table6[Unit Price])</f>
        <v>3000</v>
      </c>
      <c r="M99">
        <f>_xlfn.XLOOKUP(H99,Table6[Product],Table6[Cost Price])</f>
        <v>1800</v>
      </c>
      <c r="N99" s="7">
        <v>0</v>
      </c>
      <c r="O99">
        <f t="shared" si="3"/>
        <v>24000</v>
      </c>
      <c r="P99">
        <f t="shared" si="4"/>
        <v>14400</v>
      </c>
      <c r="Q99">
        <f t="shared" si="5"/>
        <v>9600</v>
      </c>
      <c r="R99" t="s">
        <v>47</v>
      </c>
      <c r="S99" t="s">
        <v>52</v>
      </c>
    </row>
    <row r="100" spans="1:19" ht="18" x14ac:dyDescent="0.5">
      <c r="A100" t="s">
        <v>170</v>
      </c>
      <c r="B100" t="s">
        <v>1169</v>
      </c>
      <c r="C100" s="6">
        <v>45386</v>
      </c>
      <c r="D100" t="s">
        <v>63</v>
      </c>
      <c r="E100" t="s">
        <v>2105</v>
      </c>
      <c r="F100" t="str">
        <f>_xlfn.XLOOKUP(E100,Table8[City],Table8[State])</f>
        <v>Rajasthan</v>
      </c>
      <c r="G100" t="str">
        <f>_xlfn.XLOOKUP(E100,Table8[City],Table8[Region])</f>
        <v>North</v>
      </c>
      <c r="H100" t="s">
        <v>25</v>
      </c>
      <c r="I100" t="str">
        <f>_xlfn.XLOOKUP(H100,Table6[Product],Table6[Category])</f>
        <v>Accessories</v>
      </c>
      <c r="J100" t="s">
        <v>62</v>
      </c>
      <c r="K100">
        <v>4</v>
      </c>
      <c r="L100">
        <f>_xlfn.XLOOKUP(H100,Table6[Product],Table6[Unit Price])</f>
        <v>800</v>
      </c>
      <c r="M100">
        <f>_xlfn.XLOOKUP(H100,Table6[Product],Table6[Cost Price])</f>
        <v>450</v>
      </c>
      <c r="N100" s="7">
        <v>0.04</v>
      </c>
      <c r="O100">
        <f t="shared" si="3"/>
        <v>3072</v>
      </c>
      <c r="P100">
        <f t="shared" si="4"/>
        <v>1800</v>
      </c>
      <c r="Q100">
        <f t="shared" si="5"/>
        <v>1272</v>
      </c>
      <c r="R100" t="s">
        <v>45</v>
      </c>
      <c r="S100" t="s">
        <v>52</v>
      </c>
    </row>
    <row r="101" spans="1:19" ht="18" x14ac:dyDescent="0.5">
      <c r="A101" t="s">
        <v>171</v>
      </c>
      <c r="B101" t="s">
        <v>1170</v>
      </c>
      <c r="C101" s="6">
        <v>45686</v>
      </c>
      <c r="D101" t="s">
        <v>2095</v>
      </c>
      <c r="E101" t="s">
        <v>2078</v>
      </c>
      <c r="F101" t="str">
        <f>_xlfn.XLOOKUP(E101,Table8[City],Table8[State])</f>
        <v>Telangana</v>
      </c>
      <c r="G101" t="str">
        <f>_xlfn.XLOOKUP(E101,Table8[City],Table8[Region])</f>
        <v>South</v>
      </c>
      <c r="H101" t="s">
        <v>22</v>
      </c>
      <c r="I101" t="str">
        <f>_xlfn.XLOOKUP(H101,Table6[Product],Table6[Category])</f>
        <v>Wearables</v>
      </c>
      <c r="J101" t="s">
        <v>58</v>
      </c>
      <c r="K101">
        <v>6</v>
      </c>
      <c r="L101">
        <f>_xlfn.XLOOKUP(H101,Table6[Product],Table6[Unit Price])</f>
        <v>12000</v>
      </c>
      <c r="M101">
        <f>_xlfn.XLOOKUP(H101,Table6[Product],Table6[Cost Price])</f>
        <v>8500</v>
      </c>
      <c r="N101" s="7">
        <v>0.17</v>
      </c>
      <c r="O101">
        <f t="shared" si="3"/>
        <v>59760</v>
      </c>
      <c r="P101">
        <f t="shared" si="4"/>
        <v>51000</v>
      </c>
      <c r="Q101">
        <f t="shared" si="5"/>
        <v>8760</v>
      </c>
      <c r="R101" t="s">
        <v>43</v>
      </c>
      <c r="S101" t="s">
        <v>52</v>
      </c>
    </row>
    <row r="102" spans="1:19" ht="18" x14ac:dyDescent="0.5">
      <c r="A102" t="s">
        <v>172</v>
      </c>
      <c r="B102" t="s">
        <v>1171</v>
      </c>
      <c r="C102" s="6">
        <v>45523</v>
      </c>
      <c r="D102" t="s">
        <v>2087</v>
      </c>
      <c r="E102" t="s">
        <v>2104</v>
      </c>
      <c r="F102" t="str">
        <f>_xlfn.XLOOKUP(E102,Table8[City],Table8[State])</f>
        <v>Delhi</v>
      </c>
      <c r="G102" t="str">
        <f>_xlfn.XLOOKUP(E102,Table8[City],Table8[Region])</f>
        <v>North</v>
      </c>
      <c r="H102" t="s">
        <v>19</v>
      </c>
      <c r="I102" t="str">
        <f>_xlfn.XLOOKUP(H102,Table6[Product],Table6[Category])</f>
        <v>Electronics</v>
      </c>
      <c r="J102" t="s">
        <v>61</v>
      </c>
      <c r="K102">
        <v>8</v>
      </c>
      <c r="L102">
        <f>_xlfn.XLOOKUP(H102,Table6[Product],Table6[Unit Price])</f>
        <v>25000</v>
      </c>
      <c r="M102">
        <f>_xlfn.XLOOKUP(H102,Table6[Product],Table6[Cost Price])</f>
        <v>20000</v>
      </c>
      <c r="N102" s="7">
        <v>0.08</v>
      </c>
      <c r="O102">
        <f t="shared" si="3"/>
        <v>184000</v>
      </c>
      <c r="P102">
        <f t="shared" si="4"/>
        <v>160000</v>
      </c>
      <c r="Q102">
        <f t="shared" si="5"/>
        <v>24000</v>
      </c>
      <c r="R102" t="s">
        <v>43</v>
      </c>
      <c r="S102" t="s">
        <v>50</v>
      </c>
    </row>
    <row r="103" spans="1:19" ht="18" x14ac:dyDescent="0.5">
      <c r="A103" t="s">
        <v>173</v>
      </c>
      <c r="B103" t="s">
        <v>1172</v>
      </c>
      <c r="C103" s="6">
        <v>45294</v>
      </c>
      <c r="D103" t="s">
        <v>2099</v>
      </c>
      <c r="E103" t="s">
        <v>2077</v>
      </c>
      <c r="F103" t="str">
        <f>_xlfn.XLOOKUP(E103,Table8[City],Table8[State])</f>
        <v>Telangana</v>
      </c>
      <c r="G103" t="str">
        <f>_xlfn.XLOOKUP(E103,Table8[City],Table8[Region])</f>
        <v>South</v>
      </c>
      <c r="H103" t="s">
        <v>24</v>
      </c>
      <c r="I103" t="str">
        <f>_xlfn.XLOOKUP(H103,Table6[Product],Table6[Category])</f>
        <v>Accessories</v>
      </c>
      <c r="J103" t="s">
        <v>63</v>
      </c>
      <c r="K103">
        <v>7</v>
      </c>
      <c r="L103">
        <f>_xlfn.XLOOKUP(H103,Table6[Product],Table6[Unit Price])</f>
        <v>1500</v>
      </c>
      <c r="M103">
        <f>_xlfn.XLOOKUP(H103,Table6[Product],Table6[Cost Price])</f>
        <v>900</v>
      </c>
      <c r="N103" s="7">
        <v>0.15</v>
      </c>
      <c r="O103">
        <f t="shared" si="3"/>
        <v>8925</v>
      </c>
      <c r="P103">
        <f t="shared" si="4"/>
        <v>6300</v>
      </c>
      <c r="Q103">
        <f t="shared" si="5"/>
        <v>2625</v>
      </c>
      <c r="R103" t="s">
        <v>44</v>
      </c>
      <c r="S103" t="s">
        <v>50</v>
      </c>
    </row>
    <row r="104" spans="1:19" ht="18" x14ac:dyDescent="0.5">
      <c r="A104" t="s">
        <v>174</v>
      </c>
      <c r="B104" t="s">
        <v>1173</v>
      </c>
      <c r="C104" s="6">
        <v>45613</v>
      </c>
      <c r="D104" t="s">
        <v>2083</v>
      </c>
      <c r="E104" t="s">
        <v>2074</v>
      </c>
      <c r="F104" t="str">
        <f>_xlfn.XLOOKUP(E104,Table8[City],Table8[State])</f>
        <v>Maharashtra</v>
      </c>
      <c r="G104" t="str">
        <f>_xlfn.XLOOKUP(E104,Table8[City],Table8[Region])</f>
        <v>West</v>
      </c>
      <c r="H104" t="s">
        <v>26</v>
      </c>
      <c r="I104" t="str">
        <f>_xlfn.XLOOKUP(H104,Table6[Product],Table6[Category])</f>
        <v>Office</v>
      </c>
      <c r="J104" t="s">
        <v>55</v>
      </c>
      <c r="K104">
        <v>6</v>
      </c>
      <c r="L104">
        <f>_xlfn.XLOOKUP(H104,Table6[Product],Table6[Unit Price])</f>
        <v>15000</v>
      </c>
      <c r="M104">
        <f>_xlfn.XLOOKUP(H104,Table6[Product],Table6[Cost Price])</f>
        <v>11500</v>
      </c>
      <c r="N104" s="7">
        <v>0.11</v>
      </c>
      <c r="O104">
        <f t="shared" si="3"/>
        <v>80100</v>
      </c>
      <c r="P104">
        <f t="shared" si="4"/>
        <v>69000</v>
      </c>
      <c r="Q104">
        <f t="shared" si="5"/>
        <v>11100</v>
      </c>
      <c r="R104" t="s">
        <v>44</v>
      </c>
      <c r="S104" t="s">
        <v>50</v>
      </c>
    </row>
    <row r="105" spans="1:19" ht="18" x14ac:dyDescent="0.5">
      <c r="A105" t="s">
        <v>175</v>
      </c>
      <c r="B105" t="s">
        <v>1174</v>
      </c>
      <c r="C105" s="6">
        <v>45682</v>
      </c>
      <c r="D105" t="s">
        <v>2097</v>
      </c>
      <c r="E105" t="s">
        <v>2076</v>
      </c>
      <c r="F105" t="str">
        <f>_xlfn.XLOOKUP(E105,Table8[City],Table8[State])</f>
        <v>Tamil Nadu</v>
      </c>
      <c r="G105" t="str">
        <f>_xlfn.XLOOKUP(E105,Table8[City],Table8[Region])</f>
        <v>South</v>
      </c>
      <c r="H105" t="s">
        <v>18</v>
      </c>
      <c r="I105" t="str">
        <f>_xlfn.XLOOKUP(H105,Table6[Product],Table6[Category])</f>
        <v>Electronics</v>
      </c>
      <c r="J105" t="s">
        <v>61</v>
      </c>
      <c r="K105">
        <v>8</v>
      </c>
      <c r="L105">
        <f>_xlfn.XLOOKUP(H105,Table6[Product],Table6[Unit Price])</f>
        <v>35000</v>
      </c>
      <c r="M105">
        <f>_xlfn.XLOOKUP(H105,Table6[Product],Table6[Cost Price])</f>
        <v>28000</v>
      </c>
      <c r="N105" s="7">
        <v>0.04</v>
      </c>
      <c r="O105">
        <f t="shared" si="3"/>
        <v>268800</v>
      </c>
      <c r="P105">
        <f t="shared" si="4"/>
        <v>224000</v>
      </c>
      <c r="Q105">
        <f t="shared" si="5"/>
        <v>44800</v>
      </c>
      <c r="R105" t="s">
        <v>43</v>
      </c>
      <c r="S105" t="s">
        <v>51</v>
      </c>
    </row>
    <row r="106" spans="1:19" ht="18" x14ac:dyDescent="0.5">
      <c r="A106" t="s">
        <v>176</v>
      </c>
      <c r="B106" t="s">
        <v>1175</v>
      </c>
      <c r="C106" s="6">
        <v>45761</v>
      </c>
      <c r="D106" t="s">
        <v>2091</v>
      </c>
      <c r="E106" t="s">
        <v>2080</v>
      </c>
      <c r="F106" t="str">
        <f>_xlfn.XLOOKUP(E106,Table8[City],Table8[State])</f>
        <v>Gujarat</v>
      </c>
      <c r="G106" t="str">
        <f>_xlfn.XLOOKUP(E106,Table8[City],Table8[Region])</f>
        <v>West</v>
      </c>
      <c r="H106" t="s">
        <v>25</v>
      </c>
      <c r="I106" t="str">
        <f>_xlfn.XLOOKUP(H106,Table6[Product],Table6[Category])</f>
        <v>Accessories</v>
      </c>
      <c r="J106" t="s">
        <v>60</v>
      </c>
      <c r="K106">
        <v>5</v>
      </c>
      <c r="L106">
        <f>_xlfn.XLOOKUP(H106,Table6[Product],Table6[Unit Price])</f>
        <v>800</v>
      </c>
      <c r="M106">
        <f>_xlfn.XLOOKUP(H106,Table6[Product],Table6[Cost Price])</f>
        <v>450</v>
      </c>
      <c r="N106" s="7">
        <v>0.26</v>
      </c>
      <c r="O106">
        <f t="shared" si="3"/>
        <v>2960</v>
      </c>
      <c r="P106">
        <f t="shared" si="4"/>
        <v>2250</v>
      </c>
      <c r="Q106">
        <f t="shared" si="5"/>
        <v>710</v>
      </c>
      <c r="R106" t="s">
        <v>46</v>
      </c>
      <c r="S106" t="s">
        <v>52</v>
      </c>
    </row>
    <row r="107" spans="1:19" ht="18" x14ac:dyDescent="0.5">
      <c r="A107" t="s">
        <v>177</v>
      </c>
      <c r="B107" t="s">
        <v>1176</v>
      </c>
      <c r="C107" s="6">
        <v>45580</v>
      </c>
      <c r="D107" t="s">
        <v>59</v>
      </c>
      <c r="E107" t="s">
        <v>70</v>
      </c>
      <c r="F107" t="str">
        <f>_xlfn.XLOOKUP(E107,Table8[City],Table8[State])</f>
        <v>Karnataka</v>
      </c>
      <c r="G107" t="str">
        <f>_xlfn.XLOOKUP(E107,Table8[City],Table8[Region])</f>
        <v>South</v>
      </c>
      <c r="H107" t="s">
        <v>28</v>
      </c>
      <c r="I107" t="str">
        <f>_xlfn.XLOOKUP(H107,Table6[Product],Table6[Category])</f>
        <v>Office</v>
      </c>
      <c r="J107" t="s">
        <v>55</v>
      </c>
      <c r="K107">
        <v>4</v>
      </c>
      <c r="L107">
        <f>_xlfn.XLOOKUP(H107,Table6[Product],Table6[Unit Price])</f>
        <v>18000</v>
      </c>
      <c r="M107">
        <f>_xlfn.XLOOKUP(H107,Table6[Product],Table6[Cost Price])</f>
        <v>14000</v>
      </c>
      <c r="N107" s="7">
        <v>0.16</v>
      </c>
      <c r="O107">
        <f t="shared" si="3"/>
        <v>60480</v>
      </c>
      <c r="P107">
        <f t="shared" si="4"/>
        <v>56000</v>
      </c>
      <c r="Q107">
        <f t="shared" si="5"/>
        <v>4480</v>
      </c>
      <c r="R107" t="s">
        <v>43</v>
      </c>
      <c r="S107" t="s">
        <v>49</v>
      </c>
    </row>
    <row r="108" spans="1:19" ht="18" x14ac:dyDescent="0.5">
      <c r="A108" t="s">
        <v>178</v>
      </c>
      <c r="B108" t="s">
        <v>1177</v>
      </c>
      <c r="C108" s="6">
        <v>45945</v>
      </c>
      <c r="D108" t="s">
        <v>2094</v>
      </c>
      <c r="E108" t="s">
        <v>2080</v>
      </c>
      <c r="F108" t="str">
        <f>_xlfn.XLOOKUP(E108,Table8[City],Table8[State])</f>
        <v>Gujarat</v>
      </c>
      <c r="G108" t="str">
        <f>_xlfn.XLOOKUP(E108,Table8[City],Table8[Region])</f>
        <v>West</v>
      </c>
      <c r="H108" t="s">
        <v>25</v>
      </c>
      <c r="I108" t="str">
        <f>_xlfn.XLOOKUP(H108,Table6[Product],Table6[Category])</f>
        <v>Accessories</v>
      </c>
      <c r="J108" t="s">
        <v>61</v>
      </c>
      <c r="K108">
        <v>5</v>
      </c>
      <c r="L108">
        <f>_xlfn.XLOOKUP(H108,Table6[Product],Table6[Unit Price])</f>
        <v>800</v>
      </c>
      <c r="M108">
        <f>_xlfn.XLOOKUP(H108,Table6[Product],Table6[Cost Price])</f>
        <v>450</v>
      </c>
      <c r="N108" s="7">
        <v>0.16</v>
      </c>
      <c r="O108">
        <f t="shared" si="3"/>
        <v>3360</v>
      </c>
      <c r="P108">
        <f t="shared" si="4"/>
        <v>2250</v>
      </c>
      <c r="Q108">
        <f t="shared" si="5"/>
        <v>1110</v>
      </c>
      <c r="R108" t="s">
        <v>44</v>
      </c>
      <c r="S108" t="s">
        <v>52</v>
      </c>
    </row>
    <row r="109" spans="1:19" ht="18" x14ac:dyDescent="0.5">
      <c r="A109" t="s">
        <v>179</v>
      </c>
      <c r="B109" t="s">
        <v>1178</v>
      </c>
      <c r="C109" s="6">
        <v>45474</v>
      </c>
      <c r="D109" t="s">
        <v>63</v>
      </c>
      <c r="E109" t="s">
        <v>70</v>
      </c>
      <c r="F109" t="str">
        <f>_xlfn.XLOOKUP(E109,Table8[City],Table8[State])</f>
        <v>Karnataka</v>
      </c>
      <c r="G109" t="str">
        <f>_xlfn.XLOOKUP(E109,Table8[City],Table8[Region])</f>
        <v>South</v>
      </c>
      <c r="H109" t="s">
        <v>22</v>
      </c>
      <c r="I109" t="str">
        <f>_xlfn.XLOOKUP(H109,Table6[Product],Table6[Category])</f>
        <v>Wearables</v>
      </c>
      <c r="J109" t="s">
        <v>57</v>
      </c>
      <c r="K109">
        <v>1</v>
      </c>
      <c r="L109">
        <f>_xlfn.XLOOKUP(H109,Table6[Product],Table6[Unit Price])</f>
        <v>12000</v>
      </c>
      <c r="M109">
        <f>_xlfn.XLOOKUP(H109,Table6[Product],Table6[Cost Price])</f>
        <v>8500</v>
      </c>
      <c r="N109" s="7">
        <v>0.1</v>
      </c>
      <c r="O109">
        <f t="shared" si="3"/>
        <v>10800</v>
      </c>
      <c r="P109">
        <f t="shared" si="4"/>
        <v>8500</v>
      </c>
      <c r="Q109">
        <f t="shared" si="5"/>
        <v>2300</v>
      </c>
      <c r="R109" t="s">
        <v>46</v>
      </c>
      <c r="S109" t="s">
        <v>49</v>
      </c>
    </row>
    <row r="110" spans="1:19" ht="18" x14ac:dyDescent="0.5">
      <c r="A110" t="s">
        <v>180</v>
      </c>
      <c r="B110" t="s">
        <v>1179</v>
      </c>
      <c r="C110" s="6">
        <v>45694</v>
      </c>
      <c r="D110" t="s">
        <v>2097</v>
      </c>
      <c r="E110" t="s">
        <v>2104</v>
      </c>
      <c r="F110" t="str">
        <f>_xlfn.XLOOKUP(E110,Table8[City],Table8[State])</f>
        <v>Delhi</v>
      </c>
      <c r="G110" t="str">
        <f>_xlfn.XLOOKUP(E110,Table8[City],Table8[Region])</f>
        <v>North</v>
      </c>
      <c r="H110" t="s">
        <v>16</v>
      </c>
      <c r="I110" t="str">
        <f>_xlfn.XLOOKUP(H110,Table6[Product],Table6[Category])</f>
        <v>Electronics</v>
      </c>
      <c r="J110" t="s">
        <v>60</v>
      </c>
      <c r="K110">
        <v>1</v>
      </c>
      <c r="L110">
        <f>_xlfn.XLOOKUP(H110,Table6[Product],Table6[Unit Price])</f>
        <v>65000</v>
      </c>
      <c r="M110">
        <f>_xlfn.XLOOKUP(H110,Table6[Product],Table6[Cost Price])</f>
        <v>52000</v>
      </c>
      <c r="N110" s="7">
        <v>0.16</v>
      </c>
      <c r="O110">
        <f t="shared" si="3"/>
        <v>54600</v>
      </c>
      <c r="P110">
        <f t="shared" si="4"/>
        <v>52000</v>
      </c>
      <c r="Q110">
        <f t="shared" si="5"/>
        <v>2600</v>
      </c>
      <c r="R110" t="s">
        <v>46</v>
      </c>
      <c r="S110" t="s">
        <v>51</v>
      </c>
    </row>
    <row r="111" spans="1:19" ht="18" x14ac:dyDescent="0.5">
      <c r="A111" t="s">
        <v>181</v>
      </c>
      <c r="B111" t="s">
        <v>1180</v>
      </c>
      <c r="C111" s="6">
        <v>45942</v>
      </c>
      <c r="D111" t="s">
        <v>2092</v>
      </c>
      <c r="E111" t="s">
        <v>70</v>
      </c>
      <c r="F111" t="str">
        <f>_xlfn.XLOOKUP(E111,Table8[City],Table8[State])</f>
        <v>Karnataka</v>
      </c>
      <c r="G111" t="str">
        <f>_xlfn.XLOOKUP(E111,Table8[City],Table8[Region])</f>
        <v>South</v>
      </c>
      <c r="H111" t="s">
        <v>28</v>
      </c>
      <c r="I111" t="str">
        <f>_xlfn.XLOOKUP(H111,Table6[Product],Table6[Category])</f>
        <v>Office</v>
      </c>
      <c r="J111" t="s">
        <v>56</v>
      </c>
      <c r="K111">
        <v>3</v>
      </c>
      <c r="L111">
        <f>_xlfn.XLOOKUP(H111,Table6[Product],Table6[Unit Price])</f>
        <v>18000</v>
      </c>
      <c r="M111">
        <f>_xlfn.XLOOKUP(H111,Table6[Product],Table6[Cost Price])</f>
        <v>14000</v>
      </c>
      <c r="N111" s="7">
        <v>0</v>
      </c>
      <c r="O111">
        <f t="shared" si="3"/>
        <v>54000</v>
      </c>
      <c r="P111">
        <f t="shared" si="4"/>
        <v>42000</v>
      </c>
      <c r="Q111">
        <f t="shared" si="5"/>
        <v>12000</v>
      </c>
      <c r="R111" t="s">
        <v>45</v>
      </c>
      <c r="S111" t="s">
        <v>49</v>
      </c>
    </row>
    <row r="112" spans="1:19" ht="18" x14ac:dyDescent="0.5">
      <c r="A112" t="s">
        <v>182</v>
      </c>
      <c r="B112" t="s">
        <v>1181</v>
      </c>
      <c r="C112" s="6">
        <v>45660</v>
      </c>
      <c r="D112" t="s">
        <v>2086</v>
      </c>
      <c r="E112" t="s">
        <v>2077</v>
      </c>
      <c r="F112" t="str">
        <f>_xlfn.XLOOKUP(E112,Table8[City],Table8[State])</f>
        <v>Telangana</v>
      </c>
      <c r="G112" t="str">
        <f>_xlfn.XLOOKUP(E112,Table8[City],Table8[Region])</f>
        <v>South</v>
      </c>
      <c r="H112" t="s">
        <v>26</v>
      </c>
      <c r="I112" t="str">
        <f>_xlfn.XLOOKUP(H112,Table6[Product],Table6[Category])</f>
        <v>Office</v>
      </c>
      <c r="J112" t="s">
        <v>54</v>
      </c>
      <c r="K112">
        <v>9</v>
      </c>
      <c r="L112">
        <f>_xlfn.XLOOKUP(H112,Table6[Product],Table6[Unit Price])</f>
        <v>15000</v>
      </c>
      <c r="M112">
        <f>_xlfn.XLOOKUP(H112,Table6[Product],Table6[Cost Price])</f>
        <v>11500</v>
      </c>
      <c r="N112" s="7">
        <v>0.16</v>
      </c>
      <c r="O112">
        <f t="shared" si="3"/>
        <v>113400</v>
      </c>
      <c r="P112">
        <f t="shared" si="4"/>
        <v>103500</v>
      </c>
      <c r="Q112">
        <f t="shared" si="5"/>
        <v>9900</v>
      </c>
      <c r="R112" t="s">
        <v>44</v>
      </c>
      <c r="S112" t="s">
        <v>51</v>
      </c>
    </row>
    <row r="113" spans="1:19" ht="18" x14ac:dyDescent="0.5">
      <c r="A113" t="s">
        <v>183</v>
      </c>
      <c r="B113" t="s">
        <v>1182</v>
      </c>
      <c r="C113" s="6">
        <v>45760</v>
      </c>
      <c r="D113" t="s">
        <v>2094</v>
      </c>
      <c r="E113" t="s">
        <v>2073</v>
      </c>
      <c r="F113" t="str">
        <f>_xlfn.XLOOKUP(E113,Table8[City],Table8[State])</f>
        <v>Maharashtra</v>
      </c>
      <c r="G113" t="str">
        <f>_xlfn.XLOOKUP(E113,Table8[City],Table8[Region])</f>
        <v>West</v>
      </c>
      <c r="H113" t="s">
        <v>29</v>
      </c>
      <c r="I113" t="str">
        <f>_xlfn.XLOOKUP(H113,Table6[Product],Table6[Category])</f>
        <v>Electronics</v>
      </c>
      <c r="J113" t="s">
        <v>63</v>
      </c>
      <c r="K113">
        <v>3</v>
      </c>
      <c r="L113">
        <f>_xlfn.XLOOKUP(H113,Table6[Product],Table6[Unit Price])</f>
        <v>5000</v>
      </c>
      <c r="M113">
        <f>_xlfn.XLOOKUP(H113,Table6[Product],Table6[Cost Price])</f>
        <v>3200</v>
      </c>
      <c r="N113" s="7">
        <v>0.02</v>
      </c>
      <c r="O113">
        <f t="shared" si="3"/>
        <v>14700</v>
      </c>
      <c r="P113">
        <f t="shared" si="4"/>
        <v>9600</v>
      </c>
      <c r="Q113">
        <f t="shared" si="5"/>
        <v>5100</v>
      </c>
      <c r="R113" t="s">
        <v>47</v>
      </c>
      <c r="S113" t="s">
        <v>49</v>
      </c>
    </row>
    <row r="114" spans="1:19" ht="18" x14ac:dyDescent="0.5">
      <c r="A114" t="s">
        <v>184</v>
      </c>
      <c r="B114" t="s">
        <v>1183</v>
      </c>
      <c r="C114" s="6">
        <v>45788</v>
      </c>
      <c r="D114" t="s">
        <v>2097</v>
      </c>
      <c r="E114" t="s">
        <v>2106</v>
      </c>
      <c r="F114" t="str">
        <f>_xlfn.XLOOKUP(E114,Table8[City],Table8[State])</f>
        <v>West Bengal</v>
      </c>
      <c r="G114" t="str">
        <f>_xlfn.XLOOKUP(E114,Table8[City],Table8[Region])</f>
        <v>East</v>
      </c>
      <c r="H114" t="s">
        <v>19</v>
      </c>
      <c r="I114" t="str">
        <f>_xlfn.XLOOKUP(H114,Table6[Product],Table6[Category])</f>
        <v>Electronics</v>
      </c>
      <c r="J114" t="s">
        <v>59</v>
      </c>
      <c r="K114">
        <v>6</v>
      </c>
      <c r="L114">
        <f>_xlfn.XLOOKUP(H114,Table6[Product],Table6[Unit Price])</f>
        <v>25000</v>
      </c>
      <c r="M114">
        <f>_xlfn.XLOOKUP(H114,Table6[Product],Table6[Cost Price])</f>
        <v>20000</v>
      </c>
      <c r="N114" s="7">
        <v>0.05</v>
      </c>
      <c r="O114">
        <f t="shared" si="3"/>
        <v>142500</v>
      </c>
      <c r="P114">
        <f t="shared" si="4"/>
        <v>120000</v>
      </c>
      <c r="Q114">
        <f t="shared" si="5"/>
        <v>22500</v>
      </c>
      <c r="R114" t="s">
        <v>45</v>
      </c>
      <c r="S114" t="s">
        <v>52</v>
      </c>
    </row>
    <row r="115" spans="1:19" ht="18" x14ac:dyDescent="0.5">
      <c r="A115" t="s">
        <v>185</v>
      </c>
      <c r="B115" t="s">
        <v>1184</v>
      </c>
      <c r="C115" s="6">
        <v>45653</v>
      </c>
      <c r="D115" t="s">
        <v>69</v>
      </c>
      <c r="E115" t="s">
        <v>2106</v>
      </c>
      <c r="F115" t="str">
        <f>_xlfn.XLOOKUP(E115,Table8[City],Table8[State])</f>
        <v>West Bengal</v>
      </c>
      <c r="G115" t="str">
        <f>_xlfn.XLOOKUP(E115,Table8[City],Table8[Region])</f>
        <v>East</v>
      </c>
      <c r="H115" t="s">
        <v>25</v>
      </c>
      <c r="I115" t="str">
        <f>_xlfn.XLOOKUP(H115,Table6[Product],Table6[Category])</f>
        <v>Accessories</v>
      </c>
      <c r="J115" t="s">
        <v>58</v>
      </c>
      <c r="K115">
        <v>7</v>
      </c>
      <c r="L115">
        <f>_xlfn.XLOOKUP(H115,Table6[Product],Table6[Unit Price])</f>
        <v>800</v>
      </c>
      <c r="M115">
        <f>_xlfn.XLOOKUP(H115,Table6[Product],Table6[Cost Price])</f>
        <v>450</v>
      </c>
      <c r="N115" s="7">
        <v>0</v>
      </c>
      <c r="O115">
        <f t="shared" si="3"/>
        <v>5600</v>
      </c>
      <c r="P115">
        <f t="shared" si="4"/>
        <v>3150</v>
      </c>
      <c r="Q115">
        <f t="shared" si="5"/>
        <v>2450</v>
      </c>
      <c r="R115" t="s">
        <v>44</v>
      </c>
      <c r="S115" t="s">
        <v>51</v>
      </c>
    </row>
    <row r="116" spans="1:19" ht="18" x14ac:dyDescent="0.5">
      <c r="A116" t="s">
        <v>186</v>
      </c>
      <c r="B116" t="s">
        <v>1185</v>
      </c>
      <c r="C116" s="6">
        <v>45744</v>
      </c>
      <c r="D116" t="s">
        <v>2084</v>
      </c>
      <c r="E116" t="s">
        <v>2074</v>
      </c>
      <c r="F116" t="str">
        <f>_xlfn.XLOOKUP(E116,Table8[City],Table8[State])</f>
        <v>Maharashtra</v>
      </c>
      <c r="G116" t="str">
        <f>_xlfn.XLOOKUP(E116,Table8[City],Table8[Region])</f>
        <v>West</v>
      </c>
      <c r="H116" t="s">
        <v>26</v>
      </c>
      <c r="I116" t="str">
        <f>_xlfn.XLOOKUP(H116,Table6[Product],Table6[Category])</f>
        <v>Office</v>
      </c>
      <c r="J116" t="s">
        <v>56</v>
      </c>
      <c r="K116">
        <v>8</v>
      </c>
      <c r="L116">
        <f>_xlfn.XLOOKUP(H116,Table6[Product],Table6[Unit Price])</f>
        <v>15000</v>
      </c>
      <c r="M116">
        <f>_xlfn.XLOOKUP(H116,Table6[Product],Table6[Cost Price])</f>
        <v>11500</v>
      </c>
      <c r="N116" s="7">
        <v>0.05</v>
      </c>
      <c r="O116">
        <f t="shared" si="3"/>
        <v>114000</v>
      </c>
      <c r="P116">
        <f t="shared" si="4"/>
        <v>92000</v>
      </c>
      <c r="Q116">
        <f t="shared" si="5"/>
        <v>22000</v>
      </c>
      <c r="R116" t="s">
        <v>44</v>
      </c>
      <c r="S116" t="s">
        <v>49</v>
      </c>
    </row>
    <row r="117" spans="1:19" ht="18" x14ac:dyDescent="0.5">
      <c r="A117" t="s">
        <v>187</v>
      </c>
      <c r="B117" t="s">
        <v>1186</v>
      </c>
      <c r="C117" s="6">
        <v>45581</v>
      </c>
      <c r="D117" t="s">
        <v>63</v>
      </c>
      <c r="E117" t="s">
        <v>2105</v>
      </c>
      <c r="F117" t="str">
        <f>_xlfn.XLOOKUP(E117,Table8[City],Table8[State])</f>
        <v>Rajasthan</v>
      </c>
      <c r="G117" t="str">
        <f>_xlfn.XLOOKUP(E117,Table8[City],Table8[Region])</f>
        <v>North</v>
      </c>
      <c r="H117" t="s">
        <v>29</v>
      </c>
      <c r="I117" t="str">
        <f>_xlfn.XLOOKUP(H117,Table6[Product],Table6[Category])</f>
        <v>Electronics</v>
      </c>
      <c r="J117" t="s">
        <v>61</v>
      </c>
      <c r="K117">
        <v>6</v>
      </c>
      <c r="L117">
        <f>_xlfn.XLOOKUP(H117,Table6[Product],Table6[Unit Price])</f>
        <v>5000</v>
      </c>
      <c r="M117">
        <f>_xlfn.XLOOKUP(H117,Table6[Product],Table6[Cost Price])</f>
        <v>3200</v>
      </c>
      <c r="N117" s="7">
        <v>0.23</v>
      </c>
      <c r="O117">
        <f t="shared" si="3"/>
        <v>23100</v>
      </c>
      <c r="P117">
        <f t="shared" si="4"/>
        <v>19200</v>
      </c>
      <c r="Q117">
        <f t="shared" si="5"/>
        <v>3900</v>
      </c>
      <c r="R117" t="s">
        <v>46</v>
      </c>
      <c r="S117" t="s">
        <v>51</v>
      </c>
    </row>
    <row r="118" spans="1:19" ht="18" x14ac:dyDescent="0.5">
      <c r="A118" t="s">
        <v>188</v>
      </c>
      <c r="B118" t="s">
        <v>1187</v>
      </c>
      <c r="C118" s="6">
        <v>45442</v>
      </c>
      <c r="D118" t="s">
        <v>2084</v>
      </c>
      <c r="E118" t="s">
        <v>2105</v>
      </c>
      <c r="F118" t="str">
        <f>_xlfn.XLOOKUP(E118,Table8[City],Table8[State])</f>
        <v>Rajasthan</v>
      </c>
      <c r="G118" t="str">
        <f>_xlfn.XLOOKUP(E118,Table8[City],Table8[Region])</f>
        <v>North</v>
      </c>
      <c r="H118" t="s">
        <v>19</v>
      </c>
      <c r="I118" t="str">
        <f>_xlfn.XLOOKUP(H118,Table6[Product],Table6[Category])</f>
        <v>Electronics</v>
      </c>
      <c r="J118" t="s">
        <v>59</v>
      </c>
      <c r="K118">
        <v>2</v>
      </c>
      <c r="L118">
        <f>_xlfn.XLOOKUP(H118,Table6[Product],Table6[Unit Price])</f>
        <v>25000</v>
      </c>
      <c r="M118">
        <f>_xlfn.XLOOKUP(H118,Table6[Product],Table6[Cost Price])</f>
        <v>20000</v>
      </c>
      <c r="N118" s="7">
        <v>0.24</v>
      </c>
      <c r="O118">
        <f t="shared" si="3"/>
        <v>38000</v>
      </c>
      <c r="P118">
        <f t="shared" si="4"/>
        <v>40000</v>
      </c>
      <c r="Q118">
        <f t="shared" si="5"/>
        <v>-2000</v>
      </c>
      <c r="R118" t="s">
        <v>45</v>
      </c>
      <c r="S118" t="s">
        <v>50</v>
      </c>
    </row>
    <row r="119" spans="1:19" ht="18" x14ac:dyDescent="0.5">
      <c r="A119" t="s">
        <v>189</v>
      </c>
      <c r="B119" t="s">
        <v>1188</v>
      </c>
      <c r="C119" s="6">
        <v>45394</v>
      </c>
      <c r="D119" t="s">
        <v>2087</v>
      </c>
      <c r="E119" t="s">
        <v>2106</v>
      </c>
      <c r="F119" t="str">
        <f>_xlfn.XLOOKUP(E119,Table8[City],Table8[State])</f>
        <v>West Bengal</v>
      </c>
      <c r="G119" t="str">
        <f>_xlfn.XLOOKUP(E119,Table8[City],Table8[Region])</f>
        <v>East</v>
      </c>
      <c r="H119" t="s">
        <v>20</v>
      </c>
      <c r="I119" t="str">
        <f>_xlfn.XLOOKUP(H119,Table6[Product],Table6[Category])</f>
        <v>Accessories</v>
      </c>
      <c r="J119" t="s">
        <v>55</v>
      </c>
      <c r="K119">
        <v>6</v>
      </c>
      <c r="L119">
        <f>_xlfn.XLOOKUP(H119,Table6[Product],Table6[Unit Price])</f>
        <v>3000</v>
      </c>
      <c r="M119">
        <f>_xlfn.XLOOKUP(H119,Table6[Product],Table6[Cost Price])</f>
        <v>1800</v>
      </c>
      <c r="N119" s="7">
        <v>0.14000000000000001</v>
      </c>
      <c r="O119">
        <f t="shared" si="3"/>
        <v>15480</v>
      </c>
      <c r="P119">
        <f t="shared" si="4"/>
        <v>10800</v>
      </c>
      <c r="Q119">
        <f t="shared" si="5"/>
        <v>4680</v>
      </c>
      <c r="R119" t="s">
        <v>47</v>
      </c>
      <c r="S119" t="s">
        <v>51</v>
      </c>
    </row>
    <row r="120" spans="1:19" ht="18" x14ac:dyDescent="0.5">
      <c r="A120" t="s">
        <v>190</v>
      </c>
      <c r="B120" t="s">
        <v>1189</v>
      </c>
      <c r="C120" s="6">
        <v>45906</v>
      </c>
      <c r="D120" t="s">
        <v>2099</v>
      </c>
      <c r="E120" t="s">
        <v>2073</v>
      </c>
      <c r="F120" t="str">
        <f>_xlfn.XLOOKUP(E120,Table8[City],Table8[State])</f>
        <v>Maharashtra</v>
      </c>
      <c r="G120" t="str">
        <f>_xlfn.XLOOKUP(E120,Table8[City],Table8[Region])</f>
        <v>West</v>
      </c>
      <c r="H120" t="s">
        <v>20</v>
      </c>
      <c r="I120" t="str">
        <f>_xlfn.XLOOKUP(H120,Table6[Product],Table6[Category])</f>
        <v>Accessories</v>
      </c>
      <c r="J120" t="s">
        <v>59</v>
      </c>
      <c r="K120">
        <v>3</v>
      </c>
      <c r="L120">
        <f>_xlfn.XLOOKUP(H120,Table6[Product],Table6[Unit Price])</f>
        <v>3000</v>
      </c>
      <c r="M120">
        <f>_xlfn.XLOOKUP(H120,Table6[Product],Table6[Cost Price])</f>
        <v>1800</v>
      </c>
      <c r="N120" s="7">
        <v>0.22</v>
      </c>
      <c r="O120">
        <f t="shared" si="3"/>
        <v>7020</v>
      </c>
      <c r="P120">
        <f t="shared" si="4"/>
        <v>5400</v>
      </c>
      <c r="Q120">
        <f t="shared" si="5"/>
        <v>1620</v>
      </c>
      <c r="R120" t="s">
        <v>43</v>
      </c>
      <c r="S120" t="s">
        <v>51</v>
      </c>
    </row>
    <row r="121" spans="1:19" ht="18" x14ac:dyDescent="0.5">
      <c r="A121" t="s">
        <v>191</v>
      </c>
      <c r="B121" t="s">
        <v>1190</v>
      </c>
      <c r="C121" s="6">
        <v>45578</v>
      </c>
      <c r="D121" t="s">
        <v>63</v>
      </c>
      <c r="E121" t="s">
        <v>2104</v>
      </c>
      <c r="F121" t="str">
        <f>_xlfn.XLOOKUP(E121,Table8[City],Table8[State])</f>
        <v>Delhi</v>
      </c>
      <c r="G121" t="str">
        <f>_xlfn.XLOOKUP(E121,Table8[City],Table8[Region])</f>
        <v>North</v>
      </c>
      <c r="H121" t="s">
        <v>19</v>
      </c>
      <c r="I121" t="str">
        <f>_xlfn.XLOOKUP(H121,Table6[Product],Table6[Category])</f>
        <v>Electronics</v>
      </c>
      <c r="J121" t="s">
        <v>59</v>
      </c>
      <c r="K121">
        <v>9</v>
      </c>
      <c r="L121">
        <f>_xlfn.XLOOKUP(H121,Table6[Product],Table6[Unit Price])</f>
        <v>25000</v>
      </c>
      <c r="M121">
        <f>_xlfn.XLOOKUP(H121,Table6[Product],Table6[Cost Price])</f>
        <v>20000</v>
      </c>
      <c r="N121" s="7">
        <v>0.06</v>
      </c>
      <c r="O121">
        <f t="shared" si="3"/>
        <v>211500</v>
      </c>
      <c r="P121">
        <f t="shared" si="4"/>
        <v>180000</v>
      </c>
      <c r="Q121">
        <f t="shared" si="5"/>
        <v>31500</v>
      </c>
      <c r="R121" t="s">
        <v>44</v>
      </c>
      <c r="S121" t="s">
        <v>49</v>
      </c>
    </row>
    <row r="122" spans="1:19" ht="18" x14ac:dyDescent="0.5">
      <c r="A122" t="s">
        <v>192</v>
      </c>
      <c r="B122" t="s">
        <v>1191</v>
      </c>
      <c r="C122" s="6">
        <v>45336</v>
      </c>
      <c r="D122" t="s">
        <v>2091</v>
      </c>
      <c r="E122" t="s">
        <v>2078</v>
      </c>
      <c r="F122" t="str">
        <f>_xlfn.XLOOKUP(E122,Table8[City],Table8[State])</f>
        <v>Telangana</v>
      </c>
      <c r="G122" t="str">
        <f>_xlfn.XLOOKUP(E122,Table8[City],Table8[Region])</f>
        <v>South</v>
      </c>
      <c r="H122" t="s">
        <v>22</v>
      </c>
      <c r="I122" t="str">
        <f>_xlfn.XLOOKUP(H122,Table6[Product],Table6[Category])</f>
        <v>Wearables</v>
      </c>
      <c r="J122" t="s">
        <v>63</v>
      </c>
      <c r="K122">
        <v>9</v>
      </c>
      <c r="L122">
        <f>_xlfn.XLOOKUP(H122,Table6[Product],Table6[Unit Price])</f>
        <v>12000</v>
      </c>
      <c r="M122">
        <f>_xlfn.XLOOKUP(H122,Table6[Product],Table6[Cost Price])</f>
        <v>8500</v>
      </c>
      <c r="N122" s="7">
        <v>0.02</v>
      </c>
      <c r="O122">
        <f t="shared" si="3"/>
        <v>105840</v>
      </c>
      <c r="P122">
        <f t="shared" si="4"/>
        <v>76500</v>
      </c>
      <c r="Q122">
        <f t="shared" si="5"/>
        <v>29340</v>
      </c>
      <c r="R122" t="s">
        <v>44</v>
      </c>
      <c r="S122" t="s">
        <v>49</v>
      </c>
    </row>
    <row r="123" spans="1:19" ht="18" x14ac:dyDescent="0.5">
      <c r="A123" t="s">
        <v>193</v>
      </c>
      <c r="B123" t="s">
        <v>1192</v>
      </c>
      <c r="C123" s="6">
        <v>45298</v>
      </c>
      <c r="D123" t="s">
        <v>69</v>
      </c>
      <c r="E123" t="s">
        <v>2077</v>
      </c>
      <c r="F123" t="str">
        <f>_xlfn.XLOOKUP(E123,Table8[City],Table8[State])</f>
        <v>Telangana</v>
      </c>
      <c r="G123" t="str">
        <f>_xlfn.XLOOKUP(E123,Table8[City],Table8[Region])</f>
        <v>South</v>
      </c>
      <c r="H123" t="s">
        <v>26</v>
      </c>
      <c r="I123" t="str">
        <f>_xlfn.XLOOKUP(H123,Table6[Product],Table6[Category])</f>
        <v>Office</v>
      </c>
      <c r="J123" t="s">
        <v>56</v>
      </c>
      <c r="K123">
        <v>10</v>
      </c>
      <c r="L123">
        <f>_xlfn.XLOOKUP(H123,Table6[Product],Table6[Unit Price])</f>
        <v>15000</v>
      </c>
      <c r="M123">
        <f>_xlfn.XLOOKUP(H123,Table6[Product],Table6[Cost Price])</f>
        <v>11500</v>
      </c>
      <c r="N123" s="7">
        <v>7.0000000000000007E-2</v>
      </c>
      <c r="O123">
        <f t="shared" si="3"/>
        <v>139500</v>
      </c>
      <c r="P123">
        <f t="shared" si="4"/>
        <v>115000</v>
      </c>
      <c r="Q123">
        <f t="shared" si="5"/>
        <v>24500</v>
      </c>
      <c r="R123" t="s">
        <v>46</v>
      </c>
      <c r="S123" t="s">
        <v>51</v>
      </c>
    </row>
    <row r="124" spans="1:19" ht="18" x14ac:dyDescent="0.5">
      <c r="A124" t="s">
        <v>194</v>
      </c>
      <c r="B124" t="s">
        <v>1193</v>
      </c>
      <c r="C124" s="6">
        <v>45608</v>
      </c>
      <c r="D124" t="s">
        <v>2083</v>
      </c>
      <c r="E124" t="s">
        <v>2106</v>
      </c>
      <c r="F124" t="str">
        <f>_xlfn.XLOOKUP(E124,Table8[City],Table8[State])</f>
        <v>West Bengal</v>
      </c>
      <c r="G124" t="str">
        <f>_xlfn.XLOOKUP(E124,Table8[City],Table8[Region])</f>
        <v>East</v>
      </c>
      <c r="H124" t="s">
        <v>20</v>
      </c>
      <c r="I124" t="str">
        <f>_xlfn.XLOOKUP(H124,Table6[Product],Table6[Category])</f>
        <v>Accessories</v>
      </c>
      <c r="J124" t="s">
        <v>57</v>
      </c>
      <c r="K124">
        <v>6</v>
      </c>
      <c r="L124">
        <f>_xlfn.XLOOKUP(H124,Table6[Product],Table6[Unit Price])</f>
        <v>3000</v>
      </c>
      <c r="M124">
        <f>_xlfn.XLOOKUP(H124,Table6[Product],Table6[Cost Price])</f>
        <v>1800</v>
      </c>
      <c r="N124" s="7">
        <v>0.01</v>
      </c>
      <c r="O124">
        <f t="shared" si="3"/>
        <v>17820</v>
      </c>
      <c r="P124">
        <f t="shared" si="4"/>
        <v>10800</v>
      </c>
      <c r="Q124">
        <f t="shared" si="5"/>
        <v>7020</v>
      </c>
      <c r="R124" t="s">
        <v>45</v>
      </c>
      <c r="S124" t="s">
        <v>51</v>
      </c>
    </row>
    <row r="125" spans="1:19" ht="18" x14ac:dyDescent="0.5">
      <c r="A125" t="s">
        <v>195</v>
      </c>
      <c r="B125" t="s">
        <v>1194</v>
      </c>
      <c r="C125" s="6">
        <v>45777</v>
      </c>
      <c r="D125" t="s">
        <v>2095</v>
      </c>
      <c r="E125" t="s">
        <v>2080</v>
      </c>
      <c r="F125" t="str">
        <f>_xlfn.XLOOKUP(E125,Table8[City],Table8[State])</f>
        <v>Gujarat</v>
      </c>
      <c r="G125" t="str">
        <f>_xlfn.XLOOKUP(E125,Table8[City],Table8[Region])</f>
        <v>West</v>
      </c>
      <c r="H125" t="s">
        <v>25</v>
      </c>
      <c r="I125" t="str">
        <f>_xlfn.XLOOKUP(H125,Table6[Product],Table6[Category])</f>
        <v>Accessories</v>
      </c>
      <c r="J125" t="s">
        <v>59</v>
      </c>
      <c r="K125">
        <v>1</v>
      </c>
      <c r="L125">
        <f>_xlfn.XLOOKUP(H125,Table6[Product],Table6[Unit Price])</f>
        <v>800</v>
      </c>
      <c r="M125">
        <f>_xlfn.XLOOKUP(H125,Table6[Product],Table6[Cost Price])</f>
        <v>450</v>
      </c>
      <c r="N125" s="7">
        <v>0.11</v>
      </c>
      <c r="O125">
        <f t="shared" si="3"/>
        <v>712</v>
      </c>
      <c r="P125">
        <f t="shared" si="4"/>
        <v>450</v>
      </c>
      <c r="Q125">
        <f t="shared" si="5"/>
        <v>262</v>
      </c>
      <c r="R125" t="s">
        <v>47</v>
      </c>
      <c r="S125" t="s">
        <v>51</v>
      </c>
    </row>
    <row r="126" spans="1:19" ht="18" x14ac:dyDescent="0.5">
      <c r="A126" t="s">
        <v>196</v>
      </c>
      <c r="B126" t="s">
        <v>1195</v>
      </c>
      <c r="C126" s="6">
        <v>45388</v>
      </c>
      <c r="D126" t="s">
        <v>2094</v>
      </c>
      <c r="E126" t="s">
        <v>2072</v>
      </c>
      <c r="F126" t="str">
        <f>_xlfn.XLOOKUP(E126,Table8[City],Table8[State])</f>
        <v>Karnataka</v>
      </c>
      <c r="G126" t="str">
        <f>_xlfn.XLOOKUP(E126,Table8[City],Table8[Region])</f>
        <v>South</v>
      </c>
      <c r="H126" t="s">
        <v>29</v>
      </c>
      <c r="I126" t="str">
        <f>_xlfn.XLOOKUP(H126,Table6[Product],Table6[Category])</f>
        <v>Electronics</v>
      </c>
      <c r="J126" t="s">
        <v>55</v>
      </c>
      <c r="K126">
        <v>9</v>
      </c>
      <c r="L126">
        <f>_xlfn.XLOOKUP(H126,Table6[Product],Table6[Unit Price])</f>
        <v>5000</v>
      </c>
      <c r="M126">
        <f>_xlfn.XLOOKUP(H126,Table6[Product],Table6[Cost Price])</f>
        <v>3200</v>
      </c>
      <c r="N126" s="7">
        <v>0.16</v>
      </c>
      <c r="O126">
        <f t="shared" si="3"/>
        <v>37800</v>
      </c>
      <c r="P126">
        <f t="shared" si="4"/>
        <v>28800</v>
      </c>
      <c r="Q126">
        <f t="shared" si="5"/>
        <v>9000</v>
      </c>
      <c r="R126" t="s">
        <v>47</v>
      </c>
      <c r="S126" t="s">
        <v>52</v>
      </c>
    </row>
    <row r="127" spans="1:19" ht="18" x14ac:dyDescent="0.5">
      <c r="A127" t="s">
        <v>197</v>
      </c>
      <c r="B127" t="s">
        <v>1196</v>
      </c>
      <c r="C127" s="6">
        <v>45345</v>
      </c>
      <c r="D127" t="s">
        <v>69</v>
      </c>
      <c r="E127" t="s">
        <v>2072</v>
      </c>
      <c r="F127" t="str">
        <f>_xlfn.XLOOKUP(E127,Table8[City],Table8[State])</f>
        <v>Karnataka</v>
      </c>
      <c r="G127" t="str">
        <f>_xlfn.XLOOKUP(E127,Table8[City],Table8[Region])</f>
        <v>South</v>
      </c>
      <c r="H127" t="s">
        <v>24</v>
      </c>
      <c r="I127" t="str">
        <f>_xlfn.XLOOKUP(H127,Table6[Product],Table6[Category])</f>
        <v>Accessories</v>
      </c>
      <c r="J127" t="s">
        <v>54</v>
      </c>
      <c r="K127">
        <v>6</v>
      </c>
      <c r="L127">
        <f>_xlfn.XLOOKUP(H127,Table6[Product],Table6[Unit Price])</f>
        <v>1500</v>
      </c>
      <c r="M127">
        <f>_xlfn.XLOOKUP(H127,Table6[Product],Table6[Cost Price])</f>
        <v>900</v>
      </c>
      <c r="N127" s="7">
        <v>0.25</v>
      </c>
      <c r="O127">
        <f t="shared" si="3"/>
        <v>6750</v>
      </c>
      <c r="P127">
        <f t="shared" si="4"/>
        <v>5400</v>
      </c>
      <c r="Q127">
        <f t="shared" si="5"/>
        <v>1350</v>
      </c>
      <c r="R127" t="s">
        <v>45</v>
      </c>
      <c r="S127" t="s">
        <v>50</v>
      </c>
    </row>
    <row r="128" spans="1:19" ht="18" x14ac:dyDescent="0.5">
      <c r="A128" t="s">
        <v>198</v>
      </c>
      <c r="B128" t="s">
        <v>1197</v>
      </c>
      <c r="C128" s="6">
        <v>45613</v>
      </c>
      <c r="D128" t="s">
        <v>2098</v>
      </c>
      <c r="E128" t="s">
        <v>2106</v>
      </c>
      <c r="F128" t="str">
        <f>_xlfn.XLOOKUP(E128,Table8[City],Table8[State])</f>
        <v>West Bengal</v>
      </c>
      <c r="G128" t="str">
        <f>_xlfn.XLOOKUP(E128,Table8[City],Table8[Region])</f>
        <v>East</v>
      </c>
      <c r="H128" t="s">
        <v>28</v>
      </c>
      <c r="I128" t="str">
        <f>_xlfn.XLOOKUP(H128,Table6[Product],Table6[Category])</f>
        <v>Office</v>
      </c>
      <c r="J128" t="s">
        <v>59</v>
      </c>
      <c r="K128">
        <v>7</v>
      </c>
      <c r="L128">
        <f>_xlfn.XLOOKUP(H128,Table6[Product],Table6[Unit Price])</f>
        <v>18000</v>
      </c>
      <c r="M128">
        <f>_xlfn.XLOOKUP(H128,Table6[Product],Table6[Cost Price])</f>
        <v>14000</v>
      </c>
      <c r="N128" s="7">
        <v>0.21</v>
      </c>
      <c r="O128">
        <f t="shared" si="3"/>
        <v>99540</v>
      </c>
      <c r="P128">
        <f t="shared" si="4"/>
        <v>98000</v>
      </c>
      <c r="Q128">
        <f t="shared" si="5"/>
        <v>1540</v>
      </c>
      <c r="R128" t="s">
        <v>47</v>
      </c>
      <c r="S128" t="s">
        <v>49</v>
      </c>
    </row>
    <row r="129" spans="1:19" ht="18" x14ac:dyDescent="0.5">
      <c r="A129" t="s">
        <v>199</v>
      </c>
      <c r="B129" t="s">
        <v>1198</v>
      </c>
      <c r="C129" s="6">
        <v>46000</v>
      </c>
      <c r="D129" t="s">
        <v>2098</v>
      </c>
      <c r="E129" t="s">
        <v>2105</v>
      </c>
      <c r="F129" t="str">
        <f>_xlfn.XLOOKUP(E129,Table8[City],Table8[State])</f>
        <v>Rajasthan</v>
      </c>
      <c r="G129" t="str">
        <f>_xlfn.XLOOKUP(E129,Table8[City],Table8[Region])</f>
        <v>North</v>
      </c>
      <c r="H129" t="s">
        <v>29</v>
      </c>
      <c r="I129" t="str">
        <f>_xlfn.XLOOKUP(H129,Table6[Product],Table6[Category])</f>
        <v>Electronics</v>
      </c>
      <c r="J129" t="s">
        <v>58</v>
      </c>
      <c r="K129">
        <v>5</v>
      </c>
      <c r="L129">
        <f>_xlfn.XLOOKUP(H129,Table6[Product],Table6[Unit Price])</f>
        <v>5000</v>
      </c>
      <c r="M129">
        <f>_xlfn.XLOOKUP(H129,Table6[Product],Table6[Cost Price])</f>
        <v>3200</v>
      </c>
      <c r="N129" s="7">
        <v>0.1</v>
      </c>
      <c r="O129">
        <f t="shared" si="3"/>
        <v>22500</v>
      </c>
      <c r="P129">
        <f t="shared" si="4"/>
        <v>16000</v>
      </c>
      <c r="Q129">
        <f t="shared" si="5"/>
        <v>6500</v>
      </c>
      <c r="R129" t="s">
        <v>46</v>
      </c>
      <c r="S129" t="s">
        <v>49</v>
      </c>
    </row>
    <row r="130" spans="1:19" ht="18" x14ac:dyDescent="0.5">
      <c r="A130" t="s">
        <v>200</v>
      </c>
      <c r="B130" t="s">
        <v>1199</v>
      </c>
      <c r="C130" s="6">
        <v>46022</v>
      </c>
      <c r="D130" t="s">
        <v>2098</v>
      </c>
      <c r="E130" t="s">
        <v>2078</v>
      </c>
      <c r="F130" t="str">
        <f>_xlfn.XLOOKUP(E130,Table8[City],Table8[State])</f>
        <v>Telangana</v>
      </c>
      <c r="G130" t="str">
        <f>_xlfn.XLOOKUP(E130,Table8[City],Table8[Region])</f>
        <v>South</v>
      </c>
      <c r="H130" t="s">
        <v>24</v>
      </c>
      <c r="I130" t="str">
        <f>_xlfn.XLOOKUP(H130,Table6[Product],Table6[Category])</f>
        <v>Accessories</v>
      </c>
      <c r="J130" t="s">
        <v>55</v>
      </c>
      <c r="K130">
        <v>4</v>
      </c>
      <c r="L130">
        <f>_xlfn.XLOOKUP(H130,Table6[Product],Table6[Unit Price])</f>
        <v>1500</v>
      </c>
      <c r="M130">
        <f>_xlfn.XLOOKUP(H130,Table6[Product],Table6[Cost Price])</f>
        <v>900</v>
      </c>
      <c r="N130" s="7">
        <v>0.01</v>
      </c>
      <c r="O130">
        <f t="shared" si="3"/>
        <v>5940</v>
      </c>
      <c r="P130">
        <f t="shared" si="4"/>
        <v>3600</v>
      </c>
      <c r="Q130">
        <f t="shared" si="5"/>
        <v>2340</v>
      </c>
      <c r="R130" t="s">
        <v>44</v>
      </c>
      <c r="S130" t="s">
        <v>51</v>
      </c>
    </row>
    <row r="131" spans="1:19" ht="18" x14ac:dyDescent="0.5">
      <c r="A131" t="s">
        <v>201</v>
      </c>
      <c r="B131" t="s">
        <v>1200</v>
      </c>
      <c r="C131" s="6">
        <v>45452</v>
      </c>
      <c r="D131" t="s">
        <v>2087</v>
      </c>
      <c r="E131" t="s">
        <v>2074</v>
      </c>
      <c r="F131" t="str">
        <f>_xlfn.XLOOKUP(E131,Table8[City],Table8[State])</f>
        <v>Maharashtra</v>
      </c>
      <c r="G131" t="str">
        <f>_xlfn.XLOOKUP(E131,Table8[City],Table8[Region])</f>
        <v>West</v>
      </c>
      <c r="H131" t="s">
        <v>19</v>
      </c>
      <c r="I131" t="str">
        <f>_xlfn.XLOOKUP(H131,Table6[Product],Table6[Category])</f>
        <v>Electronics</v>
      </c>
      <c r="J131" t="s">
        <v>62</v>
      </c>
      <c r="K131">
        <v>7</v>
      </c>
      <c r="L131">
        <f>_xlfn.XLOOKUP(H131,Table6[Product],Table6[Unit Price])</f>
        <v>25000</v>
      </c>
      <c r="M131">
        <f>_xlfn.XLOOKUP(H131,Table6[Product],Table6[Cost Price])</f>
        <v>20000</v>
      </c>
      <c r="N131" s="7">
        <v>0.3</v>
      </c>
      <c r="O131">
        <f t="shared" ref="O131:O194" si="6">(L131*K131)*(1-N131)</f>
        <v>122499.99999999999</v>
      </c>
      <c r="P131">
        <f t="shared" ref="P131:P194" si="7">M131*K131</f>
        <v>140000</v>
      </c>
      <c r="Q131">
        <f t="shared" ref="Q131:Q194" si="8">O131-P131</f>
        <v>-17500.000000000015</v>
      </c>
      <c r="R131" t="s">
        <v>45</v>
      </c>
      <c r="S131" t="s">
        <v>51</v>
      </c>
    </row>
    <row r="132" spans="1:19" ht="18" x14ac:dyDescent="0.5">
      <c r="A132" t="s">
        <v>202</v>
      </c>
      <c r="B132" t="s">
        <v>1201</v>
      </c>
      <c r="C132" s="6">
        <v>45840</v>
      </c>
      <c r="D132" t="s">
        <v>2095</v>
      </c>
      <c r="E132" t="s">
        <v>2073</v>
      </c>
      <c r="F132" t="str">
        <f>_xlfn.XLOOKUP(E132,Table8[City],Table8[State])</f>
        <v>Maharashtra</v>
      </c>
      <c r="G132" t="str">
        <f>_xlfn.XLOOKUP(E132,Table8[City],Table8[Region])</f>
        <v>West</v>
      </c>
      <c r="H132" t="s">
        <v>22</v>
      </c>
      <c r="I132" t="str">
        <f>_xlfn.XLOOKUP(H132,Table6[Product],Table6[Category])</f>
        <v>Wearables</v>
      </c>
      <c r="J132" t="s">
        <v>55</v>
      </c>
      <c r="K132">
        <v>9</v>
      </c>
      <c r="L132">
        <f>_xlfn.XLOOKUP(H132,Table6[Product],Table6[Unit Price])</f>
        <v>12000</v>
      </c>
      <c r="M132">
        <f>_xlfn.XLOOKUP(H132,Table6[Product],Table6[Cost Price])</f>
        <v>8500</v>
      </c>
      <c r="N132" s="7">
        <v>0.25</v>
      </c>
      <c r="O132">
        <f t="shared" si="6"/>
        <v>81000</v>
      </c>
      <c r="P132">
        <f t="shared" si="7"/>
        <v>76500</v>
      </c>
      <c r="Q132">
        <f t="shared" si="8"/>
        <v>4500</v>
      </c>
      <c r="R132" t="s">
        <v>46</v>
      </c>
      <c r="S132" t="s">
        <v>49</v>
      </c>
    </row>
    <row r="133" spans="1:19" ht="18" x14ac:dyDescent="0.5">
      <c r="A133" t="s">
        <v>203</v>
      </c>
      <c r="B133" t="s">
        <v>1202</v>
      </c>
      <c r="C133" s="6">
        <v>45400</v>
      </c>
      <c r="D133" t="s">
        <v>63</v>
      </c>
      <c r="E133" t="s">
        <v>2104</v>
      </c>
      <c r="F133" t="str">
        <f>_xlfn.XLOOKUP(E133,Table8[City],Table8[State])</f>
        <v>Delhi</v>
      </c>
      <c r="G133" t="str">
        <f>_xlfn.XLOOKUP(E133,Table8[City],Table8[Region])</f>
        <v>North</v>
      </c>
      <c r="H133" t="s">
        <v>28</v>
      </c>
      <c r="I133" t="str">
        <f>_xlfn.XLOOKUP(H133,Table6[Product],Table6[Category])</f>
        <v>Office</v>
      </c>
      <c r="J133" t="s">
        <v>60</v>
      </c>
      <c r="K133">
        <v>7</v>
      </c>
      <c r="L133">
        <f>_xlfn.XLOOKUP(H133,Table6[Product],Table6[Unit Price])</f>
        <v>18000</v>
      </c>
      <c r="M133">
        <f>_xlfn.XLOOKUP(H133,Table6[Product],Table6[Cost Price])</f>
        <v>14000</v>
      </c>
      <c r="N133" s="7">
        <v>0.2</v>
      </c>
      <c r="O133">
        <f t="shared" si="6"/>
        <v>100800</v>
      </c>
      <c r="P133">
        <f t="shared" si="7"/>
        <v>98000</v>
      </c>
      <c r="Q133">
        <f t="shared" si="8"/>
        <v>2800</v>
      </c>
      <c r="R133" t="s">
        <v>43</v>
      </c>
      <c r="S133" t="s">
        <v>49</v>
      </c>
    </row>
    <row r="134" spans="1:19" ht="18" x14ac:dyDescent="0.5">
      <c r="A134" t="s">
        <v>204</v>
      </c>
      <c r="B134" t="s">
        <v>1203</v>
      </c>
      <c r="C134" s="6">
        <v>45892</v>
      </c>
      <c r="D134" t="s">
        <v>2099</v>
      </c>
      <c r="E134" t="s">
        <v>2076</v>
      </c>
      <c r="F134" t="str">
        <f>_xlfn.XLOOKUP(E134,Table8[City],Table8[State])</f>
        <v>Tamil Nadu</v>
      </c>
      <c r="G134" t="str">
        <f>_xlfn.XLOOKUP(E134,Table8[City],Table8[Region])</f>
        <v>South</v>
      </c>
      <c r="H134" t="s">
        <v>28</v>
      </c>
      <c r="I134" t="str">
        <f>_xlfn.XLOOKUP(H134,Table6[Product],Table6[Category])</f>
        <v>Office</v>
      </c>
      <c r="J134" t="s">
        <v>54</v>
      </c>
      <c r="K134">
        <v>5</v>
      </c>
      <c r="L134">
        <f>_xlfn.XLOOKUP(H134,Table6[Product],Table6[Unit Price])</f>
        <v>18000</v>
      </c>
      <c r="M134">
        <f>_xlfn.XLOOKUP(H134,Table6[Product],Table6[Cost Price])</f>
        <v>14000</v>
      </c>
      <c r="N134" s="7">
        <v>0.23</v>
      </c>
      <c r="O134">
        <f t="shared" si="6"/>
        <v>69300</v>
      </c>
      <c r="P134">
        <f t="shared" si="7"/>
        <v>70000</v>
      </c>
      <c r="Q134">
        <f t="shared" si="8"/>
        <v>-700</v>
      </c>
      <c r="R134" t="s">
        <v>45</v>
      </c>
      <c r="S134" t="s">
        <v>52</v>
      </c>
    </row>
    <row r="135" spans="1:19" ht="18" x14ac:dyDescent="0.5">
      <c r="A135" t="s">
        <v>205</v>
      </c>
      <c r="B135" t="s">
        <v>1204</v>
      </c>
      <c r="C135" s="6">
        <v>45562</v>
      </c>
      <c r="D135" t="s">
        <v>2090</v>
      </c>
      <c r="E135" t="s">
        <v>2075</v>
      </c>
      <c r="F135" t="str">
        <f>_xlfn.XLOOKUP(E135,Table8[City],Table8[State])</f>
        <v>Tamil Nadu</v>
      </c>
      <c r="G135" t="str">
        <f>_xlfn.XLOOKUP(E135,Table8[City],Table8[Region])</f>
        <v>South</v>
      </c>
      <c r="H135" t="s">
        <v>22</v>
      </c>
      <c r="I135" t="str">
        <f>_xlfn.XLOOKUP(H135,Table6[Product],Table6[Category])</f>
        <v>Wearables</v>
      </c>
      <c r="J135" t="s">
        <v>55</v>
      </c>
      <c r="K135">
        <v>6</v>
      </c>
      <c r="L135">
        <f>_xlfn.XLOOKUP(H135,Table6[Product],Table6[Unit Price])</f>
        <v>12000</v>
      </c>
      <c r="M135">
        <f>_xlfn.XLOOKUP(H135,Table6[Product],Table6[Cost Price])</f>
        <v>8500</v>
      </c>
      <c r="N135" s="7">
        <v>0.16</v>
      </c>
      <c r="O135">
        <f t="shared" si="6"/>
        <v>60480</v>
      </c>
      <c r="P135">
        <f t="shared" si="7"/>
        <v>51000</v>
      </c>
      <c r="Q135">
        <f t="shared" si="8"/>
        <v>9480</v>
      </c>
      <c r="R135" t="s">
        <v>47</v>
      </c>
      <c r="S135" t="s">
        <v>50</v>
      </c>
    </row>
    <row r="136" spans="1:19" ht="18" x14ac:dyDescent="0.5">
      <c r="A136" t="s">
        <v>206</v>
      </c>
      <c r="B136" t="s">
        <v>1205</v>
      </c>
      <c r="C136" s="6">
        <v>45875</v>
      </c>
      <c r="D136" t="s">
        <v>69</v>
      </c>
      <c r="E136" t="s">
        <v>2073</v>
      </c>
      <c r="F136" t="str">
        <f>_xlfn.XLOOKUP(E136,Table8[City],Table8[State])</f>
        <v>Maharashtra</v>
      </c>
      <c r="G136" t="str">
        <f>_xlfn.XLOOKUP(E136,Table8[City],Table8[Region])</f>
        <v>West</v>
      </c>
      <c r="H136" t="s">
        <v>20</v>
      </c>
      <c r="I136" t="str">
        <f>_xlfn.XLOOKUP(H136,Table6[Product],Table6[Category])</f>
        <v>Accessories</v>
      </c>
      <c r="J136" t="s">
        <v>56</v>
      </c>
      <c r="K136">
        <v>7</v>
      </c>
      <c r="L136">
        <f>_xlfn.XLOOKUP(H136,Table6[Product],Table6[Unit Price])</f>
        <v>3000</v>
      </c>
      <c r="M136">
        <f>_xlfn.XLOOKUP(H136,Table6[Product],Table6[Cost Price])</f>
        <v>1800</v>
      </c>
      <c r="N136" s="7">
        <v>0.06</v>
      </c>
      <c r="O136">
        <f t="shared" si="6"/>
        <v>19740</v>
      </c>
      <c r="P136">
        <f t="shared" si="7"/>
        <v>12600</v>
      </c>
      <c r="Q136">
        <f t="shared" si="8"/>
        <v>7140</v>
      </c>
      <c r="R136" t="s">
        <v>47</v>
      </c>
      <c r="S136" t="s">
        <v>51</v>
      </c>
    </row>
    <row r="137" spans="1:19" ht="18" x14ac:dyDescent="0.5">
      <c r="A137" t="s">
        <v>207</v>
      </c>
      <c r="B137" t="s">
        <v>1206</v>
      </c>
      <c r="C137" s="6">
        <v>45850</v>
      </c>
      <c r="D137" t="s">
        <v>2094</v>
      </c>
      <c r="E137" t="s">
        <v>2104</v>
      </c>
      <c r="F137" t="str">
        <f>_xlfn.XLOOKUP(E137,Table8[City],Table8[State])</f>
        <v>Delhi</v>
      </c>
      <c r="G137" t="str">
        <f>_xlfn.XLOOKUP(E137,Table8[City],Table8[Region])</f>
        <v>North</v>
      </c>
      <c r="H137" t="s">
        <v>16</v>
      </c>
      <c r="I137" t="str">
        <f>_xlfn.XLOOKUP(H137,Table6[Product],Table6[Category])</f>
        <v>Electronics</v>
      </c>
      <c r="J137" t="s">
        <v>56</v>
      </c>
      <c r="K137">
        <v>4</v>
      </c>
      <c r="L137">
        <f>_xlfn.XLOOKUP(H137,Table6[Product],Table6[Unit Price])</f>
        <v>65000</v>
      </c>
      <c r="M137">
        <f>_xlfn.XLOOKUP(H137,Table6[Product],Table6[Cost Price])</f>
        <v>52000</v>
      </c>
      <c r="N137" s="7">
        <v>0.22</v>
      </c>
      <c r="O137">
        <f t="shared" si="6"/>
        <v>202800</v>
      </c>
      <c r="P137">
        <f t="shared" si="7"/>
        <v>208000</v>
      </c>
      <c r="Q137">
        <f t="shared" si="8"/>
        <v>-5200</v>
      </c>
      <c r="R137" t="s">
        <v>43</v>
      </c>
      <c r="S137" t="s">
        <v>49</v>
      </c>
    </row>
    <row r="138" spans="1:19" ht="18" x14ac:dyDescent="0.5">
      <c r="A138" t="s">
        <v>208</v>
      </c>
      <c r="B138" t="s">
        <v>1207</v>
      </c>
      <c r="C138" s="6">
        <v>45381</v>
      </c>
      <c r="D138" t="s">
        <v>63</v>
      </c>
      <c r="E138" t="s">
        <v>2072</v>
      </c>
      <c r="F138" t="str">
        <f>_xlfn.XLOOKUP(E138,Table8[City],Table8[State])</f>
        <v>Karnataka</v>
      </c>
      <c r="G138" t="str">
        <f>_xlfn.XLOOKUP(E138,Table8[City],Table8[Region])</f>
        <v>South</v>
      </c>
      <c r="H138" t="s">
        <v>22</v>
      </c>
      <c r="I138" t="str">
        <f>_xlfn.XLOOKUP(H138,Table6[Product],Table6[Category])</f>
        <v>Wearables</v>
      </c>
      <c r="J138" t="s">
        <v>62</v>
      </c>
      <c r="K138">
        <v>4</v>
      </c>
      <c r="L138">
        <f>_xlfn.XLOOKUP(H138,Table6[Product],Table6[Unit Price])</f>
        <v>12000</v>
      </c>
      <c r="M138">
        <f>_xlfn.XLOOKUP(H138,Table6[Product],Table6[Cost Price])</f>
        <v>8500</v>
      </c>
      <c r="N138" s="7">
        <v>0.04</v>
      </c>
      <c r="O138">
        <f t="shared" si="6"/>
        <v>46080</v>
      </c>
      <c r="P138">
        <f t="shared" si="7"/>
        <v>34000</v>
      </c>
      <c r="Q138">
        <f t="shared" si="8"/>
        <v>12080</v>
      </c>
      <c r="R138" t="s">
        <v>43</v>
      </c>
      <c r="S138" t="s">
        <v>49</v>
      </c>
    </row>
    <row r="139" spans="1:19" ht="18" x14ac:dyDescent="0.5">
      <c r="A139" t="s">
        <v>209</v>
      </c>
      <c r="B139" t="s">
        <v>1208</v>
      </c>
      <c r="C139" s="6">
        <v>45555</v>
      </c>
      <c r="D139" t="s">
        <v>2096</v>
      </c>
      <c r="E139" t="s">
        <v>2106</v>
      </c>
      <c r="F139" t="str">
        <f>_xlfn.XLOOKUP(E139,Table8[City],Table8[State])</f>
        <v>West Bengal</v>
      </c>
      <c r="G139" t="str">
        <f>_xlfn.XLOOKUP(E139,Table8[City],Table8[Region])</f>
        <v>East</v>
      </c>
      <c r="H139" t="s">
        <v>22</v>
      </c>
      <c r="I139" t="str">
        <f>_xlfn.XLOOKUP(H139,Table6[Product],Table6[Category])</f>
        <v>Wearables</v>
      </c>
      <c r="J139" t="s">
        <v>56</v>
      </c>
      <c r="K139">
        <v>4</v>
      </c>
      <c r="L139">
        <f>_xlfn.XLOOKUP(H139,Table6[Product],Table6[Unit Price])</f>
        <v>12000</v>
      </c>
      <c r="M139">
        <f>_xlfn.XLOOKUP(H139,Table6[Product],Table6[Cost Price])</f>
        <v>8500</v>
      </c>
      <c r="N139" s="7">
        <v>0.27</v>
      </c>
      <c r="O139">
        <f t="shared" si="6"/>
        <v>35040</v>
      </c>
      <c r="P139">
        <f t="shared" si="7"/>
        <v>34000</v>
      </c>
      <c r="Q139">
        <f t="shared" si="8"/>
        <v>1040</v>
      </c>
      <c r="R139" t="s">
        <v>43</v>
      </c>
      <c r="S139" t="s">
        <v>49</v>
      </c>
    </row>
    <row r="140" spans="1:19" ht="18" x14ac:dyDescent="0.5">
      <c r="A140" t="s">
        <v>210</v>
      </c>
      <c r="B140" t="s">
        <v>1209</v>
      </c>
      <c r="C140" s="6">
        <v>45709</v>
      </c>
      <c r="D140" t="s">
        <v>2086</v>
      </c>
      <c r="E140" t="s">
        <v>2073</v>
      </c>
      <c r="F140" t="str">
        <f>_xlfn.XLOOKUP(E140,Table8[City],Table8[State])</f>
        <v>Maharashtra</v>
      </c>
      <c r="G140" t="str">
        <f>_xlfn.XLOOKUP(E140,Table8[City],Table8[Region])</f>
        <v>West</v>
      </c>
      <c r="H140" t="s">
        <v>29</v>
      </c>
      <c r="I140" t="str">
        <f>_xlfn.XLOOKUP(H140,Table6[Product],Table6[Category])</f>
        <v>Electronics</v>
      </c>
      <c r="J140" t="s">
        <v>56</v>
      </c>
      <c r="K140">
        <v>10</v>
      </c>
      <c r="L140">
        <f>_xlfn.XLOOKUP(H140,Table6[Product],Table6[Unit Price])</f>
        <v>5000</v>
      </c>
      <c r="M140">
        <f>_xlfn.XLOOKUP(H140,Table6[Product],Table6[Cost Price])</f>
        <v>3200</v>
      </c>
      <c r="N140" s="7">
        <v>0.24</v>
      </c>
      <c r="O140">
        <f t="shared" si="6"/>
        <v>38000</v>
      </c>
      <c r="P140">
        <f t="shared" si="7"/>
        <v>32000</v>
      </c>
      <c r="Q140">
        <f t="shared" si="8"/>
        <v>6000</v>
      </c>
      <c r="R140" t="s">
        <v>47</v>
      </c>
      <c r="S140" t="s">
        <v>50</v>
      </c>
    </row>
    <row r="141" spans="1:19" ht="18" x14ac:dyDescent="0.5">
      <c r="A141" t="s">
        <v>211</v>
      </c>
      <c r="B141" t="s">
        <v>1210</v>
      </c>
      <c r="C141" s="6">
        <v>45592</v>
      </c>
      <c r="D141" t="s">
        <v>2083</v>
      </c>
      <c r="E141" t="s">
        <v>2105</v>
      </c>
      <c r="F141" t="str">
        <f>_xlfn.XLOOKUP(E141,Table8[City],Table8[State])</f>
        <v>Rajasthan</v>
      </c>
      <c r="G141" t="str">
        <f>_xlfn.XLOOKUP(E141,Table8[City],Table8[Region])</f>
        <v>North</v>
      </c>
      <c r="H141" t="s">
        <v>28</v>
      </c>
      <c r="I141" t="str">
        <f>_xlfn.XLOOKUP(H141,Table6[Product],Table6[Category])</f>
        <v>Office</v>
      </c>
      <c r="J141" t="s">
        <v>57</v>
      </c>
      <c r="K141">
        <v>6</v>
      </c>
      <c r="L141">
        <f>_xlfn.XLOOKUP(H141,Table6[Product],Table6[Unit Price])</f>
        <v>18000</v>
      </c>
      <c r="M141">
        <f>_xlfn.XLOOKUP(H141,Table6[Product],Table6[Cost Price])</f>
        <v>14000</v>
      </c>
      <c r="N141" s="7">
        <v>0</v>
      </c>
      <c r="O141">
        <f t="shared" si="6"/>
        <v>108000</v>
      </c>
      <c r="P141">
        <f t="shared" si="7"/>
        <v>84000</v>
      </c>
      <c r="Q141">
        <f t="shared" si="8"/>
        <v>24000</v>
      </c>
      <c r="R141" t="s">
        <v>47</v>
      </c>
      <c r="S141" t="s">
        <v>49</v>
      </c>
    </row>
    <row r="142" spans="1:19" ht="18" x14ac:dyDescent="0.5">
      <c r="A142" t="s">
        <v>212</v>
      </c>
      <c r="B142" t="s">
        <v>1211</v>
      </c>
      <c r="C142" s="6">
        <v>45442</v>
      </c>
      <c r="D142" t="s">
        <v>2085</v>
      </c>
      <c r="E142" t="s">
        <v>70</v>
      </c>
      <c r="F142" t="str">
        <f>_xlfn.XLOOKUP(E142,Table8[City],Table8[State])</f>
        <v>Karnataka</v>
      </c>
      <c r="G142" t="str">
        <f>_xlfn.XLOOKUP(E142,Table8[City],Table8[Region])</f>
        <v>South</v>
      </c>
      <c r="H142" t="s">
        <v>16</v>
      </c>
      <c r="I142" t="str">
        <f>_xlfn.XLOOKUP(H142,Table6[Product],Table6[Category])</f>
        <v>Electronics</v>
      </c>
      <c r="J142" t="s">
        <v>56</v>
      </c>
      <c r="K142">
        <v>8</v>
      </c>
      <c r="L142">
        <f>_xlfn.XLOOKUP(H142,Table6[Product],Table6[Unit Price])</f>
        <v>65000</v>
      </c>
      <c r="M142">
        <f>_xlfn.XLOOKUP(H142,Table6[Product],Table6[Cost Price])</f>
        <v>52000</v>
      </c>
      <c r="N142" s="7">
        <v>0</v>
      </c>
      <c r="O142">
        <f t="shared" si="6"/>
        <v>520000</v>
      </c>
      <c r="P142">
        <f t="shared" si="7"/>
        <v>416000</v>
      </c>
      <c r="Q142">
        <f t="shared" si="8"/>
        <v>104000</v>
      </c>
      <c r="R142" t="s">
        <v>45</v>
      </c>
      <c r="S142" t="s">
        <v>51</v>
      </c>
    </row>
    <row r="143" spans="1:19" ht="18" x14ac:dyDescent="0.5">
      <c r="A143" t="s">
        <v>213</v>
      </c>
      <c r="B143" t="s">
        <v>1212</v>
      </c>
      <c r="C143" s="6">
        <v>45841</v>
      </c>
      <c r="D143" t="s">
        <v>2088</v>
      </c>
      <c r="E143" t="s">
        <v>2079</v>
      </c>
      <c r="F143" t="str">
        <f>_xlfn.XLOOKUP(E143,Table8[City],Table8[State])</f>
        <v>Gujarat</v>
      </c>
      <c r="G143" t="str">
        <f>_xlfn.XLOOKUP(E143,Table8[City],Table8[Region])</f>
        <v>West</v>
      </c>
      <c r="H143" t="s">
        <v>22</v>
      </c>
      <c r="I143" t="str">
        <f>_xlfn.XLOOKUP(H143,Table6[Product],Table6[Category])</f>
        <v>Wearables</v>
      </c>
      <c r="J143" t="s">
        <v>54</v>
      </c>
      <c r="K143">
        <v>1</v>
      </c>
      <c r="L143">
        <f>_xlfn.XLOOKUP(H143,Table6[Product],Table6[Unit Price])</f>
        <v>12000</v>
      </c>
      <c r="M143">
        <f>_xlfn.XLOOKUP(H143,Table6[Product],Table6[Cost Price])</f>
        <v>8500</v>
      </c>
      <c r="N143" s="7">
        <v>0.04</v>
      </c>
      <c r="O143">
        <f t="shared" si="6"/>
        <v>11520</v>
      </c>
      <c r="P143">
        <f t="shared" si="7"/>
        <v>8500</v>
      </c>
      <c r="Q143">
        <f t="shared" si="8"/>
        <v>3020</v>
      </c>
      <c r="R143" t="s">
        <v>43</v>
      </c>
      <c r="S143" t="s">
        <v>49</v>
      </c>
    </row>
    <row r="144" spans="1:19" ht="18" x14ac:dyDescent="0.5">
      <c r="A144" t="s">
        <v>214</v>
      </c>
      <c r="B144" t="s">
        <v>1213</v>
      </c>
      <c r="C144" s="6">
        <v>45442</v>
      </c>
      <c r="D144" t="s">
        <v>2083</v>
      </c>
      <c r="E144" t="s">
        <v>2073</v>
      </c>
      <c r="F144" t="str">
        <f>_xlfn.XLOOKUP(E144,Table8[City],Table8[State])</f>
        <v>Maharashtra</v>
      </c>
      <c r="G144" t="str">
        <f>_xlfn.XLOOKUP(E144,Table8[City],Table8[Region])</f>
        <v>West</v>
      </c>
      <c r="H144" t="s">
        <v>28</v>
      </c>
      <c r="I144" t="str">
        <f>_xlfn.XLOOKUP(H144,Table6[Product],Table6[Category])</f>
        <v>Office</v>
      </c>
      <c r="J144" t="s">
        <v>58</v>
      </c>
      <c r="K144">
        <v>1</v>
      </c>
      <c r="L144">
        <f>_xlfn.XLOOKUP(H144,Table6[Product],Table6[Unit Price])</f>
        <v>18000</v>
      </c>
      <c r="M144">
        <f>_xlfn.XLOOKUP(H144,Table6[Product],Table6[Cost Price])</f>
        <v>14000</v>
      </c>
      <c r="N144" s="7">
        <v>0.19</v>
      </c>
      <c r="O144">
        <f t="shared" si="6"/>
        <v>14580.000000000002</v>
      </c>
      <c r="P144">
        <f t="shared" si="7"/>
        <v>14000</v>
      </c>
      <c r="Q144">
        <f t="shared" si="8"/>
        <v>580.00000000000182</v>
      </c>
      <c r="R144" t="s">
        <v>44</v>
      </c>
      <c r="S144" t="s">
        <v>52</v>
      </c>
    </row>
    <row r="145" spans="1:19" ht="18" x14ac:dyDescent="0.5">
      <c r="A145" t="s">
        <v>215</v>
      </c>
      <c r="B145" t="s">
        <v>1214</v>
      </c>
      <c r="C145" s="6">
        <v>45766</v>
      </c>
      <c r="D145" t="s">
        <v>59</v>
      </c>
      <c r="E145" t="s">
        <v>2076</v>
      </c>
      <c r="F145" t="str">
        <f>_xlfn.XLOOKUP(E145,Table8[City],Table8[State])</f>
        <v>Tamil Nadu</v>
      </c>
      <c r="G145" t="str">
        <f>_xlfn.XLOOKUP(E145,Table8[City],Table8[Region])</f>
        <v>South</v>
      </c>
      <c r="H145" t="s">
        <v>26</v>
      </c>
      <c r="I145" t="str">
        <f>_xlfn.XLOOKUP(H145,Table6[Product],Table6[Category])</f>
        <v>Office</v>
      </c>
      <c r="J145" t="s">
        <v>56</v>
      </c>
      <c r="K145">
        <v>7</v>
      </c>
      <c r="L145">
        <f>_xlfn.XLOOKUP(H145,Table6[Product],Table6[Unit Price])</f>
        <v>15000</v>
      </c>
      <c r="M145">
        <f>_xlfn.XLOOKUP(H145,Table6[Product],Table6[Cost Price])</f>
        <v>11500</v>
      </c>
      <c r="N145" s="7">
        <v>0.27</v>
      </c>
      <c r="O145">
        <f t="shared" si="6"/>
        <v>76650</v>
      </c>
      <c r="P145">
        <f t="shared" si="7"/>
        <v>80500</v>
      </c>
      <c r="Q145">
        <f t="shared" si="8"/>
        <v>-3850</v>
      </c>
      <c r="R145" t="s">
        <v>43</v>
      </c>
      <c r="S145" t="s">
        <v>49</v>
      </c>
    </row>
    <row r="146" spans="1:19" ht="18" x14ac:dyDescent="0.5">
      <c r="A146" t="s">
        <v>216</v>
      </c>
      <c r="B146" t="s">
        <v>1215</v>
      </c>
      <c r="C146" s="6">
        <v>45812</v>
      </c>
      <c r="D146" t="s">
        <v>2095</v>
      </c>
      <c r="E146" t="s">
        <v>2080</v>
      </c>
      <c r="F146" t="str">
        <f>_xlfn.XLOOKUP(E146,Table8[City],Table8[State])</f>
        <v>Gujarat</v>
      </c>
      <c r="G146" t="str">
        <f>_xlfn.XLOOKUP(E146,Table8[City],Table8[Region])</f>
        <v>West</v>
      </c>
      <c r="H146" t="s">
        <v>22</v>
      </c>
      <c r="I146" t="str">
        <f>_xlfn.XLOOKUP(H146,Table6[Product],Table6[Category])</f>
        <v>Wearables</v>
      </c>
      <c r="J146" t="s">
        <v>58</v>
      </c>
      <c r="K146">
        <v>6</v>
      </c>
      <c r="L146">
        <f>_xlfn.XLOOKUP(H146,Table6[Product],Table6[Unit Price])</f>
        <v>12000</v>
      </c>
      <c r="M146">
        <f>_xlfn.XLOOKUP(H146,Table6[Product],Table6[Cost Price])</f>
        <v>8500</v>
      </c>
      <c r="N146" s="7">
        <v>0.15</v>
      </c>
      <c r="O146">
        <f t="shared" si="6"/>
        <v>61200</v>
      </c>
      <c r="P146">
        <f t="shared" si="7"/>
        <v>51000</v>
      </c>
      <c r="Q146">
        <f t="shared" si="8"/>
        <v>10200</v>
      </c>
      <c r="R146" t="s">
        <v>45</v>
      </c>
      <c r="S146" t="s">
        <v>49</v>
      </c>
    </row>
    <row r="147" spans="1:19" ht="18" x14ac:dyDescent="0.5">
      <c r="A147" t="s">
        <v>217</v>
      </c>
      <c r="B147" t="s">
        <v>1216</v>
      </c>
      <c r="C147" s="6">
        <v>45387</v>
      </c>
      <c r="D147" t="s">
        <v>2095</v>
      </c>
      <c r="E147" t="s">
        <v>2076</v>
      </c>
      <c r="F147" t="str">
        <f>_xlfn.XLOOKUP(E147,Table8[City],Table8[State])</f>
        <v>Tamil Nadu</v>
      </c>
      <c r="G147" t="str">
        <f>_xlfn.XLOOKUP(E147,Table8[City],Table8[Region])</f>
        <v>South</v>
      </c>
      <c r="H147" t="s">
        <v>19</v>
      </c>
      <c r="I147" t="str">
        <f>_xlfn.XLOOKUP(H147,Table6[Product],Table6[Category])</f>
        <v>Electronics</v>
      </c>
      <c r="J147" t="s">
        <v>63</v>
      </c>
      <c r="K147">
        <v>3</v>
      </c>
      <c r="L147">
        <f>_xlfn.XLOOKUP(H147,Table6[Product],Table6[Unit Price])</f>
        <v>25000</v>
      </c>
      <c r="M147">
        <f>_xlfn.XLOOKUP(H147,Table6[Product],Table6[Cost Price])</f>
        <v>20000</v>
      </c>
      <c r="N147" s="7">
        <v>0.19</v>
      </c>
      <c r="O147">
        <f t="shared" si="6"/>
        <v>60750.000000000007</v>
      </c>
      <c r="P147">
        <f t="shared" si="7"/>
        <v>60000</v>
      </c>
      <c r="Q147">
        <f t="shared" si="8"/>
        <v>750.00000000000728</v>
      </c>
      <c r="R147" t="s">
        <v>45</v>
      </c>
      <c r="S147" t="s">
        <v>49</v>
      </c>
    </row>
    <row r="148" spans="1:19" ht="18" x14ac:dyDescent="0.5">
      <c r="A148" t="s">
        <v>218</v>
      </c>
      <c r="B148" t="s">
        <v>1217</v>
      </c>
      <c r="C148" s="6">
        <v>45432</v>
      </c>
      <c r="D148" t="s">
        <v>2097</v>
      </c>
      <c r="E148" t="s">
        <v>2079</v>
      </c>
      <c r="F148" t="str">
        <f>_xlfn.XLOOKUP(E148,Table8[City],Table8[State])</f>
        <v>Gujarat</v>
      </c>
      <c r="G148" t="str">
        <f>_xlfn.XLOOKUP(E148,Table8[City],Table8[Region])</f>
        <v>West</v>
      </c>
      <c r="H148" t="s">
        <v>26</v>
      </c>
      <c r="I148" t="str">
        <f>_xlfn.XLOOKUP(H148,Table6[Product],Table6[Category])</f>
        <v>Office</v>
      </c>
      <c r="J148" t="s">
        <v>62</v>
      </c>
      <c r="K148">
        <v>2</v>
      </c>
      <c r="L148">
        <f>_xlfn.XLOOKUP(H148,Table6[Product],Table6[Unit Price])</f>
        <v>15000</v>
      </c>
      <c r="M148">
        <f>_xlfn.XLOOKUP(H148,Table6[Product],Table6[Cost Price])</f>
        <v>11500</v>
      </c>
      <c r="N148" s="7">
        <v>0.11</v>
      </c>
      <c r="O148">
        <f t="shared" si="6"/>
        <v>26700</v>
      </c>
      <c r="P148">
        <f t="shared" si="7"/>
        <v>23000</v>
      </c>
      <c r="Q148">
        <f t="shared" si="8"/>
        <v>3700</v>
      </c>
      <c r="R148" t="s">
        <v>47</v>
      </c>
      <c r="S148" t="s">
        <v>49</v>
      </c>
    </row>
    <row r="149" spans="1:19" ht="18" x14ac:dyDescent="0.5">
      <c r="A149" t="s">
        <v>219</v>
      </c>
      <c r="B149" t="s">
        <v>1218</v>
      </c>
      <c r="C149" s="6">
        <v>45961</v>
      </c>
      <c r="D149" t="s">
        <v>2096</v>
      </c>
      <c r="E149" t="s">
        <v>2077</v>
      </c>
      <c r="F149" t="str">
        <f>_xlfn.XLOOKUP(E149,Table8[City],Table8[State])</f>
        <v>Telangana</v>
      </c>
      <c r="G149" t="str">
        <f>_xlfn.XLOOKUP(E149,Table8[City],Table8[Region])</f>
        <v>South</v>
      </c>
      <c r="H149" t="s">
        <v>29</v>
      </c>
      <c r="I149" t="str">
        <f>_xlfn.XLOOKUP(H149,Table6[Product],Table6[Category])</f>
        <v>Electronics</v>
      </c>
      <c r="J149" t="s">
        <v>57</v>
      </c>
      <c r="K149">
        <v>1</v>
      </c>
      <c r="L149">
        <f>_xlfn.XLOOKUP(H149,Table6[Product],Table6[Unit Price])</f>
        <v>5000</v>
      </c>
      <c r="M149">
        <f>_xlfn.XLOOKUP(H149,Table6[Product],Table6[Cost Price])</f>
        <v>3200</v>
      </c>
      <c r="N149" s="7">
        <v>0.16</v>
      </c>
      <c r="O149">
        <f t="shared" si="6"/>
        <v>4200</v>
      </c>
      <c r="P149">
        <f t="shared" si="7"/>
        <v>3200</v>
      </c>
      <c r="Q149">
        <f t="shared" si="8"/>
        <v>1000</v>
      </c>
      <c r="R149" t="s">
        <v>43</v>
      </c>
      <c r="S149" t="s">
        <v>50</v>
      </c>
    </row>
    <row r="150" spans="1:19" ht="18" x14ac:dyDescent="0.5">
      <c r="A150" t="s">
        <v>220</v>
      </c>
      <c r="B150" t="s">
        <v>1219</v>
      </c>
      <c r="C150" s="6">
        <v>45440</v>
      </c>
      <c r="D150" t="s">
        <v>2090</v>
      </c>
      <c r="E150" t="s">
        <v>2075</v>
      </c>
      <c r="F150" t="str">
        <f>_xlfn.XLOOKUP(E150,Table8[City],Table8[State])</f>
        <v>Tamil Nadu</v>
      </c>
      <c r="G150" t="str">
        <f>_xlfn.XLOOKUP(E150,Table8[City],Table8[Region])</f>
        <v>South</v>
      </c>
      <c r="H150" t="s">
        <v>20</v>
      </c>
      <c r="I150" t="str">
        <f>_xlfn.XLOOKUP(H150,Table6[Product],Table6[Category])</f>
        <v>Accessories</v>
      </c>
      <c r="J150" t="s">
        <v>63</v>
      </c>
      <c r="K150">
        <v>4</v>
      </c>
      <c r="L150">
        <f>_xlfn.XLOOKUP(H150,Table6[Product],Table6[Unit Price])</f>
        <v>3000</v>
      </c>
      <c r="M150">
        <f>_xlfn.XLOOKUP(H150,Table6[Product],Table6[Cost Price])</f>
        <v>1800</v>
      </c>
      <c r="N150" s="7">
        <v>0.22</v>
      </c>
      <c r="O150">
        <f t="shared" si="6"/>
        <v>9360</v>
      </c>
      <c r="P150">
        <f t="shared" si="7"/>
        <v>7200</v>
      </c>
      <c r="Q150">
        <f t="shared" si="8"/>
        <v>2160</v>
      </c>
      <c r="R150" t="s">
        <v>43</v>
      </c>
      <c r="S150" t="s">
        <v>52</v>
      </c>
    </row>
    <row r="151" spans="1:19" ht="18" x14ac:dyDescent="0.5">
      <c r="A151" t="s">
        <v>221</v>
      </c>
      <c r="B151" t="s">
        <v>1220</v>
      </c>
      <c r="C151" s="6">
        <v>45961</v>
      </c>
      <c r="D151" t="s">
        <v>2095</v>
      </c>
      <c r="E151" t="s">
        <v>2076</v>
      </c>
      <c r="F151" t="str">
        <f>_xlfn.XLOOKUP(E151,Table8[City],Table8[State])</f>
        <v>Tamil Nadu</v>
      </c>
      <c r="G151" t="str">
        <f>_xlfn.XLOOKUP(E151,Table8[City],Table8[Region])</f>
        <v>South</v>
      </c>
      <c r="H151" t="s">
        <v>26</v>
      </c>
      <c r="I151" t="str">
        <f>_xlfn.XLOOKUP(H151,Table6[Product],Table6[Category])</f>
        <v>Office</v>
      </c>
      <c r="J151" t="s">
        <v>55</v>
      </c>
      <c r="K151">
        <v>3</v>
      </c>
      <c r="L151">
        <f>_xlfn.XLOOKUP(H151,Table6[Product],Table6[Unit Price])</f>
        <v>15000</v>
      </c>
      <c r="M151">
        <f>_xlfn.XLOOKUP(H151,Table6[Product],Table6[Cost Price])</f>
        <v>11500</v>
      </c>
      <c r="N151" s="7">
        <v>0.28000000000000003</v>
      </c>
      <c r="O151">
        <f t="shared" si="6"/>
        <v>32400</v>
      </c>
      <c r="P151">
        <f t="shared" si="7"/>
        <v>34500</v>
      </c>
      <c r="Q151">
        <f t="shared" si="8"/>
        <v>-2100</v>
      </c>
      <c r="R151" t="s">
        <v>44</v>
      </c>
      <c r="S151" t="s">
        <v>51</v>
      </c>
    </row>
    <row r="152" spans="1:19" ht="18" x14ac:dyDescent="0.5">
      <c r="A152" t="s">
        <v>222</v>
      </c>
      <c r="B152" t="s">
        <v>1221</v>
      </c>
      <c r="C152" s="6">
        <v>45356</v>
      </c>
      <c r="D152" t="s">
        <v>2088</v>
      </c>
      <c r="E152" t="s">
        <v>2074</v>
      </c>
      <c r="F152" t="str">
        <f>_xlfn.XLOOKUP(E152,Table8[City],Table8[State])</f>
        <v>Maharashtra</v>
      </c>
      <c r="G152" t="str">
        <f>_xlfn.XLOOKUP(E152,Table8[City],Table8[Region])</f>
        <v>West</v>
      </c>
      <c r="H152" t="s">
        <v>18</v>
      </c>
      <c r="I152" t="str">
        <f>_xlfn.XLOOKUP(H152,Table6[Product],Table6[Category])</f>
        <v>Electronics</v>
      </c>
      <c r="J152" t="s">
        <v>54</v>
      </c>
      <c r="K152">
        <v>8</v>
      </c>
      <c r="L152">
        <f>_xlfn.XLOOKUP(H152,Table6[Product],Table6[Unit Price])</f>
        <v>35000</v>
      </c>
      <c r="M152">
        <f>_xlfn.XLOOKUP(H152,Table6[Product],Table6[Cost Price])</f>
        <v>28000</v>
      </c>
      <c r="N152" s="7">
        <v>0.27</v>
      </c>
      <c r="O152">
        <f t="shared" si="6"/>
        <v>204400</v>
      </c>
      <c r="P152">
        <f t="shared" si="7"/>
        <v>224000</v>
      </c>
      <c r="Q152">
        <f t="shared" si="8"/>
        <v>-19600</v>
      </c>
      <c r="R152" t="s">
        <v>43</v>
      </c>
      <c r="S152" t="s">
        <v>51</v>
      </c>
    </row>
    <row r="153" spans="1:19" ht="18" x14ac:dyDescent="0.5">
      <c r="A153" t="s">
        <v>223</v>
      </c>
      <c r="B153" t="s">
        <v>1222</v>
      </c>
      <c r="C153" s="6">
        <v>45465</v>
      </c>
      <c r="D153" t="s">
        <v>2092</v>
      </c>
      <c r="E153" t="s">
        <v>70</v>
      </c>
      <c r="F153" t="str">
        <f>_xlfn.XLOOKUP(E153,Table8[City],Table8[State])</f>
        <v>Karnataka</v>
      </c>
      <c r="G153" t="str">
        <f>_xlfn.XLOOKUP(E153,Table8[City],Table8[Region])</f>
        <v>South</v>
      </c>
      <c r="H153" t="s">
        <v>16</v>
      </c>
      <c r="I153" t="str">
        <f>_xlfn.XLOOKUP(H153,Table6[Product],Table6[Category])</f>
        <v>Electronics</v>
      </c>
      <c r="J153" t="s">
        <v>62</v>
      </c>
      <c r="K153">
        <v>2</v>
      </c>
      <c r="L153">
        <f>_xlfn.XLOOKUP(H153,Table6[Product],Table6[Unit Price])</f>
        <v>65000</v>
      </c>
      <c r="M153">
        <f>_xlfn.XLOOKUP(H153,Table6[Product],Table6[Cost Price])</f>
        <v>52000</v>
      </c>
      <c r="N153" s="7">
        <v>0.03</v>
      </c>
      <c r="O153">
        <f t="shared" si="6"/>
        <v>126100</v>
      </c>
      <c r="P153">
        <f t="shared" si="7"/>
        <v>104000</v>
      </c>
      <c r="Q153">
        <f t="shared" si="8"/>
        <v>22100</v>
      </c>
      <c r="R153" t="s">
        <v>43</v>
      </c>
      <c r="S153" t="s">
        <v>51</v>
      </c>
    </row>
    <row r="154" spans="1:19" ht="18" x14ac:dyDescent="0.5">
      <c r="A154" t="s">
        <v>224</v>
      </c>
      <c r="B154" t="s">
        <v>1223</v>
      </c>
      <c r="C154" s="6">
        <v>45986</v>
      </c>
      <c r="D154" t="s">
        <v>2089</v>
      </c>
      <c r="E154" t="s">
        <v>2073</v>
      </c>
      <c r="F154" t="str">
        <f>_xlfn.XLOOKUP(E154,Table8[City],Table8[State])</f>
        <v>Maharashtra</v>
      </c>
      <c r="G154" t="str">
        <f>_xlfn.XLOOKUP(E154,Table8[City],Table8[Region])</f>
        <v>West</v>
      </c>
      <c r="H154" t="s">
        <v>19</v>
      </c>
      <c r="I154" t="str">
        <f>_xlfn.XLOOKUP(H154,Table6[Product],Table6[Category])</f>
        <v>Electronics</v>
      </c>
      <c r="J154" t="s">
        <v>63</v>
      </c>
      <c r="K154">
        <v>9</v>
      </c>
      <c r="L154">
        <f>_xlfn.XLOOKUP(H154,Table6[Product],Table6[Unit Price])</f>
        <v>25000</v>
      </c>
      <c r="M154">
        <f>_xlfn.XLOOKUP(H154,Table6[Product],Table6[Cost Price])</f>
        <v>20000</v>
      </c>
      <c r="N154" s="7">
        <v>0.08</v>
      </c>
      <c r="O154">
        <f t="shared" si="6"/>
        <v>207000</v>
      </c>
      <c r="P154">
        <f t="shared" si="7"/>
        <v>180000</v>
      </c>
      <c r="Q154">
        <f t="shared" si="8"/>
        <v>27000</v>
      </c>
      <c r="R154" t="s">
        <v>45</v>
      </c>
      <c r="S154" t="s">
        <v>51</v>
      </c>
    </row>
    <row r="155" spans="1:19" ht="18" x14ac:dyDescent="0.5">
      <c r="A155" t="s">
        <v>225</v>
      </c>
      <c r="B155" t="s">
        <v>1224</v>
      </c>
      <c r="C155" s="6">
        <v>45839</v>
      </c>
      <c r="D155" t="s">
        <v>2089</v>
      </c>
      <c r="E155" t="s">
        <v>2106</v>
      </c>
      <c r="F155" t="str">
        <f>_xlfn.XLOOKUP(E155,Table8[City],Table8[State])</f>
        <v>West Bengal</v>
      </c>
      <c r="G155" t="str">
        <f>_xlfn.XLOOKUP(E155,Table8[City],Table8[Region])</f>
        <v>East</v>
      </c>
      <c r="H155" t="s">
        <v>20</v>
      </c>
      <c r="I155" t="str">
        <f>_xlfn.XLOOKUP(H155,Table6[Product],Table6[Category])</f>
        <v>Accessories</v>
      </c>
      <c r="J155" t="s">
        <v>60</v>
      </c>
      <c r="K155">
        <v>3</v>
      </c>
      <c r="L155">
        <f>_xlfn.XLOOKUP(H155,Table6[Product],Table6[Unit Price])</f>
        <v>3000</v>
      </c>
      <c r="M155">
        <f>_xlfn.XLOOKUP(H155,Table6[Product],Table6[Cost Price])</f>
        <v>1800</v>
      </c>
      <c r="N155" s="7">
        <v>0.22</v>
      </c>
      <c r="O155">
        <f t="shared" si="6"/>
        <v>7020</v>
      </c>
      <c r="P155">
        <f t="shared" si="7"/>
        <v>5400</v>
      </c>
      <c r="Q155">
        <f t="shared" si="8"/>
        <v>1620</v>
      </c>
      <c r="R155" t="s">
        <v>45</v>
      </c>
      <c r="S155" t="s">
        <v>50</v>
      </c>
    </row>
    <row r="156" spans="1:19" ht="18" x14ac:dyDescent="0.5">
      <c r="A156" t="s">
        <v>226</v>
      </c>
      <c r="B156" t="s">
        <v>1225</v>
      </c>
      <c r="C156" s="6">
        <v>45935</v>
      </c>
      <c r="D156" t="s">
        <v>69</v>
      </c>
      <c r="E156" t="s">
        <v>2075</v>
      </c>
      <c r="F156" t="str">
        <f>_xlfn.XLOOKUP(E156,Table8[City],Table8[State])</f>
        <v>Tamil Nadu</v>
      </c>
      <c r="G156" t="str">
        <f>_xlfn.XLOOKUP(E156,Table8[City],Table8[Region])</f>
        <v>South</v>
      </c>
      <c r="H156" t="s">
        <v>22</v>
      </c>
      <c r="I156" t="str">
        <f>_xlfn.XLOOKUP(H156,Table6[Product],Table6[Category])</f>
        <v>Wearables</v>
      </c>
      <c r="J156" t="s">
        <v>57</v>
      </c>
      <c r="K156">
        <v>5</v>
      </c>
      <c r="L156">
        <f>_xlfn.XLOOKUP(H156,Table6[Product],Table6[Unit Price])</f>
        <v>12000</v>
      </c>
      <c r="M156">
        <f>_xlfn.XLOOKUP(H156,Table6[Product],Table6[Cost Price])</f>
        <v>8500</v>
      </c>
      <c r="N156" s="7">
        <v>0.13</v>
      </c>
      <c r="O156">
        <f t="shared" si="6"/>
        <v>52200</v>
      </c>
      <c r="P156">
        <f t="shared" si="7"/>
        <v>42500</v>
      </c>
      <c r="Q156">
        <f t="shared" si="8"/>
        <v>9700</v>
      </c>
      <c r="R156" t="s">
        <v>44</v>
      </c>
      <c r="S156" t="s">
        <v>51</v>
      </c>
    </row>
    <row r="157" spans="1:19" ht="18" x14ac:dyDescent="0.5">
      <c r="A157" t="s">
        <v>227</v>
      </c>
      <c r="B157" t="s">
        <v>1226</v>
      </c>
      <c r="C157" s="6">
        <v>45931</v>
      </c>
      <c r="D157" t="s">
        <v>2089</v>
      </c>
      <c r="E157" t="s">
        <v>2074</v>
      </c>
      <c r="F157" t="str">
        <f>_xlfn.XLOOKUP(E157,Table8[City],Table8[State])</f>
        <v>Maharashtra</v>
      </c>
      <c r="G157" t="str">
        <f>_xlfn.XLOOKUP(E157,Table8[City],Table8[Region])</f>
        <v>West</v>
      </c>
      <c r="H157" t="s">
        <v>26</v>
      </c>
      <c r="I157" t="str">
        <f>_xlfn.XLOOKUP(H157,Table6[Product],Table6[Category])</f>
        <v>Office</v>
      </c>
      <c r="J157" t="s">
        <v>61</v>
      </c>
      <c r="K157">
        <v>3</v>
      </c>
      <c r="L157">
        <f>_xlfn.XLOOKUP(H157,Table6[Product],Table6[Unit Price])</f>
        <v>15000</v>
      </c>
      <c r="M157">
        <f>_xlfn.XLOOKUP(H157,Table6[Product],Table6[Cost Price])</f>
        <v>11500</v>
      </c>
      <c r="N157" s="7">
        <v>0.2</v>
      </c>
      <c r="O157">
        <f t="shared" si="6"/>
        <v>36000</v>
      </c>
      <c r="P157">
        <f t="shared" si="7"/>
        <v>34500</v>
      </c>
      <c r="Q157">
        <f t="shared" si="8"/>
        <v>1500</v>
      </c>
      <c r="R157" t="s">
        <v>47</v>
      </c>
      <c r="S157" t="s">
        <v>49</v>
      </c>
    </row>
    <row r="158" spans="1:19" ht="18" x14ac:dyDescent="0.5">
      <c r="A158" t="s">
        <v>228</v>
      </c>
      <c r="B158" t="s">
        <v>1227</v>
      </c>
      <c r="C158" s="6">
        <v>45796</v>
      </c>
      <c r="D158" t="s">
        <v>2098</v>
      </c>
      <c r="E158" t="s">
        <v>70</v>
      </c>
      <c r="F158" t="str">
        <f>_xlfn.XLOOKUP(E158,Table8[City],Table8[State])</f>
        <v>Karnataka</v>
      </c>
      <c r="G158" t="str">
        <f>_xlfn.XLOOKUP(E158,Table8[City],Table8[Region])</f>
        <v>South</v>
      </c>
      <c r="H158" t="s">
        <v>16</v>
      </c>
      <c r="I158" t="str">
        <f>_xlfn.XLOOKUP(H158,Table6[Product],Table6[Category])</f>
        <v>Electronics</v>
      </c>
      <c r="J158" t="s">
        <v>56</v>
      </c>
      <c r="K158">
        <v>9</v>
      </c>
      <c r="L158">
        <f>_xlfn.XLOOKUP(H158,Table6[Product],Table6[Unit Price])</f>
        <v>65000</v>
      </c>
      <c r="M158">
        <f>_xlfn.XLOOKUP(H158,Table6[Product],Table6[Cost Price])</f>
        <v>52000</v>
      </c>
      <c r="N158" s="7">
        <v>0</v>
      </c>
      <c r="O158">
        <f t="shared" si="6"/>
        <v>585000</v>
      </c>
      <c r="P158">
        <f t="shared" si="7"/>
        <v>468000</v>
      </c>
      <c r="Q158">
        <f t="shared" si="8"/>
        <v>117000</v>
      </c>
      <c r="R158" t="s">
        <v>45</v>
      </c>
      <c r="S158" t="s">
        <v>49</v>
      </c>
    </row>
    <row r="159" spans="1:19" ht="18" x14ac:dyDescent="0.5">
      <c r="A159" t="s">
        <v>229</v>
      </c>
      <c r="B159" t="s">
        <v>1228</v>
      </c>
      <c r="C159" s="6">
        <v>45965</v>
      </c>
      <c r="D159" t="s">
        <v>2095</v>
      </c>
      <c r="E159" t="s">
        <v>2077</v>
      </c>
      <c r="F159" t="str">
        <f>_xlfn.XLOOKUP(E159,Table8[City],Table8[State])</f>
        <v>Telangana</v>
      </c>
      <c r="G159" t="str">
        <f>_xlfn.XLOOKUP(E159,Table8[City],Table8[Region])</f>
        <v>South</v>
      </c>
      <c r="H159" t="s">
        <v>18</v>
      </c>
      <c r="I159" t="str">
        <f>_xlfn.XLOOKUP(H159,Table6[Product],Table6[Category])</f>
        <v>Electronics</v>
      </c>
      <c r="J159" t="s">
        <v>55</v>
      </c>
      <c r="K159">
        <v>10</v>
      </c>
      <c r="L159">
        <f>_xlfn.XLOOKUP(H159,Table6[Product],Table6[Unit Price])</f>
        <v>35000</v>
      </c>
      <c r="M159">
        <f>_xlfn.XLOOKUP(H159,Table6[Product],Table6[Cost Price])</f>
        <v>28000</v>
      </c>
      <c r="N159" s="7">
        <v>0.01</v>
      </c>
      <c r="O159">
        <f t="shared" si="6"/>
        <v>346500</v>
      </c>
      <c r="P159">
        <f t="shared" si="7"/>
        <v>280000</v>
      </c>
      <c r="Q159">
        <f t="shared" si="8"/>
        <v>66500</v>
      </c>
      <c r="R159" t="s">
        <v>45</v>
      </c>
      <c r="S159" t="s">
        <v>50</v>
      </c>
    </row>
    <row r="160" spans="1:19" ht="18" x14ac:dyDescent="0.5">
      <c r="A160" t="s">
        <v>230</v>
      </c>
      <c r="B160" t="s">
        <v>1229</v>
      </c>
      <c r="C160" s="6">
        <v>46022</v>
      </c>
      <c r="D160" t="s">
        <v>2097</v>
      </c>
      <c r="E160" t="s">
        <v>2075</v>
      </c>
      <c r="F160" t="str">
        <f>_xlfn.XLOOKUP(E160,Table8[City],Table8[State])</f>
        <v>Tamil Nadu</v>
      </c>
      <c r="G160" t="str">
        <f>_xlfn.XLOOKUP(E160,Table8[City],Table8[Region])</f>
        <v>South</v>
      </c>
      <c r="H160" t="s">
        <v>26</v>
      </c>
      <c r="I160" t="str">
        <f>_xlfn.XLOOKUP(H160,Table6[Product],Table6[Category])</f>
        <v>Office</v>
      </c>
      <c r="J160" t="s">
        <v>59</v>
      </c>
      <c r="K160">
        <v>8</v>
      </c>
      <c r="L160">
        <f>_xlfn.XLOOKUP(H160,Table6[Product],Table6[Unit Price])</f>
        <v>15000</v>
      </c>
      <c r="M160">
        <f>_xlfn.XLOOKUP(H160,Table6[Product],Table6[Cost Price])</f>
        <v>11500</v>
      </c>
      <c r="N160" s="7">
        <v>0.02</v>
      </c>
      <c r="O160">
        <f t="shared" si="6"/>
        <v>117600</v>
      </c>
      <c r="P160">
        <f t="shared" si="7"/>
        <v>92000</v>
      </c>
      <c r="Q160">
        <f t="shared" si="8"/>
        <v>25600</v>
      </c>
      <c r="R160" t="s">
        <v>47</v>
      </c>
      <c r="S160" t="s">
        <v>52</v>
      </c>
    </row>
    <row r="161" spans="1:19" ht="18" x14ac:dyDescent="0.5">
      <c r="A161" t="s">
        <v>231</v>
      </c>
      <c r="B161" t="s">
        <v>1230</v>
      </c>
      <c r="C161" s="6">
        <v>45743</v>
      </c>
      <c r="D161" t="s">
        <v>2092</v>
      </c>
      <c r="E161" t="s">
        <v>2105</v>
      </c>
      <c r="F161" t="str">
        <f>_xlfn.XLOOKUP(E161,Table8[City],Table8[State])</f>
        <v>Rajasthan</v>
      </c>
      <c r="G161" t="str">
        <f>_xlfn.XLOOKUP(E161,Table8[City],Table8[Region])</f>
        <v>North</v>
      </c>
      <c r="H161" t="s">
        <v>20</v>
      </c>
      <c r="I161" t="str">
        <f>_xlfn.XLOOKUP(H161,Table6[Product],Table6[Category])</f>
        <v>Accessories</v>
      </c>
      <c r="J161" t="s">
        <v>54</v>
      </c>
      <c r="K161">
        <v>5</v>
      </c>
      <c r="L161">
        <f>_xlfn.XLOOKUP(H161,Table6[Product],Table6[Unit Price])</f>
        <v>3000</v>
      </c>
      <c r="M161">
        <f>_xlfn.XLOOKUP(H161,Table6[Product],Table6[Cost Price])</f>
        <v>1800</v>
      </c>
      <c r="N161" s="7">
        <v>0.02</v>
      </c>
      <c r="O161">
        <f t="shared" si="6"/>
        <v>14700</v>
      </c>
      <c r="P161">
        <f t="shared" si="7"/>
        <v>9000</v>
      </c>
      <c r="Q161">
        <f t="shared" si="8"/>
        <v>5700</v>
      </c>
      <c r="R161" t="s">
        <v>46</v>
      </c>
      <c r="S161" t="s">
        <v>49</v>
      </c>
    </row>
    <row r="162" spans="1:19" ht="18" x14ac:dyDescent="0.5">
      <c r="A162" t="s">
        <v>232</v>
      </c>
      <c r="B162" t="s">
        <v>1231</v>
      </c>
      <c r="C162" s="6">
        <v>45697</v>
      </c>
      <c r="D162" t="s">
        <v>59</v>
      </c>
      <c r="E162" t="s">
        <v>2073</v>
      </c>
      <c r="F162" t="str">
        <f>_xlfn.XLOOKUP(E162,Table8[City],Table8[State])</f>
        <v>Maharashtra</v>
      </c>
      <c r="G162" t="str">
        <f>_xlfn.XLOOKUP(E162,Table8[City],Table8[Region])</f>
        <v>West</v>
      </c>
      <c r="H162" t="s">
        <v>24</v>
      </c>
      <c r="I162" t="str">
        <f>_xlfn.XLOOKUP(H162,Table6[Product],Table6[Category])</f>
        <v>Accessories</v>
      </c>
      <c r="J162" t="s">
        <v>60</v>
      </c>
      <c r="K162">
        <v>3</v>
      </c>
      <c r="L162">
        <f>_xlfn.XLOOKUP(H162,Table6[Product],Table6[Unit Price])</f>
        <v>1500</v>
      </c>
      <c r="M162">
        <f>_xlfn.XLOOKUP(H162,Table6[Product],Table6[Cost Price])</f>
        <v>900</v>
      </c>
      <c r="N162" s="7">
        <v>0.19</v>
      </c>
      <c r="O162">
        <f t="shared" si="6"/>
        <v>3645.0000000000005</v>
      </c>
      <c r="P162">
        <f t="shared" si="7"/>
        <v>2700</v>
      </c>
      <c r="Q162">
        <f t="shared" si="8"/>
        <v>945.00000000000045</v>
      </c>
      <c r="R162" t="s">
        <v>47</v>
      </c>
      <c r="S162" t="s">
        <v>52</v>
      </c>
    </row>
    <row r="163" spans="1:19" ht="18" x14ac:dyDescent="0.5">
      <c r="A163" t="s">
        <v>233</v>
      </c>
      <c r="B163" t="s">
        <v>1232</v>
      </c>
      <c r="C163" s="6">
        <v>45845</v>
      </c>
      <c r="D163" t="s">
        <v>2090</v>
      </c>
      <c r="E163" t="s">
        <v>2076</v>
      </c>
      <c r="F163" t="str">
        <f>_xlfn.XLOOKUP(E163,Table8[City],Table8[State])</f>
        <v>Tamil Nadu</v>
      </c>
      <c r="G163" t="str">
        <f>_xlfn.XLOOKUP(E163,Table8[City],Table8[Region])</f>
        <v>South</v>
      </c>
      <c r="H163" t="s">
        <v>25</v>
      </c>
      <c r="I163" t="str">
        <f>_xlfn.XLOOKUP(H163,Table6[Product],Table6[Category])</f>
        <v>Accessories</v>
      </c>
      <c r="J163" t="s">
        <v>61</v>
      </c>
      <c r="K163">
        <v>8</v>
      </c>
      <c r="L163">
        <f>_xlfn.XLOOKUP(H163,Table6[Product],Table6[Unit Price])</f>
        <v>800</v>
      </c>
      <c r="M163">
        <f>_xlfn.XLOOKUP(H163,Table6[Product],Table6[Cost Price])</f>
        <v>450</v>
      </c>
      <c r="N163" s="7">
        <v>0.06</v>
      </c>
      <c r="O163">
        <f t="shared" si="6"/>
        <v>6016</v>
      </c>
      <c r="P163">
        <f t="shared" si="7"/>
        <v>3600</v>
      </c>
      <c r="Q163">
        <f t="shared" si="8"/>
        <v>2416</v>
      </c>
      <c r="R163" t="s">
        <v>44</v>
      </c>
      <c r="S163" t="s">
        <v>52</v>
      </c>
    </row>
    <row r="164" spans="1:19" ht="18" x14ac:dyDescent="0.5">
      <c r="A164" t="s">
        <v>234</v>
      </c>
      <c r="B164" t="s">
        <v>1233</v>
      </c>
      <c r="C164" s="6">
        <v>45883</v>
      </c>
      <c r="D164" t="s">
        <v>2088</v>
      </c>
      <c r="E164" t="s">
        <v>2106</v>
      </c>
      <c r="F164" t="str">
        <f>_xlfn.XLOOKUP(E164,Table8[City],Table8[State])</f>
        <v>West Bengal</v>
      </c>
      <c r="G164" t="str">
        <f>_xlfn.XLOOKUP(E164,Table8[City],Table8[Region])</f>
        <v>East</v>
      </c>
      <c r="H164" t="s">
        <v>18</v>
      </c>
      <c r="I164" t="str">
        <f>_xlfn.XLOOKUP(H164,Table6[Product],Table6[Category])</f>
        <v>Electronics</v>
      </c>
      <c r="J164" t="s">
        <v>60</v>
      </c>
      <c r="K164">
        <v>9</v>
      </c>
      <c r="L164">
        <f>_xlfn.XLOOKUP(H164,Table6[Product],Table6[Unit Price])</f>
        <v>35000</v>
      </c>
      <c r="M164">
        <f>_xlfn.XLOOKUP(H164,Table6[Product],Table6[Cost Price])</f>
        <v>28000</v>
      </c>
      <c r="N164" s="7">
        <v>0.1</v>
      </c>
      <c r="O164">
        <f t="shared" si="6"/>
        <v>283500</v>
      </c>
      <c r="P164">
        <f t="shared" si="7"/>
        <v>252000</v>
      </c>
      <c r="Q164">
        <f t="shared" si="8"/>
        <v>31500</v>
      </c>
      <c r="R164" t="s">
        <v>44</v>
      </c>
      <c r="S164" t="s">
        <v>49</v>
      </c>
    </row>
    <row r="165" spans="1:19" ht="18" x14ac:dyDescent="0.5">
      <c r="A165" t="s">
        <v>235</v>
      </c>
      <c r="B165" t="s">
        <v>1234</v>
      </c>
      <c r="C165" s="6">
        <v>46016</v>
      </c>
      <c r="D165" t="s">
        <v>59</v>
      </c>
      <c r="E165" t="s">
        <v>2080</v>
      </c>
      <c r="F165" t="str">
        <f>_xlfn.XLOOKUP(E165,Table8[City],Table8[State])</f>
        <v>Gujarat</v>
      </c>
      <c r="G165" t="str">
        <f>_xlfn.XLOOKUP(E165,Table8[City],Table8[Region])</f>
        <v>West</v>
      </c>
      <c r="H165" t="s">
        <v>25</v>
      </c>
      <c r="I165" t="str">
        <f>_xlfn.XLOOKUP(H165,Table6[Product],Table6[Category])</f>
        <v>Accessories</v>
      </c>
      <c r="J165" t="s">
        <v>61</v>
      </c>
      <c r="K165">
        <v>5</v>
      </c>
      <c r="L165">
        <f>_xlfn.XLOOKUP(H165,Table6[Product],Table6[Unit Price])</f>
        <v>800</v>
      </c>
      <c r="M165">
        <f>_xlfn.XLOOKUP(H165,Table6[Product],Table6[Cost Price])</f>
        <v>450</v>
      </c>
      <c r="N165" s="7">
        <v>0.13</v>
      </c>
      <c r="O165">
        <f t="shared" si="6"/>
        <v>3480</v>
      </c>
      <c r="P165">
        <f t="shared" si="7"/>
        <v>2250</v>
      </c>
      <c r="Q165">
        <f t="shared" si="8"/>
        <v>1230</v>
      </c>
      <c r="R165" t="s">
        <v>45</v>
      </c>
      <c r="S165" t="s">
        <v>49</v>
      </c>
    </row>
    <row r="166" spans="1:19" ht="18" x14ac:dyDescent="0.5">
      <c r="A166" t="s">
        <v>236</v>
      </c>
      <c r="B166" t="s">
        <v>1235</v>
      </c>
      <c r="C166" s="6">
        <v>45912</v>
      </c>
      <c r="D166" t="s">
        <v>2088</v>
      </c>
      <c r="E166" t="s">
        <v>2080</v>
      </c>
      <c r="F166" t="str">
        <f>_xlfn.XLOOKUP(E166,Table8[City],Table8[State])</f>
        <v>Gujarat</v>
      </c>
      <c r="G166" t="str">
        <f>_xlfn.XLOOKUP(E166,Table8[City],Table8[Region])</f>
        <v>West</v>
      </c>
      <c r="H166" t="s">
        <v>28</v>
      </c>
      <c r="I166" t="str">
        <f>_xlfn.XLOOKUP(H166,Table6[Product],Table6[Category])</f>
        <v>Office</v>
      </c>
      <c r="J166" t="s">
        <v>55</v>
      </c>
      <c r="K166">
        <v>9</v>
      </c>
      <c r="L166">
        <f>_xlfn.XLOOKUP(H166,Table6[Product],Table6[Unit Price])</f>
        <v>18000</v>
      </c>
      <c r="M166">
        <f>_xlfn.XLOOKUP(H166,Table6[Product],Table6[Cost Price])</f>
        <v>14000</v>
      </c>
      <c r="N166" s="7">
        <v>0.05</v>
      </c>
      <c r="O166">
        <f t="shared" si="6"/>
        <v>153900</v>
      </c>
      <c r="P166">
        <f t="shared" si="7"/>
        <v>126000</v>
      </c>
      <c r="Q166">
        <f t="shared" si="8"/>
        <v>27900</v>
      </c>
      <c r="R166" t="s">
        <v>44</v>
      </c>
      <c r="S166" t="s">
        <v>49</v>
      </c>
    </row>
    <row r="167" spans="1:19" ht="18" x14ac:dyDescent="0.5">
      <c r="A167" t="s">
        <v>237</v>
      </c>
      <c r="B167" t="s">
        <v>1236</v>
      </c>
      <c r="C167" s="6">
        <v>45860</v>
      </c>
      <c r="D167" t="s">
        <v>2089</v>
      </c>
      <c r="E167" t="s">
        <v>2075</v>
      </c>
      <c r="F167" t="str">
        <f>_xlfn.XLOOKUP(E167,Table8[City],Table8[State])</f>
        <v>Tamil Nadu</v>
      </c>
      <c r="G167" t="str">
        <f>_xlfn.XLOOKUP(E167,Table8[City],Table8[Region])</f>
        <v>South</v>
      </c>
      <c r="H167" t="s">
        <v>29</v>
      </c>
      <c r="I167" t="str">
        <f>_xlfn.XLOOKUP(H167,Table6[Product],Table6[Category])</f>
        <v>Electronics</v>
      </c>
      <c r="J167" t="s">
        <v>59</v>
      </c>
      <c r="K167">
        <v>10</v>
      </c>
      <c r="L167">
        <f>_xlfn.XLOOKUP(H167,Table6[Product],Table6[Unit Price])</f>
        <v>5000</v>
      </c>
      <c r="M167">
        <f>_xlfn.XLOOKUP(H167,Table6[Product],Table6[Cost Price])</f>
        <v>3200</v>
      </c>
      <c r="N167" s="7">
        <v>0.1</v>
      </c>
      <c r="O167">
        <f t="shared" si="6"/>
        <v>45000</v>
      </c>
      <c r="P167">
        <f t="shared" si="7"/>
        <v>32000</v>
      </c>
      <c r="Q167">
        <f t="shared" si="8"/>
        <v>13000</v>
      </c>
      <c r="R167" t="s">
        <v>44</v>
      </c>
      <c r="S167" t="s">
        <v>52</v>
      </c>
    </row>
    <row r="168" spans="1:19" ht="18" x14ac:dyDescent="0.5">
      <c r="A168" t="s">
        <v>238</v>
      </c>
      <c r="B168" t="s">
        <v>1237</v>
      </c>
      <c r="C168" s="6">
        <v>45305</v>
      </c>
      <c r="D168" t="s">
        <v>2084</v>
      </c>
      <c r="E168" t="s">
        <v>2105</v>
      </c>
      <c r="F168" t="str">
        <f>_xlfn.XLOOKUP(E168,Table8[City],Table8[State])</f>
        <v>Rajasthan</v>
      </c>
      <c r="G168" t="str">
        <f>_xlfn.XLOOKUP(E168,Table8[City],Table8[Region])</f>
        <v>North</v>
      </c>
      <c r="H168" t="s">
        <v>16</v>
      </c>
      <c r="I168" t="str">
        <f>_xlfn.XLOOKUP(H168,Table6[Product],Table6[Category])</f>
        <v>Electronics</v>
      </c>
      <c r="J168" t="s">
        <v>62</v>
      </c>
      <c r="K168">
        <v>8</v>
      </c>
      <c r="L168">
        <f>_xlfn.XLOOKUP(H168,Table6[Product],Table6[Unit Price])</f>
        <v>65000</v>
      </c>
      <c r="M168">
        <f>_xlfn.XLOOKUP(H168,Table6[Product],Table6[Cost Price])</f>
        <v>52000</v>
      </c>
      <c r="N168" s="7">
        <v>0.19</v>
      </c>
      <c r="O168">
        <f t="shared" si="6"/>
        <v>421200</v>
      </c>
      <c r="P168">
        <f t="shared" si="7"/>
        <v>416000</v>
      </c>
      <c r="Q168">
        <f t="shared" si="8"/>
        <v>5200</v>
      </c>
      <c r="R168" t="s">
        <v>47</v>
      </c>
      <c r="S168" t="s">
        <v>50</v>
      </c>
    </row>
    <row r="169" spans="1:19" ht="18" x14ac:dyDescent="0.5">
      <c r="A169" t="s">
        <v>239</v>
      </c>
      <c r="B169" t="s">
        <v>1238</v>
      </c>
      <c r="C169" s="6">
        <v>45984</v>
      </c>
      <c r="D169" t="s">
        <v>2096</v>
      </c>
      <c r="E169" t="s">
        <v>70</v>
      </c>
      <c r="F169" t="str">
        <f>_xlfn.XLOOKUP(E169,Table8[City],Table8[State])</f>
        <v>Karnataka</v>
      </c>
      <c r="G169" t="str">
        <f>_xlfn.XLOOKUP(E169,Table8[City],Table8[Region])</f>
        <v>South</v>
      </c>
      <c r="H169" t="s">
        <v>25</v>
      </c>
      <c r="I169" t="str">
        <f>_xlfn.XLOOKUP(H169,Table6[Product],Table6[Category])</f>
        <v>Accessories</v>
      </c>
      <c r="J169" t="s">
        <v>59</v>
      </c>
      <c r="K169">
        <v>10</v>
      </c>
      <c r="L169">
        <f>_xlfn.XLOOKUP(H169,Table6[Product],Table6[Unit Price])</f>
        <v>800</v>
      </c>
      <c r="M169">
        <f>_xlfn.XLOOKUP(H169,Table6[Product],Table6[Cost Price])</f>
        <v>450</v>
      </c>
      <c r="N169" s="7">
        <v>0.04</v>
      </c>
      <c r="O169">
        <f t="shared" si="6"/>
        <v>7680</v>
      </c>
      <c r="P169">
        <f t="shared" si="7"/>
        <v>4500</v>
      </c>
      <c r="Q169">
        <f t="shared" si="8"/>
        <v>3180</v>
      </c>
      <c r="R169" t="s">
        <v>47</v>
      </c>
      <c r="S169" t="s">
        <v>50</v>
      </c>
    </row>
    <row r="170" spans="1:19" ht="18" x14ac:dyDescent="0.5">
      <c r="A170" t="s">
        <v>240</v>
      </c>
      <c r="B170" t="s">
        <v>1239</v>
      </c>
      <c r="C170" s="6">
        <v>45608</v>
      </c>
      <c r="D170" t="s">
        <v>69</v>
      </c>
      <c r="E170" t="s">
        <v>2076</v>
      </c>
      <c r="F170" t="str">
        <f>_xlfn.XLOOKUP(E170,Table8[City],Table8[State])</f>
        <v>Tamil Nadu</v>
      </c>
      <c r="G170" t="str">
        <f>_xlfn.XLOOKUP(E170,Table8[City],Table8[Region])</f>
        <v>South</v>
      </c>
      <c r="H170" t="s">
        <v>18</v>
      </c>
      <c r="I170" t="str">
        <f>_xlfn.XLOOKUP(H170,Table6[Product],Table6[Category])</f>
        <v>Electronics</v>
      </c>
      <c r="J170" t="s">
        <v>63</v>
      </c>
      <c r="K170">
        <v>9</v>
      </c>
      <c r="L170">
        <f>_xlfn.XLOOKUP(H170,Table6[Product],Table6[Unit Price])</f>
        <v>35000</v>
      </c>
      <c r="M170">
        <f>_xlfn.XLOOKUP(H170,Table6[Product],Table6[Cost Price])</f>
        <v>28000</v>
      </c>
      <c r="N170" s="7">
        <v>0.21</v>
      </c>
      <c r="O170">
        <f t="shared" si="6"/>
        <v>248850</v>
      </c>
      <c r="P170">
        <f t="shared" si="7"/>
        <v>252000</v>
      </c>
      <c r="Q170">
        <f t="shared" si="8"/>
        <v>-3150</v>
      </c>
      <c r="R170" t="s">
        <v>46</v>
      </c>
      <c r="S170" t="s">
        <v>50</v>
      </c>
    </row>
    <row r="171" spans="1:19" ht="18" x14ac:dyDescent="0.5">
      <c r="A171" t="s">
        <v>241</v>
      </c>
      <c r="B171" t="s">
        <v>1240</v>
      </c>
      <c r="C171" s="6">
        <v>45746</v>
      </c>
      <c r="D171" t="s">
        <v>2092</v>
      </c>
      <c r="E171" t="s">
        <v>2073</v>
      </c>
      <c r="F171" t="str">
        <f>_xlfn.XLOOKUP(E171,Table8[City],Table8[State])</f>
        <v>Maharashtra</v>
      </c>
      <c r="G171" t="str">
        <f>_xlfn.XLOOKUP(E171,Table8[City],Table8[Region])</f>
        <v>West</v>
      </c>
      <c r="H171" t="s">
        <v>26</v>
      </c>
      <c r="I171" t="str">
        <f>_xlfn.XLOOKUP(H171,Table6[Product],Table6[Category])</f>
        <v>Office</v>
      </c>
      <c r="J171" t="s">
        <v>57</v>
      </c>
      <c r="K171">
        <v>3</v>
      </c>
      <c r="L171">
        <f>_xlfn.XLOOKUP(H171,Table6[Product],Table6[Unit Price])</f>
        <v>15000</v>
      </c>
      <c r="M171">
        <f>_xlfn.XLOOKUP(H171,Table6[Product],Table6[Cost Price])</f>
        <v>11500</v>
      </c>
      <c r="N171" s="7">
        <v>0.3</v>
      </c>
      <c r="O171">
        <f t="shared" si="6"/>
        <v>31499.999999999996</v>
      </c>
      <c r="P171">
        <f t="shared" si="7"/>
        <v>34500</v>
      </c>
      <c r="Q171">
        <f t="shared" si="8"/>
        <v>-3000.0000000000036</v>
      </c>
      <c r="R171" t="s">
        <v>47</v>
      </c>
      <c r="S171" t="s">
        <v>49</v>
      </c>
    </row>
    <row r="172" spans="1:19" ht="18" x14ac:dyDescent="0.5">
      <c r="A172" t="s">
        <v>242</v>
      </c>
      <c r="B172" t="s">
        <v>1241</v>
      </c>
      <c r="C172" s="6">
        <v>45499</v>
      </c>
      <c r="D172" t="s">
        <v>2083</v>
      </c>
      <c r="E172" t="s">
        <v>2078</v>
      </c>
      <c r="F172" t="str">
        <f>_xlfn.XLOOKUP(E172,Table8[City],Table8[State])</f>
        <v>Telangana</v>
      </c>
      <c r="G172" t="str">
        <f>_xlfn.XLOOKUP(E172,Table8[City],Table8[Region])</f>
        <v>South</v>
      </c>
      <c r="H172" t="s">
        <v>26</v>
      </c>
      <c r="I172" t="str">
        <f>_xlfn.XLOOKUP(H172,Table6[Product],Table6[Category])</f>
        <v>Office</v>
      </c>
      <c r="J172" t="s">
        <v>59</v>
      </c>
      <c r="K172">
        <v>6</v>
      </c>
      <c r="L172">
        <f>_xlfn.XLOOKUP(H172,Table6[Product],Table6[Unit Price])</f>
        <v>15000</v>
      </c>
      <c r="M172">
        <f>_xlfn.XLOOKUP(H172,Table6[Product],Table6[Cost Price])</f>
        <v>11500</v>
      </c>
      <c r="N172" s="7">
        <v>0.24</v>
      </c>
      <c r="O172">
        <f t="shared" si="6"/>
        <v>68400</v>
      </c>
      <c r="P172">
        <f t="shared" si="7"/>
        <v>69000</v>
      </c>
      <c r="Q172">
        <f t="shared" si="8"/>
        <v>-600</v>
      </c>
      <c r="R172" t="s">
        <v>46</v>
      </c>
      <c r="S172" t="s">
        <v>50</v>
      </c>
    </row>
    <row r="173" spans="1:19" ht="18" x14ac:dyDescent="0.5">
      <c r="A173" t="s">
        <v>243</v>
      </c>
      <c r="B173" t="s">
        <v>1242</v>
      </c>
      <c r="C173" s="6">
        <v>45452</v>
      </c>
      <c r="D173" t="s">
        <v>2097</v>
      </c>
      <c r="E173" t="s">
        <v>2075</v>
      </c>
      <c r="F173" t="str">
        <f>_xlfn.XLOOKUP(E173,Table8[City],Table8[State])</f>
        <v>Tamil Nadu</v>
      </c>
      <c r="G173" t="str">
        <f>_xlfn.XLOOKUP(E173,Table8[City],Table8[Region])</f>
        <v>South</v>
      </c>
      <c r="H173" t="s">
        <v>22</v>
      </c>
      <c r="I173" t="str">
        <f>_xlfn.XLOOKUP(H173,Table6[Product],Table6[Category])</f>
        <v>Wearables</v>
      </c>
      <c r="J173" t="s">
        <v>55</v>
      </c>
      <c r="K173">
        <v>5</v>
      </c>
      <c r="L173">
        <f>_xlfn.XLOOKUP(H173,Table6[Product],Table6[Unit Price])</f>
        <v>12000</v>
      </c>
      <c r="M173">
        <f>_xlfn.XLOOKUP(H173,Table6[Product],Table6[Cost Price])</f>
        <v>8500</v>
      </c>
      <c r="N173" s="7">
        <v>0.02</v>
      </c>
      <c r="O173">
        <f t="shared" si="6"/>
        <v>58800</v>
      </c>
      <c r="P173">
        <f t="shared" si="7"/>
        <v>42500</v>
      </c>
      <c r="Q173">
        <f t="shared" si="8"/>
        <v>16300</v>
      </c>
      <c r="R173" t="s">
        <v>44</v>
      </c>
      <c r="S173" t="s">
        <v>51</v>
      </c>
    </row>
    <row r="174" spans="1:19" ht="18" x14ac:dyDescent="0.5">
      <c r="A174" t="s">
        <v>244</v>
      </c>
      <c r="B174" t="s">
        <v>1243</v>
      </c>
      <c r="C174" s="6">
        <v>45798</v>
      </c>
      <c r="D174" t="s">
        <v>2093</v>
      </c>
      <c r="E174" t="s">
        <v>2072</v>
      </c>
      <c r="F174" t="str">
        <f>_xlfn.XLOOKUP(E174,Table8[City],Table8[State])</f>
        <v>Karnataka</v>
      </c>
      <c r="G174" t="str">
        <f>_xlfn.XLOOKUP(E174,Table8[City],Table8[Region])</f>
        <v>South</v>
      </c>
      <c r="H174" t="s">
        <v>16</v>
      </c>
      <c r="I174" t="str">
        <f>_xlfn.XLOOKUP(H174,Table6[Product],Table6[Category])</f>
        <v>Electronics</v>
      </c>
      <c r="J174" t="s">
        <v>63</v>
      </c>
      <c r="K174">
        <v>8</v>
      </c>
      <c r="L174">
        <f>_xlfn.XLOOKUP(H174,Table6[Product],Table6[Unit Price])</f>
        <v>65000</v>
      </c>
      <c r="M174">
        <f>_xlfn.XLOOKUP(H174,Table6[Product],Table6[Cost Price])</f>
        <v>52000</v>
      </c>
      <c r="N174" s="7">
        <v>0.08</v>
      </c>
      <c r="O174">
        <f t="shared" si="6"/>
        <v>478400</v>
      </c>
      <c r="P174">
        <f t="shared" si="7"/>
        <v>416000</v>
      </c>
      <c r="Q174">
        <f t="shared" si="8"/>
        <v>62400</v>
      </c>
      <c r="R174" t="s">
        <v>45</v>
      </c>
      <c r="S174" t="s">
        <v>50</v>
      </c>
    </row>
    <row r="175" spans="1:19" ht="18" x14ac:dyDescent="0.5">
      <c r="A175" t="s">
        <v>245</v>
      </c>
      <c r="B175" t="s">
        <v>1244</v>
      </c>
      <c r="C175" s="6">
        <v>45786</v>
      </c>
      <c r="D175" t="s">
        <v>2092</v>
      </c>
      <c r="E175" t="s">
        <v>2078</v>
      </c>
      <c r="F175" t="str">
        <f>_xlfn.XLOOKUP(E175,Table8[City],Table8[State])</f>
        <v>Telangana</v>
      </c>
      <c r="G175" t="str">
        <f>_xlfn.XLOOKUP(E175,Table8[City],Table8[Region])</f>
        <v>South</v>
      </c>
      <c r="H175" t="s">
        <v>29</v>
      </c>
      <c r="I175" t="str">
        <f>_xlfn.XLOOKUP(H175,Table6[Product],Table6[Category])</f>
        <v>Electronics</v>
      </c>
      <c r="J175" t="s">
        <v>63</v>
      </c>
      <c r="K175">
        <v>5</v>
      </c>
      <c r="L175">
        <f>_xlfn.XLOOKUP(H175,Table6[Product],Table6[Unit Price])</f>
        <v>5000</v>
      </c>
      <c r="M175">
        <f>_xlfn.XLOOKUP(H175,Table6[Product],Table6[Cost Price])</f>
        <v>3200</v>
      </c>
      <c r="N175" s="7">
        <v>7.0000000000000007E-2</v>
      </c>
      <c r="O175">
        <f t="shared" si="6"/>
        <v>23250</v>
      </c>
      <c r="P175">
        <f t="shared" si="7"/>
        <v>16000</v>
      </c>
      <c r="Q175">
        <f t="shared" si="8"/>
        <v>7250</v>
      </c>
      <c r="R175" t="s">
        <v>46</v>
      </c>
      <c r="S175" t="s">
        <v>51</v>
      </c>
    </row>
    <row r="176" spans="1:19" ht="18" x14ac:dyDescent="0.5">
      <c r="A176" t="s">
        <v>246</v>
      </c>
      <c r="B176" t="s">
        <v>1245</v>
      </c>
      <c r="C176" s="6">
        <v>45297</v>
      </c>
      <c r="D176" t="s">
        <v>2090</v>
      </c>
      <c r="E176" t="s">
        <v>2105</v>
      </c>
      <c r="F176" t="str">
        <f>_xlfn.XLOOKUP(E176,Table8[City],Table8[State])</f>
        <v>Rajasthan</v>
      </c>
      <c r="G176" t="str">
        <f>_xlfn.XLOOKUP(E176,Table8[City],Table8[Region])</f>
        <v>North</v>
      </c>
      <c r="H176" t="s">
        <v>16</v>
      </c>
      <c r="I176" t="str">
        <f>_xlfn.XLOOKUP(H176,Table6[Product],Table6[Category])</f>
        <v>Electronics</v>
      </c>
      <c r="J176" t="s">
        <v>60</v>
      </c>
      <c r="K176">
        <v>2</v>
      </c>
      <c r="L176">
        <f>_xlfn.XLOOKUP(H176,Table6[Product],Table6[Unit Price])</f>
        <v>65000</v>
      </c>
      <c r="M176">
        <f>_xlfn.XLOOKUP(H176,Table6[Product],Table6[Cost Price])</f>
        <v>52000</v>
      </c>
      <c r="N176" s="7">
        <v>0.11</v>
      </c>
      <c r="O176">
        <f t="shared" si="6"/>
        <v>115700</v>
      </c>
      <c r="P176">
        <f t="shared" si="7"/>
        <v>104000</v>
      </c>
      <c r="Q176">
        <f t="shared" si="8"/>
        <v>11700</v>
      </c>
      <c r="R176" t="s">
        <v>47</v>
      </c>
      <c r="S176" t="s">
        <v>52</v>
      </c>
    </row>
    <row r="177" spans="1:19" ht="18" x14ac:dyDescent="0.5">
      <c r="A177" t="s">
        <v>247</v>
      </c>
      <c r="B177" t="s">
        <v>1246</v>
      </c>
      <c r="C177" s="6">
        <v>45712</v>
      </c>
      <c r="D177" t="s">
        <v>2095</v>
      </c>
      <c r="E177" t="s">
        <v>2073</v>
      </c>
      <c r="F177" t="str">
        <f>_xlfn.XLOOKUP(E177,Table8[City],Table8[State])</f>
        <v>Maharashtra</v>
      </c>
      <c r="G177" t="str">
        <f>_xlfn.XLOOKUP(E177,Table8[City],Table8[Region])</f>
        <v>West</v>
      </c>
      <c r="H177" t="s">
        <v>24</v>
      </c>
      <c r="I177" t="str">
        <f>_xlfn.XLOOKUP(H177,Table6[Product],Table6[Category])</f>
        <v>Accessories</v>
      </c>
      <c r="J177" t="s">
        <v>62</v>
      </c>
      <c r="K177">
        <v>8</v>
      </c>
      <c r="L177">
        <f>_xlfn.XLOOKUP(H177,Table6[Product],Table6[Unit Price])</f>
        <v>1500</v>
      </c>
      <c r="M177">
        <f>_xlfn.XLOOKUP(H177,Table6[Product],Table6[Cost Price])</f>
        <v>900</v>
      </c>
      <c r="N177" s="7">
        <v>0.24</v>
      </c>
      <c r="O177">
        <f t="shared" si="6"/>
        <v>9120</v>
      </c>
      <c r="P177">
        <f t="shared" si="7"/>
        <v>7200</v>
      </c>
      <c r="Q177">
        <f t="shared" si="8"/>
        <v>1920</v>
      </c>
      <c r="R177" t="s">
        <v>46</v>
      </c>
      <c r="S177" t="s">
        <v>50</v>
      </c>
    </row>
    <row r="178" spans="1:19" ht="18" x14ac:dyDescent="0.5">
      <c r="A178" t="s">
        <v>248</v>
      </c>
      <c r="B178" t="s">
        <v>1247</v>
      </c>
      <c r="C178" s="6">
        <v>45423</v>
      </c>
      <c r="D178" t="s">
        <v>2084</v>
      </c>
      <c r="E178" t="s">
        <v>2076</v>
      </c>
      <c r="F178" t="str">
        <f>_xlfn.XLOOKUP(E178,Table8[City],Table8[State])</f>
        <v>Tamil Nadu</v>
      </c>
      <c r="G178" t="str">
        <f>_xlfn.XLOOKUP(E178,Table8[City],Table8[Region])</f>
        <v>South</v>
      </c>
      <c r="H178" t="s">
        <v>24</v>
      </c>
      <c r="I178" t="str">
        <f>_xlfn.XLOOKUP(H178,Table6[Product],Table6[Category])</f>
        <v>Accessories</v>
      </c>
      <c r="J178" t="s">
        <v>56</v>
      </c>
      <c r="K178">
        <v>7</v>
      </c>
      <c r="L178">
        <f>_xlfn.XLOOKUP(H178,Table6[Product],Table6[Unit Price])</f>
        <v>1500</v>
      </c>
      <c r="M178">
        <f>_xlfn.XLOOKUP(H178,Table6[Product],Table6[Cost Price])</f>
        <v>900</v>
      </c>
      <c r="N178" s="7">
        <v>0.01</v>
      </c>
      <c r="O178">
        <f t="shared" si="6"/>
        <v>10395</v>
      </c>
      <c r="P178">
        <f t="shared" si="7"/>
        <v>6300</v>
      </c>
      <c r="Q178">
        <f t="shared" si="8"/>
        <v>4095</v>
      </c>
      <c r="R178" t="s">
        <v>44</v>
      </c>
      <c r="S178" t="s">
        <v>52</v>
      </c>
    </row>
    <row r="179" spans="1:19" ht="18" x14ac:dyDescent="0.5">
      <c r="A179" t="s">
        <v>249</v>
      </c>
      <c r="B179" t="s">
        <v>1248</v>
      </c>
      <c r="C179" s="6">
        <v>45376</v>
      </c>
      <c r="D179" t="s">
        <v>2096</v>
      </c>
      <c r="E179" t="s">
        <v>2079</v>
      </c>
      <c r="F179" t="str">
        <f>_xlfn.XLOOKUP(E179,Table8[City],Table8[State])</f>
        <v>Gujarat</v>
      </c>
      <c r="G179" t="str">
        <f>_xlfn.XLOOKUP(E179,Table8[City],Table8[Region])</f>
        <v>West</v>
      </c>
      <c r="H179" t="s">
        <v>29</v>
      </c>
      <c r="I179" t="str">
        <f>_xlfn.XLOOKUP(H179,Table6[Product],Table6[Category])</f>
        <v>Electronics</v>
      </c>
      <c r="J179" t="s">
        <v>60</v>
      </c>
      <c r="K179">
        <v>3</v>
      </c>
      <c r="L179">
        <f>_xlfn.XLOOKUP(H179,Table6[Product],Table6[Unit Price])</f>
        <v>5000</v>
      </c>
      <c r="M179">
        <f>_xlfn.XLOOKUP(H179,Table6[Product],Table6[Cost Price])</f>
        <v>3200</v>
      </c>
      <c r="N179" s="7">
        <v>7.0000000000000007E-2</v>
      </c>
      <c r="O179">
        <f t="shared" si="6"/>
        <v>13949.999999999998</v>
      </c>
      <c r="P179">
        <f t="shared" si="7"/>
        <v>9600</v>
      </c>
      <c r="Q179">
        <f t="shared" si="8"/>
        <v>4349.9999999999982</v>
      </c>
      <c r="R179" t="s">
        <v>45</v>
      </c>
      <c r="S179" t="s">
        <v>52</v>
      </c>
    </row>
    <row r="180" spans="1:19" ht="18" x14ac:dyDescent="0.5">
      <c r="A180" t="s">
        <v>250</v>
      </c>
      <c r="B180" t="s">
        <v>1249</v>
      </c>
      <c r="C180" s="6">
        <v>45719</v>
      </c>
      <c r="D180" t="s">
        <v>59</v>
      </c>
      <c r="E180" t="s">
        <v>2076</v>
      </c>
      <c r="F180" t="str">
        <f>_xlfn.XLOOKUP(E180,Table8[City],Table8[State])</f>
        <v>Tamil Nadu</v>
      </c>
      <c r="G180" t="str">
        <f>_xlfn.XLOOKUP(E180,Table8[City],Table8[Region])</f>
        <v>South</v>
      </c>
      <c r="H180" t="s">
        <v>19</v>
      </c>
      <c r="I180" t="str">
        <f>_xlfn.XLOOKUP(H180,Table6[Product],Table6[Category])</f>
        <v>Electronics</v>
      </c>
      <c r="J180" t="s">
        <v>56</v>
      </c>
      <c r="K180">
        <v>4</v>
      </c>
      <c r="L180">
        <f>_xlfn.XLOOKUP(H180,Table6[Product],Table6[Unit Price])</f>
        <v>25000</v>
      </c>
      <c r="M180">
        <f>_xlfn.XLOOKUP(H180,Table6[Product],Table6[Cost Price])</f>
        <v>20000</v>
      </c>
      <c r="N180" s="7">
        <v>0</v>
      </c>
      <c r="O180">
        <f t="shared" si="6"/>
        <v>100000</v>
      </c>
      <c r="P180">
        <f t="shared" si="7"/>
        <v>80000</v>
      </c>
      <c r="Q180">
        <f t="shared" si="8"/>
        <v>20000</v>
      </c>
      <c r="R180" t="s">
        <v>46</v>
      </c>
      <c r="S180" t="s">
        <v>52</v>
      </c>
    </row>
    <row r="181" spans="1:19" ht="18" x14ac:dyDescent="0.5">
      <c r="A181" t="s">
        <v>251</v>
      </c>
      <c r="B181" t="s">
        <v>1250</v>
      </c>
      <c r="C181" s="6">
        <v>45508</v>
      </c>
      <c r="D181" t="s">
        <v>2090</v>
      </c>
      <c r="E181" t="s">
        <v>2074</v>
      </c>
      <c r="F181" t="str">
        <f>_xlfn.XLOOKUP(E181,Table8[City],Table8[State])</f>
        <v>Maharashtra</v>
      </c>
      <c r="G181" t="str">
        <f>_xlfn.XLOOKUP(E181,Table8[City],Table8[Region])</f>
        <v>West</v>
      </c>
      <c r="H181" t="s">
        <v>19</v>
      </c>
      <c r="I181" t="str">
        <f>_xlfn.XLOOKUP(H181,Table6[Product],Table6[Category])</f>
        <v>Electronics</v>
      </c>
      <c r="J181" t="s">
        <v>60</v>
      </c>
      <c r="K181">
        <v>4</v>
      </c>
      <c r="L181">
        <f>_xlfn.XLOOKUP(H181,Table6[Product],Table6[Unit Price])</f>
        <v>25000</v>
      </c>
      <c r="M181">
        <f>_xlfn.XLOOKUP(H181,Table6[Product],Table6[Cost Price])</f>
        <v>20000</v>
      </c>
      <c r="N181" s="7">
        <v>7.0000000000000007E-2</v>
      </c>
      <c r="O181">
        <f t="shared" si="6"/>
        <v>93000</v>
      </c>
      <c r="P181">
        <f t="shared" si="7"/>
        <v>80000</v>
      </c>
      <c r="Q181">
        <f t="shared" si="8"/>
        <v>13000</v>
      </c>
      <c r="R181" t="s">
        <v>47</v>
      </c>
      <c r="S181" t="s">
        <v>49</v>
      </c>
    </row>
    <row r="182" spans="1:19" ht="18" x14ac:dyDescent="0.5">
      <c r="A182" t="s">
        <v>252</v>
      </c>
      <c r="B182" t="s">
        <v>1251</v>
      </c>
      <c r="C182" s="6">
        <v>45492</v>
      </c>
      <c r="D182" t="s">
        <v>2090</v>
      </c>
      <c r="E182" t="s">
        <v>2080</v>
      </c>
      <c r="F182" t="str">
        <f>_xlfn.XLOOKUP(E182,Table8[City],Table8[State])</f>
        <v>Gujarat</v>
      </c>
      <c r="G182" t="str">
        <f>_xlfn.XLOOKUP(E182,Table8[City],Table8[Region])</f>
        <v>West</v>
      </c>
      <c r="H182" t="s">
        <v>25</v>
      </c>
      <c r="I182" t="str">
        <f>_xlfn.XLOOKUP(H182,Table6[Product],Table6[Category])</f>
        <v>Accessories</v>
      </c>
      <c r="J182" t="s">
        <v>63</v>
      </c>
      <c r="K182">
        <v>2</v>
      </c>
      <c r="L182">
        <f>_xlfn.XLOOKUP(H182,Table6[Product],Table6[Unit Price])</f>
        <v>800</v>
      </c>
      <c r="M182">
        <f>_xlfn.XLOOKUP(H182,Table6[Product],Table6[Cost Price])</f>
        <v>450</v>
      </c>
      <c r="N182" s="7">
        <v>0.1</v>
      </c>
      <c r="O182">
        <f t="shared" si="6"/>
        <v>1440</v>
      </c>
      <c r="P182">
        <f t="shared" si="7"/>
        <v>900</v>
      </c>
      <c r="Q182">
        <f t="shared" si="8"/>
        <v>540</v>
      </c>
      <c r="R182" t="s">
        <v>45</v>
      </c>
      <c r="S182" t="s">
        <v>52</v>
      </c>
    </row>
    <row r="183" spans="1:19" ht="18" x14ac:dyDescent="0.5">
      <c r="A183" t="s">
        <v>253</v>
      </c>
      <c r="B183" t="s">
        <v>1252</v>
      </c>
      <c r="C183" s="6">
        <v>45867</v>
      </c>
      <c r="D183" t="s">
        <v>2093</v>
      </c>
      <c r="E183" t="s">
        <v>70</v>
      </c>
      <c r="F183" t="str">
        <f>_xlfn.XLOOKUP(E183,Table8[City],Table8[State])</f>
        <v>Karnataka</v>
      </c>
      <c r="G183" t="str">
        <f>_xlfn.XLOOKUP(E183,Table8[City],Table8[Region])</f>
        <v>South</v>
      </c>
      <c r="H183" t="s">
        <v>18</v>
      </c>
      <c r="I183" t="str">
        <f>_xlfn.XLOOKUP(H183,Table6[Product],Table6[Category])</f>
        <v>Electronics</v>
      </c>
      <c r="J183" t="s">
        <v>60</v>
      </c>
      <c r="K183">
        <v>7</v>
      </c>
      <c r="L183">
        <f>_xlfn.XLOOKUP(H183,Table6[Product],Table6[Unit Price])</f>
        <v>35000</v>
      </c>
      <c r="M183">
        <f>_xlfn.XLOOKUP(H183,Table6[Product],Table6[Cost Price])</f>
        <v>28000</v>
      </c>
      <c r="N183" s="7">
        <v>0.19</v>
      </c>
      <c r="O183">
        <f t="shared" si="6"/>
        <v>198450</v>
      </c>
      <c r="P183">
        <f t="shared" si="7"/>
        <v>196000</v>
      </c>
      <c r="Q183">
        <f t="shared" si="8"/>
        <v>2450</v>
      </c>
      <c r="R183" t="s">
        <v>47</v>
      </c>
      <c r="S183" t="s">
        <v>51</v>
      </c>
    </row>
    <row r="184" spans="1:19" ht="18" x14ac:dyDescent="0.5">
      <c r="A184" t="s">
        <v>254</v>
      </c>
      <c r="B184" t="s">
        <v>1253</v>
      </c>
      <c r="C184" s="6">
        <v>45712</v>
      </c>
      <c r="D184" t="s">
        <v>2090</v>
      </c>
      <c r="E184" t="s">
        <v>2106</v>
      </c>
      <c r="F184" t="str">
        <f>_xlfn.XLOOKUP(E184,Table8[City],Table8[State])</f>
        <v>West Bengal</v>
      </c>
      <c r="G184" t="str">
        <f>_xlfn.XLOOKUP(E184,Table8[City],Table8[Region])</f>
        <v>East</v>
      </c>
      <c r="H184" t="s">
        <v>25</v>
      </c>
      <c r="I184" t="str">
        <f>_xlfn.XLOOKUP(H184,Table6[Product],Table6[Category])</f>
        <v>Accessories</v>
      </c>
      <c r="J184" t="s">
        <v>63</v>
      </c>
      <c r="K184">
        <v>4</v>
      </c>
      <c r="L184">
        <f>_xlfn.XLOOKUP(H184,Table6[Product],Table6[Unit Price])</f>
        <v>800</v>
      </c>
      <c r="M184">
        <f>_xlfn.XLOOKUP(H184,Table6[Product],Table6[Cost Price])</f>
        <v>450</v>
      </c>
      <c r="N184" s="7">
        <v>0.21</v>
      </c>
      <c r="O184">
        <f t="shared" si="6"/>
        <v>2528</v>
      </c>
      <c r="P184">
        <f t="shared" si="7"/>
        <v>1800</v>
      </c>
      <c r="Q184">
        <f t="shared" si="8"/>
        <v>728</v>
      </c>
      <c r="R184" t="s">
        <v>43</v>
      </c>
      <c r="S184" t="s">
        <v>49</v>
      </c>
    </row>
    <row r="185" spans="1:19" ht="18" x14ac:dyDescent="0.5">
      <c r="A185" t="s">
        <v>255</v>
      </c>
      <c r="B185" t="s">
        <v>1254</v>
      </c>
      <c r="C185" s="6">
        <v>45595</v>
      </c>
      <c r="D185" t="s">
        <v>2099</v>
      </c>
      <c r="E185" t="s">
        <v>2074</v>
      </c>
      <c r="F185" t="str">
        <f>_xlfn.XLOOKUP(E185,Table8[City],Table8[State])</f>
        <v>Maharashtra</v>
      </c>
      <c r="G185" t="str">
        <f>_xlfn.XLOOKUP(E185,Table8[City],Table8[Region])</f>
        <v>West</v>
      </c>
      <c r="H185" t="s">
        <v>16</v>
      </c>
      <c r="I185" t="str">
        <f>_xlfn.XLOOKUP(H185,Table6[Product],Table6[Category])</f>
        <v>Electronics</v>
      </c>
      <c r="J185" t="s">
        <v>55</v>
      </c>
      <c r="K185">
        <v>3</v>
      </c>
      <c r="L185">
        <f>_xlfn.XLOOKUP(H185,Table6[Product],Table6[Unit Price])</f>
        <v>65000</v>
      </c>
      <c r="M185">
        <f>_xlfn.XLOOKUP(H185,Table6[Product],Table6[Cost Price])</f>
        <v>52000</v>
      </c>
      <c r="N185" s="7">
        <v>0.02</v>
      </c>
      <c r="O185">
        <f t="shared" si="6"/>
        <v>191100</v>
      </c>
      <c r="P185">
        <f t="shared" si="7"/>
        <v>156000</v>
      </c>
      <c r="Q185">
        <f t="shared" si="8"/>
        <v>35100</v>
      </c>
      <c r="R185" t="s">
        <v>47</v>
      </c>
      <c r="S185" t="s">
        <v>50</v>
      </c>
    </row>
    <row r="186" spans="1:19" ht="18" x14ac:dyDescent="0.5">
      <c r="A186" t="s">
        <v>256</v>
      </c>
      <c r="B186" t="s">
        <v>1255</v>
      </c>
      <c r="C186" s="6">
        <v>45656</v>
      </c>
      <c r="D186" t="s">
        <v>2095</v>
      </c>
      <c r="E186" t="s">
        <v>2076</v>
      </c>
      <c r="F186" t="str">
        <f>_xlfn.XLOOKUP(E186,Table8[City],Table8[State])</f>
        <v>Tamil Nadu</v>
      </c>
      <c r="G186" t="str">
        <f>_xlfn.XLOOKUP(E186,Table8[City],Table8[Region])</f>
        <v>South</v>
      </c>
      <c r="H186" t="s">
        <v>24</v>
      </c>
      <c r="I186" t="str">
        <f>_xlfn.XLOOKUP(H186,Table6[Product],Table6[Category])</f>
        <v>Accessories</v>
      </c>
      <c r="J186" t="s">
        <v>63</v>
      </c>
      <c r="K186">
        <v>6</v>
      </c>
      <c r="L186">
        <f>_xlfn.XLOOKUP(H186,Table6[Product],Table6[Unit Price])</f>
        <v>1500</v>
      </c>
      <c r="M186">
        <f>_xlfn.XLOOKUP(H186,Table6[Product],Table6[Cost Price])</f>
        <v>900</v>
      </c>
      <c r="N186" s="7">
        <v>0.1</v>
      </c>
      <c r="O186">
        <f t="shared" si="6"/>
        <v>8100</v>
      </c>
      <c r="P186">
        <f t="shared" si="7"/>
        <v>5400</v>
      </c>
      <c r="Q186">
        <f t="shared" si="8"/>
        <v>2700</v>
      </c>
      <c r="R186" t="s">
        <v>43</v>
      </c>
      <c r="S186" t="s">
        <v>49</v>
      </c>
    </row>
    <row r="187" spans="1:19" ht="18" x14ac:dyDescent="0.5">
      <c r="A187" t="s">
        <v>257</v>
      </c>
      <c r="B187" t="s">
        <v>1256</v>
      </c>
      <c r="C187" s="6">
        <v>45760</v>
      </c>
      <c r="D187" t="s">
        <v>69</v>
      </c>
      <c r="E187" t="s">
        <v>2105</v>
      </c>
      <c r="F187" t="str">
        <f>_xlfn.XLOOKUP(E187,Table8[City],Table8[State])</f>
        <v>Rajasthan</v>
      </c>
      <c r="G187" t="str">
        <f>_xlfn.XLOOKUP(E187,Table8[City],Table8[Region])</f>
        <v>North</v>
      </c>
      <c r="H187" t="s">
        <v>20</v>
      </c>
      <c r="I187" t="str">
        <f>_xlfn.XLOOKUP(H187,Table6[Product],Table6[Category])</f>
        <v>Accessories</v>
      </c>
      <c r="J187" t="s">
        <v>62</v>
      </c>
      <c r="K187">
        <v>9</v>
      </c>
      <c r="L187">
        <f>_xlfn.XLOOKUP(H187,Table6[Product],Table6[Unit Price])</f>
        <v>3000</v>
      </c>
      <c r="M187">
        <f>_xlfn.XLOOKUP(H187,Table6[Product],Table6[Cost Price])</f>
        <v>1800</v>
      </c>
      <c r="N187" s="7">
        <v>0.02</v>
      </c>
      <c r="O187">
        <f t="shared" si="6"/>
        <v>26460</v>
      </c>
      <c r="P187">
        <f t="shared" si="7"/>
        <v>16200</v>
      </c>
      <c r="Q187">
        <f t="shared" si="8"/>
        <v>10260</v>
      </c>
      <c r="R187" t="s">
        <v>46</v>
      </c>
      <c r="S187" t="s">
        <v>51</v>
      </c>
    </row>
    <row r="188" spans="1:19" ht="18" x14ac:dyDescent="0.5">
      <c r="A188" t="s">
        <v>258</v>
      </c>
      <c r="B188" t="s">
        <v>1257</v>
      </c>
      <c r="C188" s="6">
        <v>45719</v>
      </c>
      <c r="D188" t="s">
        <v>2087</v>
      </c>
      <c r="E188" t="s">
        <v>70</v>
      </c>
      <c r="F188" t="str">
        <f>_xlfn.XLOOKUP(E188,Table8[City],Table8[State])</f>
        <v>Karnataka</v>
      </c>
      <c r="G188" t="str">
        <f>_xlfn.XLOOKUP(E188,Table8[City],Table8[Region])</f>
        <v>South</v>
      </c>
      <c r="H188" t="s">
        <v>19</v>
      </c>
      <c r="I188" t="str">
        <f>_xlfn.XLOOKUP(H188,Table6[Product],Table6[Category])</f>
        <v>Electronics</v>
      </c>
      <c r="J188" t="s">
        <v>62</v>
      </c>
      <c r="K188">
        <v>7</v>
      </c>
      <c r="L188">
        <f>_xlfn.XLOOKUP(H188,Table6[Product],Table6[Unit Price])</f>
        <v>25000</v>
      </c>
      <c r="M188">
        <f>_xlfn.XLOOKUP(H188,Table6[Product],Table6[Cost Price])</f>
        <v>20000</v>
      </c>
      <c r="N188" s="7">
        <v>0.21</v>
      </c>
      <c r="O188">
        <f t="shared" si="6"/>
        <v>138250</v>
      </c>
      <c r="P188">
        <f t="shared" si="7"/>
        <v>140000</v>
      </c>
      <c r="Q188">
        <f t="shared" si="8"/>
        <v>-1750</v>
      </c>
      <c r="R188" t="s">
        <v>47</v>
      </c>
      <c r="S188" t="s">
        <v>50</v>
      </c>
    </row>
    <row r="189" spans="1:19" ht="18" x14ac:dyDescent="0.5">
      <c r="A189" t="s">
        <v>259</v>
      </c>
      <c r="B189" t="s">
        <v>1258</v>
      </c>
      <c r="C189" s="6">
        <v>45474</v>
      </c>
      <c r="D189" t="s">
        <v>2089</v>
      </c>
      <c r="E189" t="s">
        <v>2104</v>
      </c>
      <c r="F189" t="str">
        <f>_xlfn.XLOOKUP(E189,Table8[City],Table8[State])</f>
        <v>Delhi</v>
      </c>
      <c r="G189" t="str">
        <f>_xlfn.XLOOKUP(E189,Table8[City],Table8[Region])</f>
        <v>North</v>
      </c>
      <c r="H189" t="s">
        <v>24</v>
      </c>
      <c r="I189" t="str">
        <f>_xlfn.XLOOKUP(H189,Table6[Product],Table6[Category])</f>
        <v>Accessories</v>
      </c>
      <c r="J189" t="s">
        <v>62</v>
      </c>
      <c r="K189">
        <v>4</v>
      </c>
      <c r="L189">
        <f>_xlfn.XLOOKUP(H189,Table6[Product],Table6[Unit Price])</f>
        <v>1500</v>
      </c>
      <c r="M189">
        <f>_xlfn.XLOOKUP(H189,Table6[Product],Table6[Cost Price])</f>
        <v>900</v>
      </c>
      <c r="N189" s="7">
        <v>0.05</v>
      </c>
      <c r="O189">
        <f t="shared" si="6"/>
        <v>5700</v>
      </c>
      <c r="P189">
        <f t="shared" si="7"/>
        <v>3600</v>
      </c>
      <c r="Q189">
        <f t="shared" si="8"/>
        <v>2100</v>
      </c>
      <c r="R189" t="s">
        <v>47</v>
      </c>
      <c r="S189" t="s">
        <v>52</v>
      </c>
    </row>
    <row r="190" spans="1:19" ht="18" x14ac:dyDescent="0.5">
      <c r="A190" t="s">
        <v>260</v>
      </c>
      <c r="B190" t="s">
        <v>1259</v>
      </c>
      <c r="C190" s="6">
        <v>45848</v>
      </c>
      <c r="D190" t="s">
        <v>63</v>
      </c>
      <c r="E190" t="s">
        <v>2079</v>
      </c>
      <c r="F190" t="str">
        <f>_xlfn.XLOOKUP(E190,Table8[City],Table8[State])</f>
        <v>Gujarat</v>
      </c>
      <c r="G190" t="str">
        <f>_xlfn.XLOOKUP(E190,Table8[City],Table8[Region])</f>
        <v>West</v>
      </c>
      <c r="H190" t="s">
        <v>18</v>
      </c>
      <c r="I190" t="str">
        <f>_xlfn.XLOOKUP(H190,Table6[Product],Table6[Category])</f>
        <v>Electronics</v>
      </c>
      <c r="J190" t="s">
        <v>63</v>
      </c>
      <c r="K190">
        <v>7</v>
      </c>
      <c r="L190">
        <f>_xlfn.XLOOKUP(H190,Table6[Product],Table6[Unit Price])</f>
        <v>35000</v>
      </c>
      <c r="M190">
        <f>_xlfn.XLOOKUP(H190,Table6[Product],Table6[Cost Price])</f>
        <v>28000</v>
      </c>
      <c r="N190" s="7">
        <v>0.16</v>
      </c>
      <c r="O190">
        <f t="shared" si="6"/>
        <v>205800</v>
      </c>
      <c r="P190">
        <f t="shared" si="7"/>
        <v>196000</v>
      </c>
      <c r="Q190">
        <f t="shared" si="8"/>
        <v>9800</v>
      </c>
      <c r="R190" t="s">
        <v>46</v>
      </c>
      <c r="S190" t="s">
        <v>51</v>
      </c>
    </row>
    <row r="191" spans="1:19" ht="18" x14ac:dyDescent="0.5">
      <c r="A191" t="s">
        <v>261</v>
      </c>
      <c r="B191" t="s">
        <v>1260</v>
      </c>
      <c r="C191" s="6">
        <v>45750</v>
      </c>
      <c r="D191" t="s">
        <v>2084</v>
      </c>
      <c r="E191" t="s">
        <v>70</v>
      </c>
      <c r="F191" t="str">
        <f>_xlfn.XLOOKUP(E191,Table8[City],Table8[State])</f>
        <v>Karnataka</v>
      </c>
      <c r="G191" t="str">
        <f>_xlfn.XLOOKUP(E191,Table8[City],Table8[Region])</f>
        <v>South</v>
      </c>
      <c r="H191" t="s">
        <v>22</v>
      </c>
      <c r="I191" t="str">
        <f>_xlfn.XLOOKUP(H191,Table6[Product],Table6[Category])</f>
        <v>Wearables</v>
      </c>
      <c r="J191" t="s">
        <v>59</v>
      </c>
      <c r="K191">
        <v>10</v>
      </c>
      <c r="L191">
        <f>_xlfn.XLOOKUP(H191,Table6[Product],Table6[Unit Price])</f>
        <v>12000</v>
      </c>
      <c r="M191">
        <f>_xlfn.XLOOKUP(H191,Table6[Product],Table6[Cost Price])</f>
        <v>8500</v>
      </c>
      <c r="N191" s="7">
        <v>0.22</v>
      </c>
      <c r="O191">
        <f t="shared" si="6"/>
        <v>93600</v>
      </c>
      <c r="P191">
        <f t="shared" si="7"/>
        <v>85000</v>
      </c>
      <c r="Q191">
        <f t="shared" si="8"/>
        <v>8600</v>
      </c>
      <c r="R191" t="s">
        <v>43</v>
      </c>
      <c r="S191" t="s">
        <v>51</v>
      </c>
    </row>
    <row r="192" spans="1:19" ht="18" x14ac:dyDescent="0.5">
      <c r="A192" t="s">
        <v>262</v>
      </c>
      <c r="B192" t="s">
        <v>1261</v>
      </c>
      <c r="C192" s="6">
        <v>45966</v>
      </c>
      <c r="D192" t="s">
        <v>2095</v>
      </c>
      <c r="E192" t="s">
        <v>2075</v>
      </c>
      <c r="F192" t="str">
        <f>_xlfn.XLOOKUP(E192,Table8[City],Table8[State])</f>
        <v>Tamil Nadu</v>
      </c>
      <c r="G192" t="str">
        <f>_xlfn.XLOOKUP(E192,Table8[City],Table8[Region])</f>
        <v>South</v>
      </c>
      <c r="H192" t="s">
        <v>18</v>
      </c>
      <c r="I192" t="str">
        <f>_xlfn.XLOOKUP(H192,Table6[Product],Table6[Category])</f>
        <v>Electronics</v>
      </c>
      <c r="J192" t="s">
        <v>62</v>
      </c>
      <c r="K192">
        <v>3</v>
      </c>
      <c r="L192">
        <f>_xlfn.XLOOKUP(H192,Table6[Product],Table6[Unit Price])</f>
        <v>35000</v>
      </c>
      <c r="M192">
        <f>_xlfn.XLOOKUP(H192,Table6[Product],Table6[Cost Price])</f>
        <v>28000</v>
      </c>
      <c r="N192" s="7">
        <v>0.1</v>
      </c>
      <c r="O192">
        <f t="shared" si="6"/>
        <v>94500</v>
      </c>
      <c r="P192">
        <f t="shared" si="7"/>
        <v>84000</v>
      </c>
      <c r="Q192">
        <f t="shared" si="8"/>
        <v>10500</v>
      </c>
      <c r="R192" t="s">
        <v>44</v>
      </c>
      <c r="S192" t="s">
        <v>50</v>
      </c>
    </row>
    <row r="193" spans="1:19" ht="18" x14ac:dyDescent="0.5">
      <c r="A193" t="s">
        <v>263</v>
      </c>
      <c r="B193" t="s">
        <v>1262</v>
      </c>
      <c r="C193" s="6">
        <v>45424</v>
      </c>
      <c r="D193" t="s">
        <v>63</v>
      </c>
      <c r="E193" t="s">
        <v>2079</v>
      </c>
      <c r="F193" t="str">
        <f>_xlfn.XLOOKUP(E193,Table8[City],Table8[State])</f>
        <v>Gujarat</v>
      </c>
      <c r="G193" t="str">
        <f>_xlfn.XLOOKUP(E193,Table8[City],Table8[Region])</f>
        <v>West</v>
      </c>
      <c r="H193" t="s">
        <v>24</v>
      </c>
      <c r="I193" t="str">
        <f>_xlfn.XLOOKUP(H193,Table6[Product],Table6[Category])</f>
        <v>Accessories</v>
      </c>
      <c r="J193" t="s">
        <v>61</v>
      </c>
      <c r="K193">
        <v>8</v>
      </c>
      <c r="L193">
        <f>_xlfn.XLOOKUP(H193,Table6[Product],Table6[Unit Price])</f>
        <v>1500</v>
      </c>
      <c r="M193">
        <f>_xlfn.XLOOKUP(H193,Table6[Product],Table6[Cost Price])</f>
        <v>900</v>
      </c>
      <c r="N193" s="7">
        <v>0.26</v>
      </c>
      <c r="O193">
        <f t="shared" si="6"/>
        <v>8880</v>
      </c>
      <c r="P193">
        <f t="shared" si="7"/>
        <v>7200</v>
      </c>
      <c r="Q193">
        <f t="shared" si="8"/>
        <v>1680</v>
      </c>
      <c r="R193" t="s">
        <v>43</v>
      </c>
      <c r="S193" t="s">
        <v>50</v>
      </c>
    </row>
    <row r="194" spans="1:19" ht="18" x14ac:dyDescent="0.5">
      <c r="A194" t="s">
        <v>264</v>
      </c>
      <c r="B194" t="s">
        <v>1263</v>
      </c>
      <c r="C194" s="6">
        <v>45643</v>
      </c>
      <c r="D194" t="s">
        <v>63</v>
      </c>
      <c r="E194" t="s">
        <v>2078</v>
      </c>
      <c r="F194" t="str">
        <f>_xlfn.XLOOKUP(E194,Table8[City],Table8[State])</f>
        <v>Telangana</v>
      </c>
      <c r="G194" t="str">
        <f>_xlfn.XLOOKUP(E194,Table8[City],Table8[Region])</f>
        <v>South</v>
      </c>
      <c r="H194" t="s">
        <v>29</v>
      </c>
      <c r="I194" t="str">
        <f>_xlfn.XLOOKUP(H194,Table6[Product],Table6[Category])</f>
        <v>Electronics</v>
      </c>
      <c r="J194" t="s">
        <v>63</v>
      </c>
      <c r="K194">
        <v>4</v>
      </c>
      <c r="L194">
        <f>_xlfn.XLOOKUP(H194,Table6[Product],Table6[Unit Price])</f>
        <v>5000</v>
      </c>
      <c r="M194">
        <f>_xlfn.XLOOKUP(H194,Table6[Product],Table6[Cost Price])</f>
        <v>3200</v>
      </c>
      <c r="N194" s="7">
        <v>0.17</v>
      </c>
      <c r="O194">
        <f t="shared" si="6"/>
        <v>16600</v>
      </c>
      <c r="P194">
        <f t="shared" si="7"/>
        <v>12800</v>
      </c>
      <c r="Q194">
        <f t="shared" si="8"/>
        <v>3800</v>
      </c>
      <c r="R194" t="s">
        <v>43</v>
      </c>
      <c r="S194" t="s">
        <v>52</v>
      </c>
    </row>
    <row r="195" spans="1:19" ht="18" x14ac:dyDescent="0.5">
      <c r="A195" t="s">
        <v>265</v>
      </c>
      <c r="B195" t="s">
        <v>1264</v>
      </c>
      <c r="C195" s="6">
        <v>45515</v>
      </c>
      <c r="D195" t="s">
        <v>2094</v>
      </c>
      <c r="E195" t="s">
        <v>2078</v>
      </c>
      <c r="F195" t="str">
        <f>_xlfn.XLOOKUP(E195,Table8[City],Table8[State])</f>
        <v>Telangana</v>
      </c>
      <c r="G195" t="str">
        <f>_xlfn.XLOOKUP(E195,Table8[City],Table8[Region])</f>
        <v>South</v>
      </c>
      <c r="H195" t="s">
        <v>20</v>
      </c>
      <c r="I195" t="str">
        <f>_xlfn.XLOOKUP(H195,Table6[Product],Table6[Category])</f>
        <v>Accessories</v>
      </c>
      <c r="J195" t="s">
        <v>60</v>
      </c>
      <c r="K195">
        <v>4</v>
      </c>
      <c r="L195">
        <f>_xlfn.XLOOKUP(H195,Table6[Product],Table6[Unit Price])</f>
        <v>3000</v>
      </c>
      <c r="M195">
        <f>_xlfn.XLOOKUP(H195,Table6[Product],Table6[Cost Price])</f>
        <v>1800</v>
      </c>
      <c r="N195" s="7">
        <v>0.17</v>
      </c>
      <c r="O195">
        <f t="shared" ref="O195:O258" si="9">(L195*K195)*(1-N195)</f>
        <v>9960</v>
      </c>
      <c r="P195">
        <f t="shared" ref="P195:P258" si="10">M195*K195</f>
        <v>7200</v>
      </c>
      <c r="Q195">
        <f t="shared" ref="Q195:Q258" si="11">O195-P195</f>
        <v>2760</v>
      </c>
      <c r="R195" t="s">
        <v>43</v>
      </c>
      <c r="S195" t="s">
        <v>50</v>
      </c>
    </row>
    <row r="196" spans="1:19" ht="18" x14ac:dyDescent="0.5">
      <c r="A196" t="s">
        <v>266</v>
      </c>
      <c r="B196" t="s">
        <v>1265</v>
      </c>
      <c r="C196" s="6">
        <v>45946</v>
      </c>
      <c r="D196" t="s">
        <v>2098</v>
      </c>
      <c r="E196" t="s">
        <v>2076</v>
      </c>
      <c r="F196" t="str">
        <f>_xlfn.XLOOKUP(E196,Table8[City],Table8[State])</f>
        <v>Tamil Nadu</v>
      </c>
      <c r="G196" t="str">
        <f>_xlfn.XLOOKUP(E196,Table8[City],Table8[Region])</f>
        <v>South</v>
      </c>
      <c r="H196" t="s">
        <v>25</v>
      </c>
      <c r="I196" t="str">
        <f>_xlfn.XLOOKUP(H196,Table6[Product],Table6[Category])</f>
        <v>Accessories</v>
      </c>
      <c r="J196" t="s">
        <v>61</v>
      </c>
      <c r="K196">
        <v>1</v>
      </c>
      <c r="L196">
        <f>_xlfn.XLOOKUP(H196,Table6[Product],Table6[Unit Price])</f>
        <v>800</v>
      </c>
      <c r="M196">
        <f>_xlfn.XLOOKUP(H196,Table6[Product],Table6[Cost Price])</f>
        <v>450</v>
      </c>
      <c r="N196" s="7">
        <v>0.06</v>
      </c>
      <c r="O196">
        <f t="shared" si="9"/>
        <v>752</v>
      </c>
      <c r="P196">
        <f t="shared" si="10"/>
        <v>450</v>
      </c>
      <c r="Q196">
        <f t="shared" si="11"/>
        <v>302</v>
      </c>
      <c r="R196" t="s">
        <v>44</v>
      </c>
      <c r="S196" t="s">
        <v>52</v>
      </c>
    </row>
    <row r="197" spans="1:19" ht="18" x14ac:dyDescent="0.5">
      <c r="A197" t="s">
        <v>267</v>
      </c>
      <c r="B197" t="s">
        <v>1266</v>
      </c>
      <c r="C197" s="6">
        <v>45390</v>
      </c>
      <c r="D197" t="s">
        <v>2095</v>
      </c>
      <c r="E197" t="s">
        <v>2076</v>
      </c>
      <c r="F197" t="str">
        <f>_xlfn.XLOOKUP(E197,Table8[City],Table8[State])</f>
        <v>Tamil Nadu</v>
      </c>
      <c r="G197" t="str">
        <f>_xlfn.XLOOKUP(E197,Table8[City],Table8[Region])</f>
        <v>South</v>
      </c>
      <c r="H197" t="s">
        <v>26</v>
      </c>
      <c r="I197" t="str">
        <f>_xlfn.XLOOKUP(H197,Table6[Product],Table6[Category])</f>
        <v>Office</v>
      </c>
      <c r="J197" t="s">
        <v>55</v>
      </c>
      <c r="K197">
        <v>4</v>
      </c>
      <c r="L197">
        <f>_xlfn.XLOOKUP(H197,Table6[Product],Table6[Unit Price])</f>
        <v>15000</v>
      </c>
      <c r="M197">
        <f>_xlfn.XLOOKUP(H197,Table6[Product],Table6[Cost Price])</f>
        <v>11500</v>
      </c>
      <c r="N197" s="7">
        <v>0.25</v>
      </c>
      <c r="O197">
        <f t="shared" si="9"/>
        <v>45000</v>
      </c>
      <c r="P197">
        <f t="shared" si="10"/>
        <v>46000</v>
      </c>
      <c r="Q197">
        <f t="shared" si="11"/>
        <v>-1000</v>
      </c>
      <c r="R197" t="s">
        <v>43</v>
      </c>
      <c r="S197" t="s">
        <v>51</v>
      </c>
    </row>
    <row r="198" spans="1:19" ht="18" x14ac:dyDescent="0.5">
      <c r="A198" t="s">
        <v>268</v>
      </c>
      <c r="B198" t="s">
        <v>1267</v>
      </c>
      <c r="C198" s="6">
        <v>45299</v>
      </c>
      <c r="D198" t="s">
        <v>2092</v>
      </c>
      <c r="E198" t="s">
        <v>2106</v>
      </c>
      <c r="F198" t="str">
        <f>_xlfn.XLOOKUP(E198,Table8[City],Table8[State])</f>
        <v>West Bengal</v>
      </c>
      <c r="G198" t="str">
        <f>_xlfn.XLOOKUP(E198,Table8[City],Table8[Region])</f>
        <v>East</v>
      </c>
      <c r="H198" t="s">
        <v>19</v>
      </c>
      <c r="I198" t="str">
        <f>_xlfn.XLOOKUP(H198,Table6[Product],Table6[Category])</f>
        <v>Electronics</v>
      </c>
      <c r="J198" t="s">
        <v>54</v>
      </c>
      <c r="K198">
        <v>5</v>
      </c>
      <c r="L198">
        <f>_xlfn.XLOOKUP(H198,Table6[Product],Table6[Unit Price])</f>
        <v>25000</v>
      </c>
      <c r="M198">
        <f>_xlfn.XLOOKUP(H198,Table6[Product],Table6[Cost Price])</f>
        <v>20000</v>
      </c>
      <c r="N198" s="7">
        <v>0.17</v>
      </c>
      <c r="O198">
        <f t="shared" si="9"/>
        <v>103750</v>
      </c>
      <c r="P198">
        <f t="shared" si="10"/>
        <v>100000</v>
      </c>
      <c r="Q198">
        <f t="shared" si="11"/>
        <v>3750</v>
      </c>
      <c r="R198" t="s">
        <v>44</v>
      </c>
      <c r="S198" t="s">
        <v>52</v>
      </c>
    </row>
    <row r="199" spans="1:19" ht="18" x14ac:dyDescent="0.5">
      <c r="A199" t="s">
        <v>269</v>
      </c>
      <c r="B199" t="s">
        <v>1268</v>
      </c>
      <c r="C199" s="6">
        <v>45879</v>
      </c>
      <c r="D199" t="s">
        <v>2086</v>
      </c>
      <c r="E199" t="s">
        <v>2105</v>
      </c>
      <c r="F199" t="str">
        <f>_xlfn.XLOOKUP(E199,Table8[City],Table8[State])</f>
        <v>Rajasthan</v>
      </c>
      <c r="G199" t="str">
        <f>_xlfn.XLOOKUP(E199,Table8[City],Table8[Region])</f>
        <v>North</v>
      </c>
      <c r="H199" t="s">
        <v>24</v>
      </c>
      <c r="I199" t="str">
        <f>_xlfn.XLOOKUP(H199,Table6[Product],Table6[Category])</f>
        <v>Accessories</v>
      </c>
      <c r="J199" t="s">
        <v>59</v>
      </c>
      <c r="K199">
        <v>6</v>
      </c>
      <c r="L199">
        <f>_xlfn.XLOOKUP(H199,Table6[Product],Table6[Unit Price])</f>
        <v>1500</v>
      </c>
      <c r="M199">
        <f>_xlfn.XLOOKUP(H199,Table6[Product],Table6[Cost Price])</f>
        <v>900</v>
      </c>
      <c r="N199" s="7">
        <v>0.05</v>
      </c>
      <c r="O199">
        <f t="shared" si="9"/>
        <v>8550</v>
      </c>
      <c r="P199">
        <f t="shared" si="10"/>
        <v>5400</v>
      </c>
      <c r="Q199">
        <f t="shared" si="11"/>
        <v>3150</v>
      </c>
      <c r="R199" t="s">
        <v>45</v>
      </c>
      <c r="S199" t="s">
        <v>49</v>
      </c>
    </row>
    <row r="200" spans="1:19" ht="18" x14ac:dyDescent="0.5">
      <c r="A200" t="s">
        <v>270</v>
      </c>
      <c r="B200" t="s">
        <v>1269</v>
      </c>
      <c r="C200" s="6">
        <v>45512</v>
      </c>
      <c r="D200" t="s">
        <v>2087</v>
      </c>
      <c r="E200" t="s">
        <v>2105</v>
      </c>
      <c r="F200" t="str">
        <f>_xlfn.XLOOKUP(E200,Table8[City],Table8[State])</f>
        <v>Rajasthan</v>
      </c>
      <c r="G200" t="str">
        <f>_xlfn.XLOOKUP(E200,Table8[City],Table8[Region])</f>
        <v>North</v>
      </c>
      <c r="H200" t="s">
        <v>28</v>
      </c>
      <c r="I200" t="str">
        <f>_xlfn.XLOOKUP(H200,Table6[Product],Table6[Category])</f>
        <v>Office</v>
      </c>
      <c r="J200" t="s">
        <v>63</v>
      </c>
      <c r="K200">
        <v>6</v>
      </c>
      <c r="L200">
        <f>_xlfn.XLOOKUP(H200,Table6[Product],Table6[Unit Price])</f>
        <v>18000</v>
      </c>
      <c r="M200">
        <f>_xlfn.XLOOKUP(H200,Table6[Product],Table6[Cost Price])</f>
        <v>14000</v>
      </c>
      <c r="N200" s="7">
        <v>0.3</v>
      </c>
      <c r="O200">
        <f t="shared" si="9"/>
        <v>75600</v>
      </c>
      <c r="P200">
        <f t="shared" si="10"/>
        <v>84000</v>
      </c>
      <c r="Q200">
        <f t="shared" si="11"/>
        <v>-8400</v>
      </c>
      <c r="R200" t="s">
        <v>45</v>
      </c>
      <c r="S200" t="s">
        <v>52</v>
      </c>
    </row>
    <row r="201" spans="1:19" ht="18" x14ac:dyDescent="0.5">
      <c r="A201" t="s">
        <v>271</v>
      </c>
      <c r="B201" t="s">
        <v>1270</v>
      </c>
      <c r="C201" s="6">
        <v>46010</v>
      </c>
      <c r="D201" t="s">
        <v>2083</v>
      </c>
      <c r="E201" t="s">
        <v>2106</v>
      </c>
      <c r="F201" t="str">
        <f>_xlfn.XLOOKUP(E201,Table8[City],Table8[State])</f>
        <v>West Bengal</v>
      </c>
      <c r="G201" t="str">
        <f>_xlfn.XLOOKUP(E201,Table8[City],Table8[Region])</f>
        <v>East</v>
      </c>
      <c r="H201" t="s">
        <v>25</v>
      </c>
      <c r="I201" t="str">
        <f>_xlfn.XLOOKUP(H201,Table6[Product],Table6[Category])</f>
        <v>Accessories</v>
      </c>
      <c r="J201" t="s">
        <v>56</v>
      </c>
      <c r="K201">
        <v>2</v>
      </c>
      <c r="L201">
        <f>_xlfn.XLOOKUP(H201,Table6[Product],Table6[Unit Price])</f>
        <v>800</v>
      </c>
      <c r="M201">
        <f>_xlfn.XLOOKUP(H201,Table6[Product],Table6[Cost Price])</f>
        <v>450</v>
      </c>
      <c r="N201" s="7">
        <v>0.19</v>
      </c>
      <c r="O201">
        <f t="shared" si="9"/>
        <v>1296</v>
      </c>
      <c r="P201">
        <f t="shared" si="10"/>
        <v>900</v>
      </c>
      <c r="Q201">
        <f t="shared" si="11"/>
        <v>396</v>
      </c>
      <c r="R201" t="s">
        <v>44</v>
      </c>
      <c r="S201" t="s">
        <v>50</v>
      </c>
    </row>
    <row r="202" spans="1:19" ht="18" x14ac:dyDescent="0.5">
      <c r="A202" t="s">
        <v>272</v>
      </c>
      <c r="B202" t="s">
        <v>1271</v>
      </c>
      <c r="C202" s="6">
        <v>45848</v>
      </c>
      <c r="D202" t="s">
        <v>2086</v>
      </c>
      <c r="E202" t="s">
        <v>2072</v>
      </c>
      <c r="F202" t="str">
        <f>_xlfn.XLOOKUP(E202,Table8[City],Table8[State])</f>
        <v>Karnataka</v>
      </c>
      <c r="G202" t="str">
        <f>_xlfn.XLOOKUP(E202,Table8[City],Table8[Region])</f>
        <v>South</v>
      </c>
      <c r="H202" t="s">
        <v>28</v>
      </c>
      <c r="I202" t="str">
        <f>_xlfn.XLOOKUP(H202,Table6[Product],Table6[Category])</f>
        <v>Office</v>
      </c>
      <c r="J202" t="s">
        <v>56</v>
      </c>
      <c r="K202">
        <v>10</v>
      </c>
      <c r="L202">
        <f>_xlfn.XLOOKUP(H202,Table6[Product],Table6[Unit Price])</f>
        <v>18000</v>
      </c>
      <c r="M202">
        <f>_xlfn.XLOOKUP(H202,Table6[Product],Table6[Cost Price])</f>
        <v>14000</v>
      </c>
      <c r="N202" s="7">
        <v>0.17</v>
      </c>
      <c r="O202">
        <f t="shared" si="9"/>
        <v>149400</v>
      </c>
      <c r="P202">
        <f t="shared" si="10"/>
        <v>140000</v>
      </c>
      <c r="Q202">
        <f t="shared" si="11"/>
        <v>9400</v>
      </c>
      <c r="R202" t="s">
        <v>43</v>
      </c>
      <c r="S202" t="s">
        <v>50</v>
      </c>
    </row>
    <row r="203" spans="1:19" ht="18" x14ac:dyDescent="0.5">
      <c r="A203" t="s">
        <v>273</v>
      </c>
      <c r="B203" t="s">
        <v>1272</v>
      </c>
      <c r="C203" s="6">
        <v>45636</v>
      </c>
      <c r="D203" t="s">
        <v>2096</v>
      </c>
      <c r="E203" t="s">
        <v>2073</v>
      </c>
      <c r="F203" t="str">
        <f>_xlfn.XLOOKUP(E203,Table8[City],Table8[State])</f>
        <v>Maharashtra</v>
      </c>
      <c r="G203" t="str">
        <f>_xlfn.XLOOKUP(E203,Table8[City],Table8[Region])</f>
        <v>West</v>
      </c>
      <c r="H203" t="s">
        <v>26</v>
      </c>
      <c r="I203" t="str">
        <f>_xlfn.XLOOKUP(H203,Table6[Product],Table6[Category])</f>
        <v>Office</v>
      </c>
      <c r="J203" t="s">
        <v>57</v>
      </c>
      <c r="K203">
        <v>3</v>
      </c>
      <c r="L203">
        <f>_xlfn.XLOOKUP(H203,Table6[Product],Table6[Unit Price])</f>
        <v>15000</v>
      </c>
      <c r="M203">
        <f>_xlfn.XLOOKUP(H203,Table6[Product],Table6[Cost Price])</f>
        <v>11500</v>
      </c>
      <c r="N203" s="7">
        <v>0.26</v>
      </c>
      <c r="O203">
        <f t="shared" si="9"/>
        <v>33300</v>
      </c>
      <c r="P203">
        <f t="shared" si="10"/>
        <v>34500</v>
      </c>
      <c r="Q203">
        <f t="shared" si="11"/>
        <v>-1200</v>
      </c>
      <c r="R203" t="s">
        <v>44</v>
      </c>
      <c r="S203" t="s">
        <v>49</v>
      </c>
    </row>
    <row r="204" spans="1:19" ht="18" x14ac:dyDescent="0.5">
      <c r="A204" t="s">
        <v>274</v>
      </c>
      <c r="B204" t="s">
        <v>1273</v>
      </c>
      <c r="C204" s="6">
        <v>45865</v>
      </c>
      <c r="D204" t="s">
        <v>69</v>
      </c>
      <c r="E204" t="s">
        <v>2077</v>
      </c>
      <c r="F204" t="str">
        <f>_xlfn.XLOOKUP(E204,Table8[City],Table8[State])</f>
        <v>Telangana</v>
      </c>
      <c r="G204" t="str">
        <f>_xlfn.XLOOKUP(E204,Table8[City],Table8[Region])</f>
        <v>South</v>
      </c>
      <c r="H204" t="s">
        <v>19</v>
      </c>
      <c r="I204" t="str">
        <f>_xlfn.XLOOKUP(H204,Table6[Product],Table6[Category])</f>
        <v>Electronics</v>
      </c>
      <c r="J204" t="s">
        <v>59</v>
      </c>
      <c r="K204">
        <v>2</v>
      </c>
      <c r="L204">
        <f>_xlfn.XLOOKUP(H204,Table6[Product],Table6[Unit Price])</f>
        <v>25000</v>
      </c>
      <c r="M204">
        <f>_xlfn.XLOOKUP(H204,Table6[Product],Table6[Cost Price])</f>
        <v>20000</v>
      </c>
      <c r="N204" s="7">
        <v>0.23</v>
      </c>
      <c r="O204">
        <f t="shared" si="9"/>
        <v>38500</v>
      </c>
      <c r="P204">
        <f t="shared" si="10"/>
        <v>40000</v>
      </c>
      <c r="Q204">
        <f t="shared" si="11"/>
        <v>-1500</v>
      </c>
      <c r="R204" t="s">
        <v>47</v>
      </c>
      <c r="S204" t="s">
        <v>51</v>
      </c>
    </row>
    <row r="205" spans="1:19" ht="18" x14ac:dyDescent="0.5">
      <c r="A205" t="s">
        <v>275</v>
      </c>
      <c r="B205" t="s">
        <v>1274</v>
      </c>
      <c r="C205" s="6">
        <v>45709</v>
      </c>
      <c r="D205" t="s">
        <v>2085</v>
      </c>
      <c r="E205" t="s">
        <v>2072</v>
      </c>
      <c r="F205" t="str">
        <f>_xlfn.XLOOKUP(E205,Table8[City],Table8[State])</f>
        <v>Karnataka</v>
      </c>
      <c r="G205" t="str">
        <f>_xlfn.XLOOKUP(E205,Table8[City],Table8[Region])</f>
        <v>South</v>
      </c>
      <c r="H205" t="s">
        <v>29</v>
      </c>
      <c r="I205" t="str">
        <f>_xlfn.XLOOKUP(H205,Table6[Product],Table6[Category])</f>
        <v>Electronics</v>
      </c>
      <c r="J205" t="s">
        <v>55</v>
      </c>
      <c r="K205">
        <v>3</v>
      </c>
      <c r="L205">
        <f>_xlfn.XLOOKUP(H205,Table6[Product],Table6[Unit Price])</f>
        <v>5000</v>
      </c>
      <c r="M205">
        <f>_xlfn.XLOOKUP(H205,Table6[Product],Table6[Cost Price])</f>
        <v>3200</v>
      </c>
      <c r="N205" s="7">
        <v>0.08</v>
      </c>
      <c r="O205">
        <f t="shared" si="9"/>
        <v>13800</v>
      </c>
      <c r="P205">
        <f t="shared" si="10"/>
        <v>9600</v>
      </c>
      <c r="Q205">
        <f t="shared" si="11"/>
        <v>4200</v>
      </c>
      <c r="R205" t="s">
        <v>45</v>
      </c>
      <c r="S205" t="s">
        <v>49</v>
      </c>
    </row>
    <row r="206" spans="1:19" ht="18" x14ac:dyDescent="0.5">
      <c r="A206" t="s">
        <v>276</v>
      </c>
      <c r="B206" t="s">
        <v>1275</v>
      </c>
      <c r="C206" s="6">
        <v>45979</v>
      </c>
      <c r="D206" t="s">
        <v>2096</v>
      </c>
      <c r="E206" t="s">
        <v>2074</v>
      </c>
      <c r="F206" t="str">
        <f>_xlfn.XLOOKUP(E206,Table8[City],Table8[State])</f>
        <v>Maharashtra</v>
      </c>
      <c r="G206" t="str">
        <f>_xlfn.XLOOKUP(E206,Table8[City],Table8[Region])</f>
        <v>West</v>
      </c>
      <c r="H206" t="s">
        <v>16</v>
      </c>
      <c r="I206" t="str">
        <f>_xlfn.XLOOKUP(H206,Table6[Product],Table6[Category])</f>
        <v>Electronics</v>
      </c>
      <c r="J206" t="s">
        <v>59</v>
      </c>
      <c r="K206">
        <v>2</v>
      </c>
      <c r="L206">
        <f>_xlfn.XLOOKUP(H206,Table6[Product],Table6[Unit Price])</f>
        <v>65000</v>
      </c>
      <c r="M206">
        <f>_xlfn.XLOOKUP(H206,Table6[Product],Table6[Cost Price])</f>
        <v>52000</v>
      </c>
      <c r="N206" s="7">
        <v>0.01</v>
      </c>
      <c r="O206">
        <f t="shared" si="9"/>
        <v>128700</v>
      </c>
      <c r="P206">
        <f t="shared" si="10"/>
        <v>104000</v>
      </c>
      <c r="Q206">
        <f t="shared" si="11"/>
        <v>24700</v>
      </c>
      <c r="R206" t="s">
        <v>45</v>
      </c>
      <c r="S206" t="s">
        <v>49</v>
      </c>
    </row>
    <row r="207" spans="1:19" ht="18" x14ac:dyDescent="0.5">
      <c r="A207" t="s">
        <v>277</v>
      </c>
      <c r="B207" t="s">
        <v>1276</v>
      </c>
      <c r="C207" s="6">
        <v>45760</v>
      </c>
      <c r="D207" t="s">
        <v>2085</v>
      </c>
      <c r="E207" t="s">
        <v>2105</v>
      </c>
      <c r="F207" t="str">
        <f>_xlfn.XLOOKUP(E207,Table8[City],Table8[State])</f>
        <v>Rajasthan</v>
      </c>
      <c r="G207" t="str">
        <f>_xlfn.XLOOKUP(E207,Table8[City],Table8[Region])</f>
        <v>North</v>
      </c>
      <c r="H207" t="s">
        <v>18</v>
      </c>
      <c r="I207" t="str">
        <f>_xlfn.XLOOKUP(H207,Table6[Product],Table6[Category])</f>
        <v>Electronics</v>
      </c>
      <c r="J207" t="s">
        <v>60</v>
      </c>
      <c r="K207">
        <v>7</v>
      </c>
      <c r="L207">
        <f>_xlfn.XLOOKUP(H207,Table6[Product],Table6[Unit Price])</f>
        <v>35000</v>
      </c>
      <c r="M207">
        <f>_xlfn.XLOOKUP(H207,Table6[Product],Table6[Cost Price])</f>
        <v>28000</v>
      </c>
      <c r="N207" s="7">
        <v>0.17</v>
      </c>
      <c r="O207">
        <f t="shared" si="9"/>
        <v>203350</v>
      </c>
      <c r="P207">
        <f t="shared" si="10"/>
        <v>196000</v>
      </c>
      <c r="Q207">
        <f t="shared" si="11"/>
        <v>7350</v>
      </c>
      <c r="R207" t="s">
        <v>46</v>
      </c>
      <c r="S207" t="s">
        <v>49</v>
      </c>
    </row>
    <row r="208" spans="1:19" ht="18" x14ac:dyDescent="0.5">
      <c r="A208" t="s">
        <v>278</v>
      </c>
      <c r="B208" t="s">
        <v>1277</v>
      </c>
      <c r="C208" s="6">
        <v>45312</v>
      </c>
      <c r="D208" t="s">
        <v>2093</v>
      </c>
      <c r="E208" t="s">
        <v>2076</v>
      </c>
      <c r="F208" t="str">
        <f>_xlfn.XLOOKUP(E208,Table8[City],Table8[State])</f>
        <v>Tamil Nadu</v>
      </c>
      <c r="G208" t="str">
        <f>_xlfn.XLOOKUP(E208,Table8[City],Table8[Region])</f>
        <v>South</v>
      </c>
      <c r="H208" t="s">
        <v>26</v>
      </c>
      <c r="I208" t="str">
        <f>_xlfn.XLOOKUP(H208,Table6[Product],Table6[Category])</f>
        <v>Office</v>
      </c>
      <c r="J208" t="s">
        <v>62</v>
      </c>
      <c r="K208">
        <v>2</v>
      </c>
      <c r="L208">
        <f>_xlfn.XLOOKUP(H208,Table6[Product],Table6[Unit Price])</f>
        <v>15000</v>
      </c>
      <c r="M208">
        <f>_xlfn.XLOOKUP(H208,Table6[Product],Table6[Cost Price])</f>
        <v>11500</v>
      </c>
      <c r="N208" s="7">
        <v>0.09</v>
      </c>
      <c r="O208">
        <f t="shared" si="9"/>
        <v>27300</v>
      </c>
      <c r="P208">
        <f t="shared" si="10"/>
        <v>23000</v>
      </c>
      <c r="Q208">
        <f t="shared" si="11"/>
        <v>4300</v>
      </c>
      <c r="R208" t="s">
        <v>44</v>
      </c>
      <c r="S208" t="s">
        <v>51</v>
      </c>
    </row>
    <row r="209" spans="1:19" ht="18" x14ac:dyDescent="0.5">
      <c r="A209" t="s">
        <v>279</v>
      </c>
      <c r="B209" t="s">
        <v>1278</v>
      </c>
      <c r="C209" s="6">
        <v>45777</v>
      </c>
      <c r="D209" t="s">
        <v>2093</v>
      </c>
      <c r="E209" t="s">
        <v>2078</v>
      </c>
      <c r="F209" t="str">
        <f>_xlfn.XLOOKUP(E209,Table8[City],Table8[State])</f>
        <v>Telangana</v>
      </c>
      <c r="G209" t="str">
        <f>_xlfn.XLOOKUP(E209,Table8[City],Table8[Region])</f>
        <v>South</v>
      </c>
      <c r="H209" t="s">
        <v>29</v>
      </c>
      <c r="I209" t="str">
        <f>_xlfn.XLOOKUP(H209,Table6[Product],Table6[Category])</f>
        <v>Electronics</v>
      </c>
      <c r="J209" t="s">
        <v>63</v>
      </c>
      <c r="K209">
        <v>3</v>
      </c>
      <c r="L209">
        <f>_xlfn.XLOOKUP(H209,Table6[Product],Table6[Unit Price])</f>
        <v>5000</v>
      </c>
      <c r="M209">
        <f>_xlfn.XLOOKUP(H209,Table6[Product],Table6[Cost Price])</f>
        <v>3200</v>
      </c>
      <c r="N209" s="7">
        <v>0.05</v>
      </c>
      <c r="O209">
        <f t="shared" si="9"/>
        <v>14250</v>
      </c>
      <c r="P209">
        <f t="shared" si="10"/>
        <v>9600</v>
      </c>
      <c r="Q209">
        <f t="shared" si="11"/>
        <v>4650</v>
      </c>
      <c r="R209" t="s">
        <v>46</v>
      </c>
      <c r="S209" t="s">
        <v>51</v>
      </c>
    </row>
    <row r="210" spans="1:19" ht="18" x14ac:dyDescent="0.5">
      <c r="A210" t="s">
        <v>280</v>
      </c>
      <c r="B210" t="s">
        <v>1279</v>
      </c>
      <c r="C210" s="6">
        <v>45408</v>
      </c>
      <c r="D210" t="s">
        <v>2095</v>
      </c>
      <c r="E210" t="s">
        <v>2077</v>
      </c>
      <c r="F210" t="str">
        <f>_xlfn.XLOOKUP(E210,Table8[City],Table8[State])</f>
        <v>Telangana</v>
      </c>
      <c r="G210" t="str">
        <f>_xlfn.XLOOKUP(E210,Table8[City],Table8[Region])</f>
        <v>South</v>
      </c>
      <c r="H210" t="s">
        <v>22</v>
      </c>
      <c r="I210" t="str">
        <f>_xlfn.XLOOKUP(H210,Table6[Product],Table6[Category])</f>
        <v>Wearables</v>
      </c>
      <c r="J210" t="s">
        <v>59</v>
      </c>
      <c r="K210">
        <v>1</v>
      </c>
      <c r="L210">
        <f>_xlfn.XLOOKUP(H210,Table6[Product],Table6[Unit Price])</f>
        <v>12000</v>
      </c>
      <c r="M210">
        <f>_xlfn.XLOOKUP(H210,Table6[Product],Table6[Cost Price])</f>
        <v>8500</v>
      </c>
      <c r="N210" s="7">
        <v>0.01</v>
      </c>
      <c r="O210">
        <f t="shared" si="9"/>
        <v>11880</v>
      </c>
      <c r="P210">
        <f t="shared" si="10"/>
        <v>8500</v>
      </c>
      <c r="Q210">
        <f t="shared" si="11"/>
        <v>3380</v>
      </c>
      <c r="R210" t="s">
        <v>46</v>
      </c>
      <c r="S210" t="s">
        <v>51</v>
      </c>
    </row>
    <row r="211" spans="1:19" ht="18" x14ac:dyDescent="0.5">
      <c r="A211" t="s">
        <v>281</v>
      </c>
      <c r="B211" t="s">
        <v>1280</v>
      </c>
      <c r="C211" s="6">
        <v>45885</v>
      </c>
      <c r="D211" t="s">
        <v>2092</v>
      </c>
      <c r="E211" t="s">
        <v>2105</v>
      </c>
      <c r="F211" t="str">
        <f>_xlfn.XLOOKUP(E211,Table8[City],Table8[State])</f>
        <v>Rajasthan</v>
      </c>
      <c r="G211" t="str">
        <f>_xlfn.XLOOKUP(E211,Table8[City],Table8[Region])</f>
        <v>North</v>
      </c>
      <c r="H211" t="s">
        <v>19</v>
      </c>
      <c r="I211" t="str">
        <f>_xlfn.XLOOKUP(H211,Table6[Product],Table6[Category])</f>
        <v>Electronics</v>
      </c>
      <c r="J211" t="s">
        <v>61</v>
      </c>
      <c r="K211">
        <v>4</v>
      </c>
      <c r="L211">
        <f>_xlfn.XLOOKUP(H211,Table6[Product],Table6[Unit Price])</f>
        <v>25000</v>
      </c>
      <c r="M211">
        <f>_xlfn.XLOOKUP(H211,Table6[Product],Table6[Cost Price])</f>
        <v>20000</v>
      </c>
      <c r="N211" s="7">
        <v>0.21</v>
      </c>
      <c r="O211">
        <f t="shared" si="9"/>
        <v>79000</v>
      </c>
      <c r="P211">
        <f t="shared" si="10"/>
        <v>80000</v>
      </c>
      <c r="Q211">
        <f t="shared" si="11"/>
        <v>-1000</v>
      </c>
      <c r="R211" t="s">
        <v>44</v>
      </c>
      <c r="S211" t="s">
        <v>52</v>
      </c>
    </row>
    <row r="212" spans="1:19" ht="18" x14ac:dyDescent="0.5">
      <c r="A212" t="s">
        <v>282</v>
      </c>
      <c r="B212" t="s">
        <v>1281</v>
      </c>
      <c r="C212" s="6">
        <v>45488</v>
      </c>
      <c r="D212" t="s">
        <v>2083</v>
      </c>
      <c r="E212" t="s">
        <v>2075</v>
      </c>
      <c r="F212" t="str">
        <f>_xlfn.XLOOKUP(E212,Table8[City],Table8[State])</f>
        <v>Tamil Nadu</v>
      </c>
      <c r="G212" t="str">
        <f>_xlfn.XLOOKUP(E212,Table8[City],Table8[Region])</f>
        <v>South</v>
      </c>
      <c r="H212" t="s">
        <v>28</v>
      </c>
      <c r="I212" t="str">
        <f>_xlfn.XLOOKUP(H212,Table6[Product],Table6[Category])</f>
        <v>Office</v>
      </c>
      <c r="J212" t="s">
        <v>55</v>
      </c>
      <c r="K212">
        <v>9</v>
      </c>
      <c r="L212">
        <f>_xlfn.XLOOKUP(H212,Table6[Product],Table6[Unit Price])</f>
        <v>18000</v>
      </c>
      <c r="M212">
        <f>_xlfn.XLOOKUP(H212,Table6[Product],Table6[Cost Price])</f>
        <v>14000</v>
      </c>
      <c r="N212" s="7">
        <v>0.19</v>
      </c>
      <c r="O212">
        <f t="shared" si="9"/>
        <v>131220</v>
      </c>
      <c r="P212">
        <f t="shared" si="10"/>
        <v>126000</v>
      </c>
      <c r="Q212">
        <f t="shared" si="11"/>
        <v>5220</v>
      </c>
      <c r="R212" t="s">
        <v>43</v>
      </c>
      <c r="S212" t="s">
        <v>49</v>
      </c>
    </row>
    <row r="213" spans="1:19" ht="18" x14ac:dyDescent="0.5">
      <c r="A213" t="s">
        <v>283</v>
      </c>
      <c r="B213" t="s">
        <v>1282</v>
      </c>
      <c r="C213" s="6">
        <v>45786</v>
      </c>
      <c r="D213" t="s">
        <v>2095</v>
      </c>
      <c r="E213" t="s">
        <v>2074</v>
      </c>
      <c r="F213" t="str">
        <f>_xlfn.XLOOKUP(E213,Table8[City],Table8[State])</f>
        <v>Maharashtra</v>
      </c>
      <c r="G213" t="str">
        <f>_xlfn.XLOOKUP(E213,Table8[City],Table8[Region])</f>
        <v>West</v>
      </c>
      <c r="H213" t="s">
        <v>22</v>
      </c>
      <c r="I213" t="str">
        <f>_xlfn.XLOOKUP(H213,Table6[Product],Table6[Category])</f>
        <v>Wearables</v>
      </c>
      <c r="J213" t="s">
        <v>56</v>
      </c>
      <c r="K213">
        <v>3</v>
      </c>
      <c r="L213">
        <f>_xlfn.XLOOKUP(H213,Table6[Product],Table6[Unit Price])</f>
        <v>12000</v>
      </c>
      <c r="M213">
        <f>_xlfn.XLOOKUP(H213,Table6[Product],Table6[Cost Price])</f>
        <v>8500</v>
      </c>
      <c r="N213" s="7">
        <v>0.06</v>
      </c>
      <c r="O213">
        <f t="shared" si="9"/>
        <v>33840</v>
      </c>
      <c r="P213">
        <f t="shared" si="10"/>
        <v>25500</v>
      </c>
      <c r="Q213">
        <f t="shared" si="11"/>
        <v>8340</v>
      </c>
      <c r="R213" t="s">
        <v>46</v>
      </c>
      <c r="S213" t="s">
        <v>51</v>
      </c>
    </row>
    <row r="214" spans="1:19" ht="18" x14ac:dyDescent="0.5">
      <c r="A214" t="s">
        <v>284</v>
      </c>
      <c r="B214" t="s">
        <v>1283</v>
      </c>
      <c r="C214" s="6">
        <v>45530</v>
      </c>
      <c r="D214" t="s">
        <v>2098</v>
      </c>
      <c r="E214" t="s">
        <v>2073</v>
      </c>
      <c r="F214" t="str">
        <f>_xlfn.XLOOKUP(E214,Table8[City],Table8[State])</f>
        <v>Maharashtra</v>
      </c>
      <c r="G214" t="str">
        <f>_xlfn.XLOOKUP(E214,Table8[City],Table8[Region])</f>
        <v>West</v>
      </c>
      <c r="H214" t="s">
        <v>24</v>
      </c>
      <c r="I214" t="str">
        <f>_xlfn.XLOOKUP(H214,Table6[Product],Table6[Category])</f>
        <v>Accessories</v>
      </c>
      <c r="J214" t="s">
        <v>61</v>
      </c>
      <c r="K214">
        <v>2</v>
      </c>
      <c r="L214">
        <f>_xlfn.XLOOKUP(H214,Table6[Product],Table6[Unit Price])</f>
        <v>1500</v>
      </c>
      <c r="M214">
        <f>_xlfn.XLOOKUP(H214,Table6[Product],Table6[Cost Price])</f>
        <v>900</v>
      </c>
      <c r="N214" s="7">
        <v>0.18</v>
      </c>
      <c r="O214">
        <f t="shared" si="9"/>
        <v>2460</v>
      </c>
      <c r="P214">
        <f t="shared" si="10"/>
        <v>1800</v>
      </c>
      <c r="Q214">
        <f t="shared" si="11"/>
        <v>660</v>
      </c>
      <c r="R214" t="s">
        <v>46</v>
      </c>
      <c r="S214" t="s">
        <v>49</v>
      </c>
    </row>
    <row r="215" spans="1:19" ht="18" x14ac:dyDescent="0.5">
      <c r="A215" t="s">
        <v>285</v>
      </c>
      <c r="B215" t="s">
        <v>1284</v>
      </c>
      <c r="C215" s="6">
        <v>45680</v>
      </c>
      <c r="D215" t="s">
        <v>2097</v>
      </c>
      <c r="E215" t="s">
        <v>2078</v>
      </c>
      <c r="F215" t="str">
        <f>_xlfn.XLOOKUP(E215,Table8[City],Table8[State])</f>
        <v>Telangana</v>
      </c>
      <c r="G215" t="str">
        <f>_xlfn.XLOOKUP(E215,Table8[City],Table8[Region])</f>
        <v>South</v>
      </c>
      <c r="H215" t="s">
        <v>29</v>
      </c>
      <c r="I215" t="str">
        <f>_xlfn.XLOOKUP(H215,Table6[Product],Table6[Category])</f>
        <v>Electronics</v>
      </c>
      <c r="J215" t="s">
        <v>59</v>
      </c>
      <c r="K215">
        <v>5</v>
      </c>
      <c r="L215">
        <f>_xlfn.XLOOKUP(H215,Table6[Product],Table6[Unit Price])</f>
        <v>5000</v>
      </c>
      <c r="M215">
        <f>_xlfn.XLOOKUP(H215,Table6[Product],Table6[Cost Price])</f>
        <v>3200</v>
      </c>
      <c r="N215" s="7">
        <v>0.18</v>
      </c>
      <c r="O215">
        <f t="shared" si="9"/>
        <v>20500</v>
      </c>
      <c r="P215">
        <f t="shared" si="10"/>
        <v>16000</v>
      </c>
      <c r="Q215">
        <f t="shared" si="11"/>
        <v>4500</v>
      </c>
      <c r="R215" t="s">
        <v>45</v>
      </c>
      <c r="S215" t="s">
        <v>52</v>
      </c>
    </row>
    <row r="216" spans="1:19" ht="18" x14ac:dyDescent="0.5">
      <c r="A216" t="s">
        <v>286</v>
      </c>
      <c r="B216" t="s">
        <v>1285</v>
      </c>
      <c r="C216" s="6">
        <v>45903</v>
      </c>
      <c r="D216" t="s">
        <v>2084</v>
      </c>
      <c r="E216" t="s">
        <v>2080</v>
      </c>
      <c r="F216" t="str">
        <f>_xlfn.XLOOKUP(E216,Table8[City],Table8[State])</f>
        <v>Gujarat</v>
      </c>
      <c r="G216" t="str">
        <f>_xlfn.XLOOKUP(E216,Table8[City],Table8[Region])</f>
        <v>West</v>
      </c>
      <c r="H216" t="s">
        <v>22</v>
      </c>
      <c r="I216" t="str">
        <f>_xlfn.XLOOKUP(H216,Table6[Product],Table6[Category])</f>
        <v>Wearables</v>
      </c>
      <c r="J216" t="s">
        <v>59</v>
      </c>
      <c r="K216">
        <v>10</v>
      </c>
      <c r="L216">
        <f>_xlfn.XLOOKUP(H216,Table6[Product],Table6[Unit Price])</f>
        <v>12000</v>
      </c>
      <c r="M216">
        <f>_xlfn.XLOOKUP(H216,Table6[Product],Table6[Cost Price])</f>
        <v>8500</v>
      </c>
      <c r="N216" s="7">
        <v>0.18</v>
      </c>
      <c r="O216">
        <f t="shared" si="9"/>
        <v>98400.000000000015</v>
      </c>
      <c r="P216">
        <f t="shared" si="10"/>
        <v>85000</v>
      </c>
      <c r="Q216">
        <f t="shared" si="11"/>
        <v>13400.000000000015</v>
      </c>
      <c r="R216" t="s">
        <v>47</v>
      </c>
      <c r="S216" t="s">
        <v>49</v>
      </c>
    </row>
    <row r="217" spans="1:19" ht="18" x14ac:dyDescent="0.5">
      <c r="A217" t="s">
        <v>287</v>
      </c>
      <c r="B217" t="s">
        <v>1286</v>
      </c>
      <c r="C217" s="6">
        <v>45510</v>
      </c>
      <c r="D217" t="s">
        <v>2086</v>
      </c>
      <c r="E217" t="s">
        <v>2080</v>
      </c>
      <c r="F217" t="str">
        <f>_xlfn.XLOOKUP(E217,Table8[City],Table8[State])</f>
        <v>Gujarat</v>
      </c>
      <c r="G217" t="str">
        <f>_xlfn.XLOOKUP(E217,Table8[City],Table8[Region])</f>
        <v>West</v>
      </c>
      <c r="H217" t="s">
        <v>25</v>
      </c>
      <c r="I217" t="str">
        <f>_xlfn.XLOOKUP(H217,Table6[Product],Table6[Category])</f>
        <v>Accessories</v>
      </c>
      <c r="J217" t="s">
        <v>60</v>
      </c>
      <c r="K217">
        <v>8</v>
      </c>
      <c r="L217">
        <f>_xlfn.XLOOKUP(H217,Table6[Product],Table6[Unit Price])</f>
        <v>800</v>
      </c>
      <c r="M217">
        <f>_xlfn.XLOOKUP(H217,Table6[Product],Table6[Cost Price])</f>
        <v>450</v>
      </c>
      <c r="N217" s="7">
        <v>0.16</v>
      </c>
      <c r="O217">
        <f t="shared" si="9"/>
        <v>5376</v>
      </c>
      <c r="P217">
        <f t="shared" si="10"/>
        <v>3600</v>
      </c>
      <c r="Q217">
        <f t="shared" si="11"/>
        <v>1776</v>
      </c>
      <c r="R217" t="s">
        <v>45</v>
      </c>
      <c r="S217" t="s">
        <v>50</v>
      </c>
    </row>
    <row r="218" spans="1:19" ht="18" x14ac:dyDescent="0.5">
      <c r="A218" t="s">
        <v>288</v>
      </c>
      <c r="B218" t="s">
        <v>1287</v>
      </c>
      <c r="C218" s="6">
        <v>45741</v>
      </c>
      <c r="D218" t="s">
        <v>2092</v>
      </c>
      <c r="E218" t="s">
        <v>2080</v>
      </c>
      <c r="F218" t="str">
        <f>_xlfn.XLOOKUP(E218,Table8[City],Table8[State])</f>
        <v>Gujarat</v>
      </c>
      <c r="G218" t="str">
        <f>_xlfn.XLOOKUP(E218,Table8[City],Table8[Region])</f>
        <v>West</v>
      </c>
      <c r="H218" t="s">
        <v>16</v>
      </c>
      <c r="I218" t="str">
        <f>_xlfn.XLOOKUP(H218,Table6[Product],Table6[Category])</f>
        <v>Electronics</v>
      </c>
      <c r="J218" t="s">
        <v>62</v>
      </c>
      <c r="K218">
        <v>8</v>
      </c>
      <c r="L218">
        <f>_xlfn.XLOOKUP(H218,Table6[Product],Table6[Unit Price])</f>
        <v>65000</v>
      </c>
      <c r="M218">
        <f>_xlfn.XLOOKUP(H218,Table6[Product],Table6[Cost Price])</f>
        <v>52000</v>
      </c>
      <c r="N218" s="7">
        <v>0.22</v>
      </c>
      <c r="O218">
        <f t="shared" si="9"/>
        <v>405600</v>
      </c>
      <c r="P218">
        <f t="shared" si="10"/>
        <v>416000</v>
      </c>
      <c r="Q218">
        <f t="shared" si="11"/>
        <v>-10400</v>
      </c>
      <c r="R218" t="s">
        <v>43</v>
      </c>
      <c r="S218" t="s">
        <v>52</v>
      </c>
    </row>
    <row r="219" spans="1:19" ht="18" x14ac:dyDescent="0.5">
      <c r="A219" t="s">
        <v>289</v>
      </c>
      <c r="B219" t="s">
        <v>1288</v>
      </c>
      <c r="C219" s="6">
        <v>45999</v>
      </c>
      <c r="D219" t="s">
        <v>69</v>
      </c>
      <c r="E219" t="s">
        <v>2104</v>
      </c>
      <c r="F219" t="str">
        <f>_xlfn.XLOOKUP(E219,Table8[City],Table8[State])</f>
        <v>Delhi</v>
      </c>
      <c r="G219" t="str">
        <f>_xlfn.XLOOKUP(E219,Table8[City],Table8[Region])</f>
        <v>North</v>
      </c>
      <c r="H219" t="s">
        <v>29</v>
      </c>
      <c r="I219" t="str">
        <f>_xlfn.XLOOKUP(H219,Table6[Product],Table6[Category])</f>
        <v>Electronics</v>
      </c>
      <c r="J219" t="s">
        <v>56</v>
      </c>
      <c r="K219">
        <v>1</v>
      </c>
      <c r="L219">
        <f>_xlfn.XLOOKUP(H219,Table6[Product],Table6[Unit Price])</f>
        <v>5000</v>
      </c>
      <c r="M219">
        <f>_xlfn.XLOOKUP(H219,Table6[Product],Table6[Cost Price])</f>
        <v>3200</v>
      </c>
      <c r="N219" s="7">
        <v>0.04</v>
      </c>
      <c r="O219">
        <f t="shared" si="9"/>
        <v>4800</v>
      </c>
      <c r="P219">
        <f t="shared" si="10"/>
        <v>3200</v>
      </c>
      <c r="Q219">
        <f t="shared" si="11"/>
        <v>1600</v>
      </c>
      <c r="R219" t="s">
        <v>44</v>
      </c>
      <c r="S219" t="s">
        <v>51</v>
      </c>
    </row>
    <row r="220" spans="1:19" ht="18" x14ac:dyDescent="0.5">
      <c r="A220" t="s">
        <v>290</v>
      </c>
      <c r="B220" t="s">
        <v>1289</v>
      </c>
      <c r="C220" s="6">
        <v>45998</v>
      </c>
      <c r="D220" t="s">
        <v>2090</v>
      </c>
      <c r="E220" t="s">
        <v>2079</v>
      </c>
      <c r="F220" t="str">
        <f>_xlfn.XLOOKUP(E220,Table8[City],Table8[State])</f>
        <v>Gujarat</v>
      </c>
      <c r="G220" t="str">
        <f>_xlfn.XLOOKUP(E220,Table8[City],Table8[Region])</f>
        <v>West</v>
      </c>
      <c r="H220" t="s">
        <v>19</v>
      </c>
      <c r="I220" t="str">
        <f>_xlfn.XLOOKUP(H220,Table6[Product],Table6[Category])</f>
        <v>Electronics</v>
      </c>
      <c r="J220" t="s">
        <v>54</v>
      </c>
      <c r="K220">
        <v>7</v>
      </c>
      <c r="L220">
        <f>_xlfn.XLOOKUP(H220,Table6[Product],Table6[Unit Price])</f>
        <v>25000</v>
      </c>
      <c r="M220">
        <f>_xlfn.XLOOKUP(H220,Table6[Product],Table6[Cost Price])</f>
        <v>20000</v>
      </c>
      <c r="N220" s="7">
        <v>0.3</v>
      </c>
      <c r="O220">
        <f t="shared" si="9"/>
        <v>122499.99999999999</v>
      </c>
      <c r="P220">
        <f t="shared" si="10"/>
        <v>140000</v>
      </c>
      <c r="Q220">
        <f t="shared" si="11"/>
        <v>-17500.000000000015</v>
      </c>
      <c r="R220" t="s">
        <v>47</v>
      </c>
      <c r="S220" t="s">
        <v>51</v>
      </c>
    </row>
    <row r="221" spans="1:19" ht="18" x14ac:dyDescent="0.5">
      <c r="A221" t="s">
        <v>291</v>
      </c>
      <c r="B221" t="s">
        <v>1290</v>
      </c>
      <c r="C221" s="6">
        <v>45957</v>
      </c>
      <c r="D221" t="s">
        <v>2087</v>
      </c>
      <c r="E221" t="s">
        <v>2080</v>
      </c>
      <c r="F221" t="str">
        <f>_xlfn.XLOOKUP(E221,Table8[City],Table8[State])</f>
        <v>Gujarat</v>
      </c>
      <c r="G221" t="str">
        <f>_xlfn.XLOOKUP(E221,Table8[City],Table8[Region])</f>
        <v>West</v>
      </c>
      <c r="H221" t="s">
        <v>25</v>
      </c>
      <c r="I221" t="str">
        <f>_xlfn.XLOOKUP(H221,Table6[Product],Table6[Category])</f>
        <v>Accessories</v>
      </c>
      <c r="J221" t="s">
        <v>57</v>
      </c>
      <c r="K221">
        <v>5</v>
      </c>
      <c r="L221">
        <f>_xlfn.XLOOKUP(H221,Table6[Product],Table6[Unit Price])</f>
        <v>800</v>
      </c>
      <c r="M221">
        <f>_xlfn.XLOOKUP(H221,Table6[Product],Table6[Cost Price])</f>
        <v>450</v>
      </c>
      <c r="N221" s="7">
        <v>0.13</v>
      </c>
      <c r="O221">
        <f t="shared" si="9"/>
        <v>3480</v>
      </c>
      <c r="P221">
        <f t="shared" si="10"/>
        <v>2250</v>
      </c>
      <c r="Q221">
        <f t="shared" si="11"/>
        <v>1230</v>
      </c>
      <c r="R221" t="s">
        <v>46</v>
      </c>
      <c r="S221" t="s">
        <v>50</v>
      </c>
    </row>
    <row r="222" spans="1:19" ht="18" x14ac:dyDescent="0.5">
      <c r="A222" t="s">
        <v>292</v>
      </c>
      <c r="B222" t="s">
        <v>1291</v>
      </c>
      <c r="C222" s="6">
        <v>45985</v>
      </c>
      <c r="D222" t="s">
        <v>69</v>
      </c>
      <c r="E222" t="s">
        <v>2072</v>
      </c>
      <c r="F222" t="str">
        <f>_xlfn.XLOOKUP(E222,Table8[City],Table8[State])</f>
        <v>Karnataka</v>
      </c>
      <c r="G222" t="str">
        <f>_xlfn.XLOOKUP(E222,Table8[City],Table8[Region])</f>
        <v>South</v>
      </c>
      <c r="H222" t="s">
        <v>18</v>
      </c>
      <c r="I222" t="str">
        <f>_xlfn.XLOOKUP(H222,Table6[Product],Table6[Category])</f>
        <v>Electronics</v>
      </c>
      <c r="J222" t="s">
        <v>55</v>
      </c>
      <c r="K222">
        <v>3</v>
      </c>
      <c r="L222">
        <f>_xlfn.XLOOKUP(H222,Table6[Product],Table6[Unit Price])</f>
        <v>35000</v>
      </c>
      <c r="M222">
        <f>_xlfn.XLOOKUP(H222,Table6[Product],Table6[Cost Price])</f>
        <v>28000</v>
      </c>
      <c r="N222" s="7">
        <v>0.14000000000000001</v>
      </c>
      <c r="O222">
        <f t="shared" si="9"/>
        <v>90300</v>
      </c>
      <c r="P222">
        <f t="shared" si="10"/>
        <v>84000</v>
      </c>
      <c r="Q222">
        <f t="shared" si="11"/>
        <v>6300</v>
      </c>
      <c r="R222" t="s">
        <v>47</v>
      </c>
      <c r="S222" t="s">
        <v>52</v>
      </c>
    </row>
    <row r="223" spans="1:19" ht="18" x14ac:dyDescent="0.5">
      <c r="A223" t="s">
        <v>293</v>
      </c>
      <c r="B223" t="s">
        <v>1292</v>
      </c>
      <c r="C223" s="6">
        <v>45393</v>
      </c>
      <c r="D223" t="s">
        <v>2095</v>
      </c>
      <c r="E223" t="s">
        <v>70</v>
      </c>
      <c r="F223" t="str">
        <f>_xlfn.XLOOKUP(E223,Table8[City],Table8[State])</f>
        <v>Karnataka</v>
      </c>
      <c r="G223" t="str">
        <f>_xlfn.XLOOKUP(E223,Table8[City],Table8[Region])</f>
        <v>South</v>
      </c>
      <c r="H223" t="s">
        <v>16</v>
      </c>
      <c r="I223" t="str">
        <f>_xlfn.XLOOKUP(H223,Table6[Product],Table6[Category])</f>
        <v>Electronics</v>
      </c>
      <c r="J223" t="s">
        <v>58</v>
      </c>
      <c r="K223">
        <v>3</v>
      </c>
      <c r="L223">
        <f>_xlfn.XLOOKUP(H223,Table6[Product],Table6[Unit Price])</f>
        <v>65000</v>
      </c>
      <c r="M223">
        <f>_xlfn.XLOOKUP(H223,Table6[Product],Table6[Cost Price])</f>
        <v>52000</v>
      </c>
      <c r="N223" s="7">
        <v>0.21</v>
      </c>
      <c r="O223">
        <f t="shared" si="9"/>
        <v>154050</v>
      </c>
      <c r="P223">
        <f t="shared" si="10"/>
        <v>156000</v>
      </c>
      <c r="Q223">
        <f t="shared" si="11"/>
        <v>-1950</v>
      </c>
      <c r="R223" t="s">
        <v>45</v>
      </c>
      <c r="S223" t="s">
        <v>52</v>
      </c>
    </row>
    <row r="224" spans="1:19" ht="18" x14ac:dyDescent="0.5">
      <c r="A224" t="s">
        <v>294</v>
      </c>
      <c r="B224" t="s">
        <v>1293</v>
      </c>
      <c r="C224" s="6">
        <v>45678</v>
      </c>
      <c r="D224" t="s">
        <v>2090</v>
      </c>
      <c r="E224" t="s">
        <v>2072</v>
      </c>
      <c r="F224" t="str">
        <f>_xlfn.XLOOKUP(E224,Table8[City],Table8[State])</f>
        <v>Karnataka</v>
      </c>
      <c r="G224" t="str">
        <f>_xlfn.XLOOKUP(E224,Table8[City],Table8[Region])</f>
        <v>South</v>
      </c>
      <c r="H224" t="s">
        <v>16</v>
      </c>
      <c r="I224" t="str">
        <f>_xlfn.XLOOKUP(H224,Table6[Product],Table6[Category])</f>
        <v>Electronics</v>
      </c>
      <c r="J224" t="s">
        <v>54</v>
      </c>
      <c r="K224">
        <v>4</v>
      </c>
      <c r="L224">
        <f>_xlfn.XLOOKUP(H224,Table6[Product],Table6[Unit Price])</f>
        <v>65000</v>
      </c>
      <c r="M224">
        <f>_xlfn.XLOOKUP(H224,Table6[Product],Table6[Cost Price])</f>
        <v>52000</v>
      </c>
      <c r="N224" s="7">
        <v>0.25</v>
      </c>
      <c r="O224">
        <f t="shared" si="9"/>
        <v>195000</v>
      </c>
      <c r="P224">
        <f t="shared" si="10"/>
        <v>208000</v>
      </c>
      <c r="Q224">
        <f t="shared" si="11"/>
        <v>-13000</v>
      </c>
      <c r="R224" t="s">
        <v>45</v>
      </c>
      <c r="S224" t="s">
        <v>52</v>
      </c>
    </row>
    <row r="225" spans="1:19" ht="18" x14ac:dyDescent="0.5">
      <c r="A225" t="s">
        <v>295</v>
      </c>
      <c r="B225" t="s">
        <v>1294</v>
      </c>
      <c r="C225" s="6">
        <v>45979</v>
      </c>
      <c r="D225" t="s">
        <v>2093</v>
      </c>
      <c r="E225" t="s">
        <v>70</v>
      </c>
      <c r="F225" t="str">
        <f>_xlfn.XLOOKUP(E225,Table8[City],Table8[State])</f>
        <v>Karnataka</v>
      </c>
      <c r="G225" t="str">
        <f>_xlfn.XLOOKUP(E225,Table8[City],Table8[Region])</f>
        <v>South</v>
      </c>
      <c r="H225" t="s">
        <v>28</v>
      </c>
      <c r="I225" t="str">
        <f>_xlfn.XLOOKUP(H225,Table6[Product],Table6[Category])</f>
        <v>Office</v>
      </c>
      <c r="J225" t="s">
        <v>63</v>
      </c>
      <c r="K225">
        <v>2</v>
      </c>
      <c r="L225">
        <f>_xlfn.XLOOKUP(H225,Table6[Product],Table6[Unit Price])</f>
        <v>18000</v>
      </c>
      <c r="M225">
        <f>_xlfn.XLOOKUP(H225,Table6[Product],Table6[Cost Price])</f>
        <v>14000</v>
      </c>
      <c r="N225" s="7">
        <v>0.06</v>
      </c>
      <c r="O225">
        <f t="shared" si="9"/>
        <v>33840</v>
      </c>
      <c r="P225">
        <f t="shared" si="10"/>
        <v>28000</v>
      </c>
      <c r="Q225">
        <f t="shared" si="11"/>
        <v>5840</v>
      </c>
      <c r="R225" t="s">
        <v>44</v>
      </c>
      <c r="S225" t="s">
        <v>49</v>
      </c>
    </row>
    <row r="226" spans="1:19" ht="18" x14ac:dyDescent="0.5">
      <c r="A226" t="s">
        <v>296</v>
      </c>
      <c r="B226" t="s">
        <v>1295</v>
      </c>
      <c r="C226" s="6">
        <v>45641</v>
      </c>
      <c r="D226" t="s">
        <v>2083</v>
      </c>
      <c r="E226" t="s">
        <v>2078</v>
      </c>
      <c r="F226" t="str">
        <f>_xlfn.XLOOKUP(E226,Table8[City],Table8[State])</f>
        <v>Telangana</v>
      </c>
      <c r="G226" t="str">
        <f>_xlfn.XLOOKUP(E226,Table8[City],Table8[Region])</f>
        <v>South</v>
      </c>
      <c r="H226" t="s">
        <v>28</v>
      </c>
      <c r="I226" t="str">
        <f>_xlfn.XLOOKUP(H226,Table6[Product],Table6[Category])</f>
        <v>Office</v>
      </c>
      <c r="J226" t="s">
        <v>59</v>
      </c>
      <c r="K226">
        <v>10</v>
      </c>
      <c r="L226">
        <f>_xlfn.XLOOKUP(H226,Table6[Product],Table6[Unit Price])</f>
        <v>18000</v>
      </c>
      <c r="M226">
        <f>_xlfn.XLOOKUP(H226,Table6[Product],Table6[Cost Price])</f>
        <v>14000</v>
      </c>
      <c r="N226" s="7">
        <v>0.15</v>
      </c>
      <c r="O226">
        <f t="shared" si="9"/>
        <v>153000</v>
      </c>
      <c r="P226">
        <f t="shared" si="10"/>
        <v>140000</v>
      </c>
      <c r="Q226">
        <f t="shared" si="11"/>
        <v>13000</v>
      </c>
      <c r="R226" t="s">
        <v>47</v>
      </c>
      <c r="S226" t="s">
        <v>52</v>
      </c>
    </row>
    <row r="227" spans="1:19" ht="18" x14ac:dyDescent="0.5">
      <c r="A227" t="s">
        <v>297</v>
      </c>
      <c r="B227" t="s">
        <v>1296</v>
      </c>
      <c r="C227" s="6">
        <v>45655</v>
      </c>
      <c r="D227" t="s">
        <v>2097</v>
      </c>
      <c r="E227" t="s">
        <v>2077</v>
      </c>
      <c r="F227" t="str">
        <f>_xlfn.XLOOKUP(E227,Table8[City],Table8[State])</f>
        <v>Telangana</v>
      </c>
      <c r="G227" t="str">
        <f>_xlfn.XLOOKUP(E227,Table8[City],Table8[Region])</f>
        <v>South</v>
      </c>
      <c r="H227" t="s">
        <v>25</v>
      </c>
      <c r="I227" t="str">
        <f>_xlfn.XLOOKUP(H227,Table6[Product],Table6[Category])</f>
        <v>Accessories</v>
      </c>
      <c r="J227" t="s">
        <v>59</v>
      </c>
      <c r="K227">
        <v>2</v>
      </c>
      <c r="L227">
        <f>_xlfn.XLOOKUP(H227,Table6[Product],Table6[Unit Price])</f>
        <v>800</v>
      </c>
      <c r="M227">
        <f>_xlfn.XLOOKUP(H227,Table6[Product],Table6[Cost Price])</f>
        <v>450</v>
      </c>
      <c r="N227" s="7">
        <v>0.16</v>
      </c>
      <c r="O227">
        <f t="shared" si="9"/>
        <v>1344</v>
      </c>
      <c r="P227">
        <f t="shared" si="10"/>
        <v>900</v>
      </c>
      <c r="Q227">
        <f t="shared" si="11"/>
        <v>444</v>
      </c>
      <c r="R227" t="s">
        <v>44</v>
      </c>
      <c r="S227" t="s">
        <v>50</v>
      </c>
    </row>
    <row r="228" spans="1:19" ht="18" x14ac:dyDescent="0.5">
      <c r="A228" t="s">
        <v>298</v>
      </c>
      <c r="B228" t="s">
        <v>1297</v>
      </c>
      <c r="C228" s="6">
        <v>45962</v>
      </c>
      <c r="D228" t="s">
        <v>2092</v>
      </c>
      <c r="E228" t="s">
        <v>2104</v>
      </c>
      <c r="F228" t="str">
        <f>_xlfn.XLOOKUP(E228,Table8[City],Table8[State])</f>
        <v>Delhi</v>
      </c>
      <c r="G228" t="str">
        <f>_xlfn.XLOOKUP(E228,Table8[City],Table8[Region])</f>
        <v>North</v>
      </c>
      <c r="H228" t="s">
        <v>19</v>
      </c>
      <c r="I228" t="str">
        <f>_xlfn.XLOOKUP(H228,Table6[Product],Table6[Category])</f>
        <v>Electronics</v>
      </c>
      <c r="J228" t="s">
        <v>54</v>
      </c>
      <c r="K228">
        <v>6</v>
      </c>
      <c r="L228">
        <f>_xlfn.XLOOKUP(H228,Table6[Product],Table6[Unit Price])</f>
        <v>25000</v>
      </c>
      <c r="M228">
        <f>_xlfn.XLOOKUP(H228,Table6[Product],Table6[Cost Price])</f>
        <v>20000</v>
      </c>
      <c r="N228" s="7">
        <v>0.06</v>
      </c>
      <c r="O228">
        <f t="shared" si="9"/>
        <v>141000</v>
      </c>
      <c r="P228">
        <f t="shared" si="10"/>
        <v>120000</v>
      </c>
      <c r="Q228">
        <f t="shared" si="11"/>
        <v>21000</v>
      </c>
      <c r="R228" t="s">
        <v>43</v>
      </c>
      <c r="S228" t="s">
        <v>49</v>
      </c>
    </row>
    <row r="229" spans="1:19" ht="18" x14ac:dyDescent="0.5">
      <c r="A229" t="s">
        <v>299</v>
      </c>
      <c r="B229" t="s">
        <v>1298</v>
      </c>
      <c r="C229" s="6">
        <v>45487</v>
      </c>
      <c r="D229" t="s">
        <v>2099</v>
      </c>
      <c r="E229" t="s">
        <v>2076</v>
      </c>
      <c r="F229" t="str">
        <f>_xlfn.XLOOKUP(E229,Table8[City],Table8[State])</f>
        <v>Tamil Nadu</v>
      </c>
      <c r="G229" t="str">
        <f>_xlfn.XLOOKUP(E229,Table8[City],Table8[Region])</f>
        <v>South</v>
      </c>
      <c r="H229" t="s">
        <v>20</v>
      </c>
      <c r="I229" t="str">
        <f>_xlfn.XLOOKUP(H229,Table6[Product],Table6[Category])</f>
        <v>Accessories</v>
      </c>
      <c r="J229" t="s">
        <v>55</v>
      </c>
      <c r="K229">
        <v>6</v>
      </c>
      <c r="L229">
        <f>_xlfn.XLOOKUP(H229,Table6[Product],Table6[Unit Price])</f>
        <v>3000</v>
      </c>
      <c r="M229">
        <f>_xlfn.XLOOKUP(H229,Table6[Product],Table6[Cost Price])</f>
        <v>1800</v>
      </c>
      <c r="N229" s="7">
        <v>0.23</v>
      </c>
      <c r="O229">
        <f t="shared" si="9"/>
        <v>13860</v>
      </c>
      <c r="P229">
        <f t="shared" si="10"/>
        <v>10800</v>
      </c>
      <c r="Q229">
        <f t="shared" si="11"/>
        <v>3060</v>
      </c>
      <c r="R229" t="s">
        <v>46</v>
      </c>
      <c r="S229" t="s">
        <v>50</v>
      </c>
    </row>
    <row r="230" spans="1:19" ht="18" x14ac:dyDescent="0.5">
      <c r="A230" t="s">
        <v>300</v>
      </c>
      <c r="B230" t="s">
        <v>1299</v>
      </c>
      <c r="C230" s="6">
        <v>45962</v>
      </c>
      <c r="D230" t="s">
        <v>2090</v>
      </c>
      <c r="E230" t="s">
        <v>2076</v>
      </c>
      <c r="F230" t="str">
        <f>_xlfn.XLOOKUP(E230,Table8[City],Table8[State])</f>
        <v>Tamil Nadu</v>
      </c>
      <c r="G230" t="str">
        <f>_xlfn.XLOOKUP(E230,Table8[City],Table8[Region])</f>
        <v>South</v>
      </c>
      <c r="H230" t="s">
        <v>26</v>
      </c>
      <c r="I230" t="str">
        <f>_xlfn.XLOOKUP(H230,Table6[Product],Table6[Category])</f>
        <v>Office</v>
      </c>
      <c r="J230" t="s">
        <v>57</v>
      </c>
      <c r="K230">
        <v>6</v>
      </c>
      <c r="L230">
        <f>_xlfn.XLOOKUP(H230,Table6[Product],Table6[Unit Price])</f>
        <v>15000</v>
      </c>
      <c r="M230">
        <f>_xlfn.XLOOKUP(H230,Table6[Product],Table6[Cost Price])</f>
        <v>11500</v>
      </c>
      <c r="N230" s="7">
        <v>0.11</v>
      </c>
      <c r="O230">
        <f t="shared" si="9"/>
        <v>80100</v>
      </c>
      <c r="P230">
        <f t="shared" si="10"/>
        <v>69000</v>
      </c>
      <c r="Q230">
        <f t="shared" si="11"/>
        <v>11100</v>
      </c>
      <c r="R230" t="s">
        <v>47</v>
      </c>
      <c r="S230" t="s">
        <v>51</v>
      </c>
    </row>
    <row r="231" spans="1:19" ht="18" x14ac:dyDescent="0.5">
      <c r="A231" t="s">
        <v>301</v>
      </c>
      <c r="B231" t="s">
        <v>1300</v>
      </c>
      <c r="C231" s="6">
        <v>45700</v>
      </c>
      <c r="D231" t="s">
        <v>2085</v>
      </c>
      <c r="E231" t="s">
        <v>2073</v>
      </c>
      <c r="F231" t="str">
        <f>_xlfn.XLOOKUP(E231,Table8[City],Table8[State])</f>
        <v>Maharashtra</v>
      </c>
      <c r="G231" t="str">
        <f>_xlfn.XLOOKUP(E231,Table8[City],Table8[Region])</f>
        <v>West</v>
      </c>
      <c r="H231" t="s">
        <v>29</v>
      </c>
      <c r="I231" t="str">
        <f>_xlfn.XLOOKUP(H231,Table6[Product],Table6[Category])</f>
        <v>Electronics</v>
      </c>
      <c r="J231" t="s">
        <v>55</v>
      </c>
      <c r="K231">
        <v>2</v>
      </c>
      <c r="L231">
        <f>_xlfn.XLOOKUP(H231,Table6[Product],Table6[Unit Price])</f>
        <v>5000</v>
      </c>
      <c r="M231">
        <f>_xlfn.XLOOKUP(H231,Table6[Product],Table6[Cost Price])</f>
        <v>3200</v>
      </c>
      <c r="N231" s="7">
        <v>0.14000000000000001</v>
      </c>
      <c r="O231">
        <f t="shared" si="9"/>
        <v>8600</v>
      </c>
      <c r="P231">
        <f t="shared" si="10"/>
        <v>6400</v>
      </c>
      <c r="Q231">
        <f t="shared" si="11"/>
        <v>2200</v>
      </c>
      <c r="R231" t="s">
        <v>43</v>
      </c>
      <c r="S231" t="s">
        <v>52</v>
      </c>
    </row>
    <row r="232" spans="1:19" ht="18" x14ac:dyDescent="0.5">
      <c r="A232" t="s">
        <v>302</v>
      </c>
      <c r="B232" t="s">
        <v>1301</v>
      </c>
      <c r="C232" s="6">
        <v>45712</v>
      </c>
      <c r="D232" t="s">
        <v>63</v>
      </c>
      <c r="E232" t="s">
        <v>2106</v>
      </c>
      <c r="F232" t="str">
        <f>_xlfn.XLOOKUP(E232,Table8[City],Table8[State])</f>
        <v>West Bengal</v>
      </c>
      <c r="G232" t="str">
        <f>_xlfn.XLOOKUP(E232,Table8[City],Table8[Region])</f>
        <v>East</v>
      </c>
      <c r="H232" t="s">
        <v>29</v>
      </c>
      <c r="I232" t="str">
        <f>_xlfn.XLOOKUP(H232,Table6[Product],Table6[Category])</f>
        <v>Electronics</v>
      </c>
      <c r="J232" t="s">
        <v>58</v>
      </c>
      <c r="K232">
        <v>6</v>
      </c>
      <c r="L232">
        <f>_xlfn.XLOOKUP(H232,Table6[Product],Table6[Unit Price])</f>
        <v>5000</v>
      </c>
      <c r="M232">
        <f>_xlfn.XLOOKUP(H232,Table6[Product],Table6[Cost Price])</f>
        <v>3200</v>
      </c>
      <c r="N232" s="7">
        <v>0.08</v>
      </c>
      <c r="O232">
        <f t="shared" si="9"/>
        <v>27600</v>
      </c>
      <c r="P232">
        <f t="shared" si="10"/>
        <v>19200</v>
      </c>
      <c r="Q232">
        <f t="shared" si="11"/>
        <v>8400</v>
      </c>
      <c r="R232" t="s">
        <v>47</v>
      </c>
      <c r="S232" t="s">
        <v>49</v>
      </c>
    </row>
    <row r="233" spans="1:19" ht="18" x14ac:dyDescent="0.5">
      <c r="A233" t="s">
        <v>303</v>
      </c>
      <c r="B233" t="s">
        <v>1302</v>
      </c>
      <c r="C233" s="6">
        <v>45519</v>
      </c>
      <c r="D233" t="s">
        <v>63</v>
      </c>
      <c r="E233" t="s">
        <v>2080</v>
      </c>
      <c r="F233" t="str">
        <f>_xlfn.XLOOKUP(E233,Table8[City],Table8[State])</f>
        <v>Gujarat</v>
      </c>
      <c r="G233" t="str">
        <f>_xlfn.XLOOKUP(E233,Table8[City],Table8[Region])</f>
        <v>West</v>
      </c>
      <c r="H233" t="s">
        <v>26</v>
      </c>
      <c r="I233" t="str">
        <f>_xlfn.XLOOKUP(H233,Table6[Product],Table6[Category])</f>
        <v>Office</v>
      </c>
      <c r="J233" t="s">
        <v>57</v>
      </c>
      <c r="K233">
        <v>10</v>
      </c>
      <c r="L233">
        <f>_xlfn.XLOOKUP(H233,Table6[Product],Table6[Unit Price])</f>
        <v>15000</v>
      </c>
      <c r="M233">
        <f>_xlfn.XLOOKUP(H233,Table6[Product],Table6[Cost Price])</f>
        <v>11500</v>
      </c>
      <c r="N233" s="7">
        <v>0.14000000000000001</v>
      </c>
      <c r="O233">
        <f t="shared" si="9"/>
        <v>129000</v>
      </c>
      <c r="P233">
        <f t="shared" si="10"/>
        <v>115000</v>
      </c>
      <c r="Q233">
        <f t="shared" si="11"/>
        <v>14000</v>
      </c>
      <c r="R233" t="s">
        <v>43</v>
      </c>
      <c r="S233" t="s">
        <v>50</v>
      </c>
    </row>
    <row r="234" spans="1:19" ht="18" x14ac:dyDescent="0.5">
      <c r="A234" t="s">
        <v>304</v>
      </c>
      <c r="B234" t="s">
        <v>1303</v>
      </c>
      <c r="C234" s="6">
        <v>45782</v>
      </c>
      <c r="D234" t="s">
        <v>2099</v>
      </c>
      <c r="E234" t="s">
        <v>2073</v>
      </c>
      <c r="F234" t="str">
        <f>_xlfn.XLOOKUP(E234,Table8[City],Table8[State])</f>
        <v>Maharashtra</v>
      </c>
      <c r="G234" t="str">
        <f>_xlfn.XLOOKUP(E234,Table8[City],Table8[Region])</f>
        <v>West</v>
      </c>
      <c r="H234" t="s">
        <v>16</v>
      </c>
      <c r="I234" t="str">
        <f>_xlfn.XLOOKUP(H234,Table6[Product],Table6[Category])</f>
        <v>Electronics</v>
      </c>
      <c r="J234" t="s">
        <v>62</v>
      </c>
      <c r="K234">
        <v>5</v>
      </c>
      <c r="L234">
        <f>_xlfn.XLOOKUP(H234,Table6[Product],Table6[Unit Price])</f>
        <v>65000</v>
      </c>
      <c r="M234">
        <f>_xlfn.XLOOKUP(H234,Table6[Product],Table6[Cost Price])</f>
        <v>52000</v>
      </c>
      <c r="N234" s="7">
        <v>0.03</v>
      </c>
      <c r="O234">
        <f t="shared" si="9"/>
        <v>315250</v>
      </c>
      <c r="P234">
        <f t="shared" si="10"/>
        <v>260000</v>
      </c>
      <c r="Q234">
        <f t="shared" si="11"/>
        <v>55250</v>
      </c>
      <c r="R234" t="s">
        <v>44</v>
      </c>
      <c r="S234" t="s">
        <v>49</v>
      </c>
    </row>
    <row r="235" spans="1:19" ht="18" x14ac:dyDescent="0.5">
      <c r="A235" t="s">
        <v>305</v>
      </c>
      <c r="B235" t="s">
        <v>1304</v>
      </c>
      <c r="C235" s="6">
        <v>45734</v>
      </c>
      <c r="D235" t="s">
        <v>2088</v>
      </c>
      <c r="E235" t="s">
        <v>2079</v>
      </c>
      <c r="F235" t="str">
        <f>_xlfn.XLOOKUP(E235,Table8[City],Table8[State])</f>
        <v>Gujarat</v>
      </c>
      <c r="G235" t="str">
        <f>_xlfn.XLOOKUP(E235,Table8[City],Table8[Region])</f>
        <v>West</v>
      </c>
      <c r="H235" t="s">
        <v>25</v>
      </c>
      <c r="I235" t="str">
        <f>_xlfn.XLOOKUP(H235,Table6[Product],Table6[Category])</f>
        <v>Accessories</v>
      </c>
      <c r="J235" t="s">
        <v>60</v>
      </c>
      <c r="K235">
        <v>10</v>
      </c>
      <c r="L235">
        <f>_xlfn.XLOOKUP(H235,Table6[Product],Table6[Unit Price])</f>
        <v>800</v>
      </c>
      <c r="M235">
        <f>_xlfn.XLOOKUP(H235,Table6[Product],Table6[Cost Price])</f>
        <v>450</v>
      </c>
      <c r="N235" s="7">
        <v>0.05</v>
      </c>
      <c r="O235">
        <f t="shared" si="9"/>
        <v>7600</v>
      </c>
      <c r="P235">
        <f t="shared" si="10"/>
        <v>4500</v>
      </c>
      <c r="Q235">
        <f t="shared" si="11"/>
        <v>3100</v>
      </c>
      <c r="R235" t="s">
        <v>46</v>
      </c>
      <c r="S235" t="s">
        <v>50</v>
      </c>
    </row>
    <row r="236" spans="1:19" ht="18" x14ac:dyDescent="0.5">
      <c r="A236" t="s">
        <v>306</v>
      </c>
      <c r="B236" t="s">
        <v>1305</v>
      </c>
      <c r="C236" s="6">
        <v>45787</v>
      </c>
      <c r="D236" t="s">
        <v>2087</v>
      </c>
      <c r="E236" t="s">
        <v>2105</v>
      </c>
      <c r="F236" t="str">
        <f>_xlfn.XLOOKUP(E236,Table8[City],Table8[State])</f>
        <v>Rajasthan</v>
      </c>
      <c r="G236" t="str">
        <f>_xlfn.XLOOKUP(E236,Table8[City],Table8[Region])</f>
        <v>North</v>
      </c>
      <c r="H236" t="s">
        <v>22</v>
      </c>
      <c r="I236" t="str">
        <f>_xlfn.XLOOKUP(H236,Table6[Product],Table6[Category])</f>
        <v>Wearables</v>
      </c>
      <c r="J236" t="s">
        <v>59</v>
      </c>
      <c r="K236">
        <v>3</v>
      </c>
      <c r="L236">
        <f>_xlfn.XLOOKUP(H236,Table6[Product],Table6[Unit Price])</f>
        <v>12000</v>
      </c>
      <c r="M236">
        <f>_xlfn.XLOOKUP(H236,Table6[Product],Table6[Cost Price])</f>
        <v>8500</v>
      </c>
      <c r="N236" s="7">
        <v>0.1</v>
      </c>
      <c r="O236">
        <f t="shared" si="9"/>
        <v>32400</v>
      </c>
      <c r="P236">
        <f t="shared" si="10"/>
        <v>25500</v>
      </c>
      <c r="Q236">
        <f t="shared" si="11"/>
        <v>6900</v>
      </c>
      <c r="R236" t="s">
        <v>47</v>
      </c>
      <c r="S236" t="s">
        <v>49</v>
      </c>
    </row>
    <row r="237" spans="1:19" ht="18" x14ac:dyDescent="0.5">
      <c r="A237" t="s">
        <v>307</v>
      </c>
      <c r="B237" t="s">
        <v>1306</v>
      </c>
      <c r="C237" s="6">
        <v>45867</v>
      </c>
      <c r="D237" t="s">
        <v>2098</v>
      </c>
      <c r="E237" t="s">
        <v>70</v>
      </c>
      <c r="F237" t="str">
        <f>_xlfn.XLOOKUP(E237,Table8[City],Table8[State])</f>
        <v>Karnataka</v>
      </c>
      <c r="G237" t="str">
        <f>_xlfn.XLOOKUP(E237,Table8[City],Table8[Region])</f>
        <v>South</v>
      </c>
      <c r="H237" t="s">
        <v>28</v>
      </c>
      <c r="I237" t="str">
        <f>_xlfn.XLOOKUP(H237,Table6[Product],Table6[Category])</f>
        <v>Office</v>
      </c>
      <c r="J237" t="s">
        <v>62</v>
      </c>
      <c r="K237">
        <v>8</v>
      </c>
      <c r="L237">
        <f>_xlfn.XLOOKUP(H237,Table6[Product],Table6[Unit Price])</f>
        <v>18000</v>
      </c>
      <c r="M237">
        <f>_xlfn.XLOOKUP(H237,Table6[Product],Table6[Cost Price])</f>
        <v>14000</v>
      </c>
      <c r="N237" s="7">
        <v>0.02</v>
      </c>
      <c r="O237">
        <f t="shared" si="9"/>
        <v>141120</v>
      </c>
      <c r="P237">
        <f t="shared" si="10"/>
        <v>112000</v>
      </c>
      <c r="Q237">
        <f t="shared" si="11"/>
        <v>29120</v>
      </c>
      <c r="R237" t="s">
        <v>47</v>
      </c>
      <c r="S237" t="s">
        <v>49</v>
      </c>
    </row>
    <row r="238" spans="1:19" ht="18" x14ac:dyDescent="0.5">
      <c r="A238" t="s">
        <v>308</v>
      </c>
      <c r="B238" t="s">
        <v>1307</v>
      </c>
      <c r="C238" s="6">
        <v>45987</v>
      </c>
      <c r="D238" t="s">
        <v>2090</v>
      </c>
      <c r="E238" t="s">
        <v>2072</v>
      </c>
      <c r="F238" t="str">
        <f>_xlfn.XLOOKUP(E238,Table8[City],Table8[State])</f>
        <v>Karnataka</v>
      </c>
      <c r="G238" t="str">
        <f>_xlfn.XLOOKUP(E238,Table8[City],Table8[Region])</f>
        <v>South</v>
      </c>
      <c r="H238" t="s">
        <v>24</v>
      </c>
      <c r="I238" t="str">
        <f>_xlfn.XLOOKUP(H238,Table6[Product],Table6[Category])</f>
        <v>Accessories</v>
      </c>
      <c r="J238" t="s">
        <v>61</v>
      </c>
      <c r="K238">
        <v>2</v>
      </c>
      <c r="L238">
        <f>_xlfn.XLOOKUP(H238,Table6[Product],Table6[Unit Price])</f>
        <v>1500</v>
      </c>
      <c r="M238">
        <f>_xlfn.XLOOKUP(H238,Table6[Product],Table6[Cost Price])</f>
        <v>900</v>
      </c>
      <c r="N238" s="7">
        <v>0.25</v>
      </c>
      <c r="O238">
        <f t="shared" si="9"/>
        <v>2250</v>
      </c>
      <c r="P238">
        <f t="shared" si="10"/>
        <v>1800</v>
      </c>
      <c r="Q238">
        <f t="shared" si="11"/>
        <v>450</v>
      </c>
      <c r="R238" t="s">
        <v>46</v>
      </c>
      <c r="S238" t="s">
        <v>49</v>
      </c>
    </row>
    <row r="239" spans="1:19" ht="18" x14ac:dyDescent="0.5">
      <c r="A239" t="s">
        <v>309</v>
      </c>
      <c r="B239" t="s">
        <v>1308</v>
      </c>
      <c r="C239" s="6">
        <v>45388</v>
      </c>
      <c r="D239" t="s">
        <v>2098</v>
      </c>
      <c r="E239" t="s">
        <v>2105</v>
      </c>
      <c r="F239" t="str">
        <f>_xlfn.XLOOKUP(E239,Table8[City],Table8[State])</f>
        <v>Rajasthan</v>
      </c>
      <c r="G239" t="str">
        <f>_xlfn.XLOOKUP(E239,Table8[City],Table8[Region])</f>
        <v>North</v>
      </c>
      <c r="H239" t="s">
        <v>25</v>
      </c>
      <c r="I239" t="str">
        <f>_xlfn.XLOOKUP(H239,Table6[Product],Table6[Category])</f>
        <v>Accessories</v>
      </c>
      <c r="J239" t="s">
        <v>63</v>
      </c>
      <c r="K239">
        <v>10</v>
      </c>
      <c r="L239">
        <f>_xlfn.XLOOKUP(H239,Table6[Product],Table6[Unit Price])</f>
        <v>800</v>
      </c>
      <c r="M239">
        <f>_xlfn.XLOOKUP(H239,Table6[Product],Table6[Cost Price])</f>
        <v>450</v>
      </c>
      <c r="N239" s="7">
        <v>0.12</v>
      </c>
      <c r="O239">
        <f t="shared" si="9"/>
        <v>7040</v>
      </c>
      <c r="P239">
        <f t="shared" si="10"/>
        <v>4500</v>
      </c>
      <c r="Q239">
        <f t="shared" si="11"/>
        <v>2540</v>
      </c>
      <c r="R239" t="s">
        <v>43</v>
      </c>
      <c r="S239" t="s">
        <v>50</v>
      </c>
    </row>
    <row r="240" spans="1:19" ht="18" x14ac:dyDescent="0.5">
      <c r="A240" t="s">
        <v>310</v>
      </c>
      <c r="B240" t="s">
        <v>1309</v>
      </c>
      <c r="C240" s="6">
        <v>45859</v>
      </c>
      <c r="D240" t="s">
        <v>2090</v>
      </c>
      <c r="E240" t="s">
        <v>70</v>
      </c>
      <c r="F240" t="str">
        <f>_xlfn.XLOOKUP(E240,Table8[City],Table8[State])</f>
        <v>Karnataka</v>
      </c>
      <c r="G240" t="str">
        <f>_xlfn.XLOOKUP(E240,Table8[City],Table8[Region])</f>
        <v>South</v>
      </c>
      <c r="H240" t="s">
        <v>24</v>
      </c>
      <c r="I240" t="str">
        <f>_xlfn.XLOOKUP(H240,Table6[Product],Table6[Category])</f>
        <v>Accessories</v>
      </c>
      <c r="J240" t="s">
        <v>57</v>
      </c>
      <c r="K240">
        <v>1</v>
      </c>
      <c r="L240">
        <f>_xlfn.XLOOKUP(H240,Table6[Product],Table6[Unit Price])</f>
        <v>1500</v>
      </c>
      <c r="M240">
        <f>_xlfn.XLOOKUP(H240,Table6[Product],Table6[Cost Price])</f>
        <v>900</v>
      </c>
      <c r="N240" s="7">
        <v>0.13</v>
      </c>
      <c r="O240">
        <f t="shared" si="9"/>
        <v>1305</v>
      </c>
      <c r="P240">
        <f t="shared" si="10"/>
        <v>900</v>
      </c>
      <c r="Q240">
        <f t="shared" si="11"/>
        <v>405</v>
      </c>
      <c r="R240" t="s">
        <v>47</v>
      </c>
      <c r="S240" t="s">
        <v>51</v>
      </c>
    </row>
    <row r="241" spans="1:19" ht="18" x14ac:dyDescent="0.5">
      <c r="A241" t="s">
        <v>311</v>
      </c>
      <c r="B241" t="s">
        <v>1310</v>
      </c>
      <c r="C241" s="6">
        <v>45346</v>
      </c>
      <c r="D241" t="s">
        <v>2092</v>
      </c>
      <c r="E241" t="s">
        <v>2075</v>
      </c>
      <c r="F241" t="str">
        <f>_xlfn.XLOOKUP(E241,Table8[City],Table8[State])</f>
        <v>Tamil Nadu</v>
      </c>
      <c r="G241" t="str">
        <f>_xlfn.XLOOKUP(E241,Table8[City],Table8[Region])</f>
        <v>South</v>
      </c>
      <c r="H241" t="s">
        <v>26</v>
      </c>
      <c r="I241" t="str">
        <f>_xlfn.XLOOKUP(H241,Table6[Product],Table6[Category])</f>
        <v>Office</v>
      </c>
      <c r="J241" t="s">
        <v>63</v>
      </c>
      <c r="K241">
        <v>5</v>
      </c>
      <c r="L241">
        <f>_xlfn.XLOOKUP(H241,Table6[Product],Table6[Unit Price])</f>
        <v>15000</v>
      </c>
      <c r="M241">
        <f>_xlfn.XLOOKUP(H241,Table6[Product],Table6[Cost Price])</f>
        <v>11500</v>
      </c>
      <c r="N241" s="7">
        <v>0</v>
      </c>
      <c r="O241">
        <f t="shared" si="9"/>
        <v>75000</v>
      </c>
      <c r="P241">
        <f t="shared" si="10"/>
        <v>57500</v>
      </c>
      <c r="Q241">
        <f t="shared" si="11"/>
        <v>17500</v>
      </c>
      <c r="R241" t="s">
        <v>45</v>
      </c>
      <c r="S241" t="s">
        <v>50</v>
      </c>
    </row>
    <row r="242" spans="1:19" ht="18" x14ac:dyDescent="0.5">
      <c r="A242" t="s">
        <v>312</v>
      </c>
      <c r="B242" t="s">
        <v>1311</v>
      </c>
      <c r="C242" s="6">
        <v>45657</v>
      </c>
      <c r="D242" t="s">
        <v>2096</v>
      </c>
      <c r="E242" t="s">
        <v>2079</v>
      </c>
      <c r="F242" t="str">
        <f>_xlfn.XLOOKUP(E242,Table8[City],Table8[State])</f>
        <v>Gujarat</v>
      </c>
      <c r="G242" t="str">
        <f>_xlfn.XLOOKUP(E242,Table8[City],Table8[Region])</f>
        <v>West</v>
      </c>
      <c r="H242" t="s">
        <v>16</v>
      </c>
      <c r="I242" t="str">
        <f>_xlfn.XLOOKUP(H242,Table6[Product],Table6[Category])</f>
        <v>Electronics</v>
      </c>
      <c r="J242" t="s">
        <v>60</v>
      </c>
      <c r="K242">
        <v>6</v>
      </c>
      <c r="L242">
        <f>_xlfn.XLOOKUP(H242,Table6[Product],Table6[Unit Price])</f>
        <v>65000</v>
      </c>
      <c r="M242">
        <f>_xlfn.XLOOKUP(H242,Table6[Product],Table6[Cost Price])</f>
        <v>52000</v>
      </c>
      <c r="N242" s="7">
        <v>0.3</v>
      </c>
      <c r="O242">
        <f t="shared" si="9"/>
        <v>273000</v>
      </c>
      <c r="P242">
        <f t="shared" si="10"/>
        <v>312000</v>
      </c>
      <c r="Q242">
        <f t="shared" si="11"/>
        <v>-39000</v>
      </c>
      <c r="R242" t="s">
        <v>44</v>
      </c>
      <c r="S242" t="s">
        <v>52</v>
      </c>
    </row>
    <row r="243" spans="1:19" ht="18" x14ac:dyDescent="0.5">
      <c r="A243" t="s">
        <v>313</v>
      </c>
      <c r="B243" t="s">
        <v>1312</v>
      </c>
      <c r="C243" s="6">
        <v>45901</v>
      </c>
      <c r="D243" t="s">
        <v>2090</v>
      </c>
      <c r="E243" t="s">
        <v>2072</v>
      </c>
      <c r="F243" t="str">
        <f>_xlfn.XLOOKUP(E243,Table8[City],Table8[State])</f>
        <v>Karnataka</v>
      </c>
      <c r="G243" t="str">
        <f>_xlfn.XLOOKUP(E243,Table8[City],Table8[Region])</f>
        <v>South</v>
      </c>
      <c r="H243" t="s">
        <v>25</v>
      </c>
      <c r="I243" t="str">
        <f>_xlfn.XLOOKUP(H243,Table6[Product],Table6[Category])</f>
        <v>Accessories</v>
      </c>
      <c r="J243" t="s">
        <v>60</v>
      </c>
      <c r="K243">
        <v>3</v>
      </c>
      <c r="L243">
        <f>_xlfn.XLOOKUP(H243,Table6[Product],Table6[Unit Price])</f>
        <v>800</v>
      </c>
      <c r="M243">
        <f>_xlfn.XLOOKUP(H243,Table6[Product],Table6[Cost Price])</f>
        <v>450</v>
      </c>
      <c r="N243" s="7">
        <v>0.3</v>
      </c>
      <c r="O243">
        <f t="shared" si="9"/>
        <v>1680</v>
      </c>
      <c r="P243">
        <f t="shared" si="10"/>
        <v>1350</v>
      </c>
      <c r="Q243">
        <f t="shared" si="11"/>
        <v>330</v>
      </c>
      <c r="R243" t="s">
        <v>46</v>
      </c>
      <c r="S243" t="s">
        <v>51</v>
      </c>
    </row>
    <row r="244" spans="1:19" ht="18" x14ac:dyDescent="0.5">
      <c r="A244" t="s">
        <v>314</v>
      </c>
      <c r="B244" t="s">
        <v>1313</v>
      </c>
      <c r="C244" s="6">
        <v>45468</v>
      </c>
      <c r="D244" t="s">
        <v>2089</v>
      </c>
      <c r="E244" t="s">
        <v>2077</v>
      </c>
      <c r="F244" t="str">
        <f>_xlfn.XLOOKUP(E244,Table8[City],Table8[State])</f>
        <v>Telangana</v>
      </c>
      <c r="G244" t="str">
        <f>_xlfn.XLOOKUP(E244,Table8[City],Table8[Region])</f>
        <v>South</v>
      </c>
      <c r="H244" t="s">
        <v>18</v>
      </c>
      <c r="I244" t="str">
        <f>_xlfn.XLOOKUP(H244,Table6[Product],Table6[Category])</f>
        <v>Electronics</v>
      </c>
      <c r="J244" t="s">
        <v>56</v>
      </c>
      <c r="K244">
        <v>1</v>
      </c>
      <c r="L244">
        <f>_xlfn.XLOOKUP(H244,Table6[Product],Table6[Unit Price])</f>
        <v>35000</v>
      </c>
      <c r="M244">
        <f>_xlfn.XLOOKUP(H244,Table6[Product],Table6[Cost Price])</f>
        <v>28000</v>
      </c>
      <c r="N244" s="7">
        <v>0.24</v>
      </c>
      <c r="O244">
        <f t="shared" si="9"/>
        <v>26600</v>
      </c>
      <c r="P244">
        <f t="shared" si="10"/>
        <v>28000</v>
      </c>
      <c r="Q244">
        <f t="shared" si="11"/>
        <v>-1400</v>
      </c>
      <c r="R244" t="s">
        <v>43</v>
      </c>
      <c r="S244" t="s">
        <v>49</v>
      </c>
    </row>
    <row r="245" spans="1:19" ht="18" x14ac:dyDescent="0.5">
      <c r="A245" t="s">
        <v>315</v>
      </c>
      <c r="B245" t="s">
        <v>1314</v>
      </c>
      <c r="C245" s="6">
        <v>45903</v>
      </c>
      <c r="D245" t="s">
        <v>2097</v>
      </c>
      <c r="E245" t="s">
        <v>2078</v>
      </c>
      <c r="F245" t="str">
        <f>_xlfn.XLOOKUP(E245,Table8[City],Table8[State])</f>
        <v>Telangana</v>
      </c>
      <c r="G245" t="str">
        <f>_xlfn.XLOOKUP(E245,Table8[City],Table8[Region])</f>
        <v>South</v>
      </c>
      <c r="H245" t="s">
        <v>20</v>
      </c>
      <c r="I245" t="str">
        <f>_xlfn.XLOOKUP(H245,Table6[Product],Table6[Category])</f>
        <v>Accessories</v>
      </c>
      <c r="J245" t="s">
        <v>58</v>
      </c>
      <c r="K245">
        <v>4</v>
      </c>
      <c r="L245">
        <f>_xlfn.XLOOKUP(H245,Table6[Product],Table6[Unit Price])</f>
        <v>3000</v>
      </c>
      <c r="M245">
        <f>_xlfn.XLOOKUP(H245,Table6[Product],Table6[Cost Price])</f>
        <v>1800</v>
      </c>
      <c r="N245" s="7">
        <v>0.13</v>
      </c>
      <c r="O245">
        <f t="shared" si="9"/>
        <v>10440</v>
      </c>
      <c r="P245">
        <f t="shared" si="10"/>
        <v>7200</v>
      </c>
      <c r="Q245">
        <f t="shared" si="11"/>
        <v>3240</v>
      </c>
      <c r="R245" t="s">
        <v>47</v>
      </c>
      <c r="S245" t="s">
        <v>51</v>
      </c>
    </row>
    <row r="246" spans="1:19" ht="18" x14ac:dyDescent="0.5">
      <c r="A246" t="s">
        <v>316</v>
      </c>
      <c r="B246" t="s">
        <v>1315</v>
      </c>
      <c r="C246" s="6">
        <v>45472</v>
      </c>
      <c r="D246" t="s">
        <v>2083</v>
      </c>
      <c r="E246" t="s">
        <v>2077</v>
      </c>
      <c r="F246" t="str">
        <f>_xlfn.XLOOKUP(E246,Table8[City],Table8[State])</f>
        <v>Telangana</v>
      </c>
      <c r="G246" t="str">
        <f>_xlfn.XLOOKUP(E246,Table8[City],Table8[Region])</f>
        <v>South</v>
      </c>
      <c r="H246" t="s">
        <v>20</v>
      </c>
      <c r="I246" t="str">
        <f>_xlfn.XLOOKUP(H246,Table6[Product],Table6[Category])</f>
        <v>Accessories</v>
      </c>
      <c r="J246" t="s">
        <v>57</v>
      </c>
      <c r="K246">
        <v>6</v>
      </c>
      <c r="L246">
        <f>_xlfn.XLOOKUP(H246,Table6[Product],Table6[Unit Price])</f>
        <v>3000</v>
      </c>
      <c r="M246">
        <f>_xlfn.XLOOKUP(H246,Table6[Product],Table6[Cost Price])</f>
        <v>1800</v>
      </c>
      <c r="N246" s="7">
        <v>0.15</v>
      </c>
      <c r="O246">
        <f t="shared" si="9"/>
        <v>15300</v>
      </c>
      <c r="P246">
        <f t="shared" si="10"/>
        <v>10800</v>
      </c>
      <c r="Q246">
        <f t="shared" si="11"/>
        <v>4500</v>
      </c>
      <c r="R246" t="s">
        <v>46</v>
      </c>
      <c r="S246" t="s">
        <v>50</v>
      </c>
    </row>
    <row r="247" spans="1:19" ht="18" x14ac:dyDescent="0.5">
      <c r="A247" t="s">
        <v>317</v>
      </c>
      <c r="B247" t="s">
        <v>1316</v>
      </c>
      <c r="C247" s="6">
        <v>45374</v>
      </c>
      <c r="D247" t="s">
        <v>2090</v>
      </c>
      <c r="E247" t="s">
        <v>2074</v>
      </c>
      <c r="F247" t="str">
        <f>_xlfn.XLOOKUP(E247,Table8[City],Table8[State])</f>
        <v>Maharashtra</v>
      </c>
      <c r="G247" t="str">
        <f>_xlfn.XLOOKUP(E247,Table8[City],Table8[Region])</f>
        <v>West</v>
      </c>
      <c r="H247" t="s">
        <v>29</v>
      </c>
      <c r="I247" t="str">
        <f>_xlfn.XLOOKUP(H247,Table6[Product],Table6[Category])</f>
        <v>Electronics</v>
      </c>
      <c r="J247" t="s">
        <v>60</v>
      </c>
      <c r="K247">
        <v>2</v>
      </c>
      <c r="L247">
        <f>_xlfn.XLOOKUP(H247,Table6[Product],Table6[Unit Price])</f>
        <v>5000</v>
      </c>
      <c r="M247">
        <f>_xlfn.XLOOKUP(H247,Table6[Product],Table6[Cost Price])</f>
        <v>3200</v>
      </c>
      <c r="N247" s="7">
        <v>0.16</v>
      </c>
      <c r="O247">
        <f t="shared" si="9"/>
        <v>8400</v>
      </c>
      <c r="P247">
        <f t="shared" si="10"/>
        <v>6400</v>
      </c>
      <c r="Q247">
        <f t="shared" si="11"/>
        <v>2000</v>
      </c>
      <c r="R247" t="s">
        <v>47</v>
      </c>
      <c r="S247" t="s">
        <v>51</v>
      </c>
    </row>
    <row r="248" spans="1:19" ht="18" x14ac:dyDescent="0.5">
      <c r="A248" t="s">
        <v>318</v>
      </c>
      <c r="B248" t="s">
        <v>1317</v>
      </c>
      <c r="C248" s="6">
        <v>45441</v>
      </c>
      <c r="D248" t="s">
        <v>2098</v>
      </c>
      <c r="E248" t="s">
        <v>2078</v>
      </c>
      <c r="F248" t="str">
        <f>_xlfn.XLOOKUP(E248,Table8[City],Table8[State])</f>
        <v>Telangana</v>
      </c>
      <c r="G248" t="str">
        <f>_xlfn.XLOOKUP(E248,Table8[City],Table8[Region])</f>
        <v>South</v>
      </c>
      <c r="H248" t="s">
        <v>22</v>
      </c>
      <c r="I248" t="str">
        <f>_xlfn.XLOOKUP(H248,Table6[Product],Table6[Category])</f>
        <v>Wearables</v>
      </c>
      <c r="J248" t="s">
        <v>61</v>
      </c>
      <c r="K248">
        <v>2</v>
      </c>
      <c r="L248">
        <f>_xlfn.XLOOKUP(H248,Table6[Product],Table6[Unit Price])</f>
        <v>12000</v>
      </c>
      <c r="M248">
        <f>_xlfn.XLOOKUP(H248,Table6[Product],Table6[Cost Price])</f>
        <v>8500</v>
      </c>
      <c r="N248" s="7">
        <v>0.23</v>
      </c>
      <c r="O248">
        <f t="shared" si="9"/>
        <v>18480</v>
      </c>
      <c r="P248">
        <f t="shared" si="10"/>
        <v>17000</v>
      </c>
      <c r="Q248">
        <f t="shared" si="11"/>
        <v>1480</v>
      </c>
      <c r="R248" t="s">
        <v>45</v>
      </c>
      <c r="S248" t="s">
        <v>50</v>
      </c>
    </row>
    <row r="249" spans="1:19" ht="18" x14ac:dyDescent="0.5">
      <c r="A249" t="s">
        <v>319</v>
      </c>
      <c r="B249" t="s">
        <v>1318</v>
      </c>
      <c r="C249" s="6">
        <v>45954</v>
      </c>
      <c r="D249" t="s">
        <v>2092</v>
      </c>
      <c r="E249" t="s">
        <v>2106</v>
      </c>
      <c r="F249" t="str">
        <f>_xlfn.XLOOKUP(E249,Table8[City],Table8[State])</f>
        <v>West Bengal</v>
      </c>
      <c r="G249" t="str">
        <f>_xlfn.XLOOKUP(E249,Table8[City],Table8[Region])</f>
        <v>East</v>
      </c>
      <c r="H249" t="s">
        <v>22</v>
      </c>
      <c r="I249" t="str">
        <f>_xlfn.XLOOKUP(H249,Table6[Product],Table6[Category])</f>
        <v>Wearables</v>
      </c>
      <c r="J249" t="s">
        <v>58</v>
      </c>
      <c r="K249">
        <v>1</v>
      </c>
      <c r="L249">
        <f>_xlfn.XLOOKUP(H249,Table6[Product],Table6[Unit Price])</f>
        <v>12000</v>
      </c>
      <c r="M249">
        <f>_xlfn.XLOOKUP(H249,Table6[Product],Table6[Cost Price])</f>
        <v>8500</v>
      </c>
      <c r="N249" s="7">
        <v>0.13</v>
      </c>
      <c r="O249">
        <f t="shared" si="9"/>
        <v>10440</v>
      </c>
      <c r="P249">
        <f t="shared" si="10"/>
        <v>8500</v>
      </c>
      <c r="Q249">
        <f t="shared" si="11"/>
        <v>1940</v>
      </c>
      <c r="R249" t="s">
        <v>47</v>
      </c>
      <c r="S249" t="s">
        <v>49</v>
      </c>
    </row>
    <row r="250" spans="1:19" ht="18" x14ac:dyDescent="0.5">
      <c r="A250" t="s">
        <v>320</v>
      </c>
      <c r="B250" t="s">
        <v>1319</v>
      </c>
      <c r="C250" s="6">
        <v>45958</v>
      </c>
      <c r="D250" t="s">
        <v>2084</v>
      </c>
      <c r="E250" t="s">
        <v>2080</v>
      </c>
      <c r="F250" t="str">
        <f>_xlfn.XLOOKUP(E250,Table8[City],Table8[State])</f>
        <v>Gujarat</v>
      </c>
      <c r="G250" t="str">
        <f>_xlfn.XLOOKUP(E250,Table8[City],Table8[Region])</f>
        <v>West</v>
      </c>
      <c r="H250" t="s">
        <v>18</v>
      </c>
      <c r="I250" t="str">
        <f>_xlfn.XLOOKUP(H250,Table6[Product],Table6[Category])</f>
        <v>Electronics</v>
      </c>
      <c r="J250" t="s">
        <v>62</v>
      </c>
      <c r="K250">
        <v>4</v>
      </c>
      <c r="L250">
        <f>_xlfn.XLOOKUP(H250,Table6[Product],Table6[Unit Price])</f>
        <v>35000</v>
      </c>
      <c r="M250">
        <f>_xlfn.XLOOKUP(H250,Table6[Product],Table6[Cost Price])</f>
        <v>28000</v>
      </c>
      <c r="N250" s="7">
        <v>0.05</v>
      </c>
      <c r="O250">
        <f t="shared" si="9"/>
        <v>133000</v>
      </c>
      <c r="P250">
        <f t="shared" si="10"/>
        <v>112000</v>
      </c>
      <c r="Q250">
        <f t="shared" si="11"/>
        <v>21000</v>
      </c>
      <c r="R250" t="s">
        <v>46</v>
      </c>
      <c r="S250" t="s">
        <v>49</v>
      </c>
    </row>
    <row r="251" spans="1:19" ht="18" x14ac:dyDescent="0.5">
      <c r="A251" t="s">
        <v>321</v>
      </c>
      <c r="B251" t="s">
        <v>1320</v>
      </c>
      <c r="C251" s="6">
        <v>45769</v>
      </c>
      <c r="D251" t="s">
        <v>2085</v>
      </c>
      <c r="E251" t="s">
        <v>2079</v>
      </c>
      <c r="F251" t="str">
        <f>_xlfn.XLOOKUP(E251,Table8[City],Table8[State])</f>
        <v>Gujarat</v>
      </c>
      <c r="G251" t="str">
        <f>_xlfn.XLOOKUP(E251,Table8[City],Table8[Region])</f>
        <v>West</v>
      </c>
      <c r="H251" t="s">
        <v>28</v>
      </c>
      <c r="I251" t="str">
        <f>_xlfn.XLOOKUP(H251,Table6[Product],Table6[Category])</f>
        <v>Office</v>
      </c>
      <c r="J251" t="s">
        <v>56</v>
      </c>
      <c r="K251">
        <v>1</v>
      </c>
      <c r="L251">
        <f>_xlfn.XLOOKUP(H251,Table6[Product],Table6[Unit Price])</f>
        <v>18000</v>
      </c>
      <c r="M251">
        <f>_xlfn.XLOOKUP(H251,Table6[Product],Table6[Cost Price])</f>
        <v>14000</v>
      </c>
      <c r="N251" s="7">
        <v>0.01</v>
      </c>
      <c r="O251">
        <f t="shared" si="9"/>
        <v>17820</v>
      </c>
      <c r="P251">
        <f t="shared" si="10"/>
        <v>14000</v>
      </c>
      <c r="Q251">
        <f t="shared" si="11"/>
        <v>3820</v>
      </c>
      <c r="R251" t="s">
        <v>47</v>
      </c>
      <c r="S251" t="s">
        <v>50</v>
      </c>
    </row>
    <row r="252" spans="1:19" ht="18" x14ac:dyDescent="0.5">
      <c r="A252" t="s">
        <v>322</v>
      </c>
      <c r="B252" t="s">
        <v>1321</v>
      </c>
      <c r="C252" s="6">
        <v>45933</v>
      </c>
      <c r="D252" t="s">
        <v>2095</v>
      </c>
      <c r="E252" t="s">
        <v>2106</v>
      </c>
      <c r="F252" t="str">
        <f>_xlfn.XLOOKUP(E252,Table8[City],Table8[State])</f>
        <v>West Bengal</v>
      </c>
      <c r="G252" t="str">
        <f>_xlfn.XLOOKUP(E252,Table8[City],Table8[Region])</f>
        <v>East</v>
      </c>
      <c r="H252" t="s">
        <v>25</v>
      </c>
      <c r="I252" t="str">
        <f>_xlfn.XLOOKUP(H252,Table6[Product],Table6[Category])</f>
        <v>Accessories</v>
      </c>
      <c r="J252" t="s">
        <v>57</v>
      </c>
      <c r="K252">
        <v>6</v>
      </c>
      <c r="L252">
        <f>_xlfn.XLOOKUP(H252,Table6[Product],Table6[Unit Price])</f>
        <v>800</v>
      </c>
      <c r="M252">
        <f>_xlfn.XLOOKUP(H252,Table6[Product],Table6[Cost Price])</f>
        <v>450</v>
      </c>
      <c r="N252" s="7">
        <v>0.25</v>
      </c>
      <c r="O252">
        <f t="shared" si="9"/>
        <v>3600</v>
      </c>
      <c r="P252">
        <f t="shared" si="10"/>
        <v>2700</v>
      </c>
      <c r="Q252">
        <f t="shared" si="11"/>
        <v>900</v>
      </c>
      <c r="R252" t="s">
        <v>43</v>
      </c>
      <c r="S252" t="s">
        <v>51</v>
      </c>
    </row>
    <row r="253" spans="1:19" ht="18" x14ac:dyDescent="0.5">
      <c r="A253" t="s">
        <v>323</v>
      </c>
      <c r="B253" t="s">
        <v>1322</v>
      </c>
      <c r="C253" s="6">
        <v>45341</v>
      </c>
      <c r="D253" t="s">
        <v>2099</v>
      </c>
      <c r="E253" t="s">
        <v>70</v>
      </c>
      <c r="F253" t="str">
        <f>_xlfn.XLOOKUP(E253,Table8[City],Table8[State])</f>
        <v>Karnataka</v>
      </c>
      <c r="G253" t="str">
        <f>_xlfn.XLOOKUP(E253,Table8[City],Table8[Region])</f>
        <v>South</v>
      </c>
      <c r="H253" t="s">
        <v>22</v>
      </c>
      <c r="I253" t="str">
        <f>_xlfn.XLOOKUP(H253,Table6[Product],Table6[Category])</f>
        <v>Wearables</v>
      </c>
      <c r="J253" t="s">
        <v>54</v>
      </c>
      <c r="K253">
        <v>1</v>
      </c>
      <c r="L253">
        <f>_xlfn.XLOOKUP(H253,Table6[Product],Table6[Unit Price])</f>
        <v>12000</v>
      </c>
      <c r="M253">
        <f>_xlfn.XLOOKUP(H253,Table6[Product],Table6[Cost Price])</f>
        <v>8500</v>
      </c>
      <c r="N253" s="7">
        <v>0.28999999999999998</v>
      </c>
      <c r="O253">
        <f t="shared" si="9"/>
        <v>8520</v>
      </c>
      <c r="P253">
        <f t="shared" si="10"/>
        <v>8500</v>
      </c>
      <c r="Q253">
        <f t="shared" si="11"/>
        <v>20</v>
      </c>
      <c r="R253" t="s">
        <v>46</v>
      </c>
      <c r="S253" t="s">
        <v>50</v>
      </c>
    </row>
    <row r="254" spans="1:19" ht="18" x14ac:dyDescent="0.5">
      <c r="A254" t="s">
        <v>324</v>
      </c>
      <c r="B254" t="s">
        <v>1323</v>
      </c>
      <c r="C254" s="6">
        <v>45811</v>
      </c>
      <c r="D254" t="s">
        <v>2088</v>
      </c>
      <c r="E254" t="s">
        <v>2104</v>
      </c>
      <c r="F254" t="str">
        <f>_xlfn.XLOOKUP(E254,Table8[City],Table8[State])</f>
        <v>Delhi</v>
      </c>
      <c r="G254" t="str">
        <f>_xlfn.XLOOKUP(E254,Table8[City],Table8[Region])</f>
        <v>North</v>
      </c>
      <c r="H254" t="s">
        <v>26</v>
      </c>
      <c r="I254" t="str">
        <f>_xlfn.XLOOKUP(H254,Table6[Product],Table6[Category])</f>
        <v>Office</v>
      </c>
      <c r="J254" t="s">
        <v>57</v>
      </c>
      <c r="K254">
        <v>9</v>
      </c>
      <c r="L254">
        <f>_xlfn.XLOOKUP(H254,Table6[Product],Table6[Unit Price])</f>
        <v>15000</v>
      </c>
      <c r="M254">
        <f>_xlfn.XLOOKUP(H254,Table6[Product],Table6[Cost Price])</f>
        <v>11500</v>
      </c>
      <c r="N254" s="7">
        <v>0.04</v>
      </c>
      <c r="O254">
        <f t="shared" si="9"/>
        <v>129600</v>
      </c>
      <c r="P254">
        <f t="shared" si="10"/>
        <v>103500</v>
      </c>
      <c r="Q254">
        <f t="shared" si="11"/>
        <v>26100</v>
      </c>
      <c r="R254" t="s">
        <v>44</v>
      </c>
      <c r="S254" t="s">
        <v>49</v>
      </c>
    </row>
    <row r="255" spans="1:19" ht="18" x14ac:dyDescent="0.5">
      <c r="A255" t="s">
        <v>325</v>
      </c>
      <c r="B255" t="s">
        <v>1324</v>
      </c>
      <c r="C255" s="6">
        <v>45307</v>
      </c>
      <c r="D255" t="s">
        <v>2088</v>
      </c>
      <c r="E255" t="s">
        <v>2074</v>
      </c>
      <c r="F255" t="str">
        <f>_xlfn.XLOOKUP(E255,Table8[City],Table8[State])</f>
        <v>Maharashtra</v>
      </c>
      <c r="G255" t="str">
        <f>_xlfn.XLOOKUP(E255,Table8[City],Table8[Region])</f>
        <v>West</v>
      </c>
      <c r="H255" t="s">
        <v>19</v>
      </c>
      <c r="I255" t="str">
        <f>_xlfn.XLOOKUP(H255,Table6[Product],Table6[Category])</f>
        <v>Electronics</v>
      </c>
      <c r="J255" t="s">
        <v>58</v>
      </c>
      <c r="K255">
        <v>8</v>
      </c>
      <c r="L255">
        <f>_xlfn.XLOOKUP(H255,Table6[Product],Table6[Unit Price])</f>
        <v>25000</v>
      </c>
      <c r="M255">
        <f>_xlfn.XLOOKUP(H255,Table6[Product],Table6[Cost Price])</f>
        <v>20000</v>
      </c>
      <c r="N255" s="7">
        <v>0.18</v>
      </c>
      <c r="O255">
        <f t="shared" si="9"/>
        <v>164000</v>
      </c>
      <c r="P255">
        <f t="shared" si="10"/>
        <v>160000</v>
      </c>
      <c r="Q255">
        <f t="shared" si="11"/>
        <v>4000</v>
      </c>
      <c r="R255" t="s">
        <v>44</v>
      </c>
      <c r="S255" t="s">
        <v>51</v>
      </c>
    </row>
    <row r="256" spans="1:19" ht="18" x14ac:dyDescent="0.5">
      <c r="A256" t="s">
        <v>326</v>
      </c>
      <c r="B256" t="s">
        <v>1325</v>
      </c>
      <c r="C256" s="6">
        <v>45637</v>
      </c>
      <c r="D256" t="s">
        <v>2089</v>
      </c>
      <c r="E256" t="s">
        <v>2080</v>
      </c>
      <c r="F256" t="str">
        <f>_xlfn.XLOOKUP(E256,Table8[City],Table8[State])</f>
        <v>Gujarat</v>
      </c>
      <c r="G256" t="str">
        <f>_xlfn.XLOOKUP(E256,Table8[City],Table8[Region])</f>
        <v>West</v>
      </c>
      <c r="H256" t="s">
        <v>25</v>
      </c>
      <c r="I256" t="str">
        <f>_xlfn.XLOOKUP(H256,Table6[Product],Table6[Category])</f>
        <v>Accessories</v>
      </c>
      <c r="J256" t="s">
        <v>55</v>
      </c>
      <c r="K256">
        <v>5</v>
      </c>
      <c r="L256">
        <f>_xlfn.XLOOKUP(H256,Table6[Product],Table6[Unit Price])</f>
        <v>800</v>
      </c>
      <c r="M256">
        <f>_xlfn.XLOOKUP(H256,Table6[Product],Table6[Cost Price])</f>
        <v>450</v>
      </c>
      <c r="N256" s="7">
        <v>0.26</v>
      </c>
      <c r="O256">
        <f t="shared" si="9"/>
        <v>2960</v>
      </c>
      <c r="P256">
        <f t="shared" si="10"/>
        <v>2250</v>
      </c>
      <c r="Q256">
        <f t="shared" si="11"/>
        <v>710</v>
      </c>
      <c r="R256" t="s">
        <v>47</v>
      </c>
      <c r="S256" t="s">
        <v>49</v>
      </c>
    </row>
    <row r="257" spans="1:19" ht="18" x14ac:dyDescent="0.5">
      <c r="A257" t="s">
        <v>327</v>
      </c>
      <c r="B257" t="s">
        <v>1326</v>
      </c>
      <c r="C257" s="6">
        <v>45361</v>
      </c>
      <c r="D257" t="s">
        <v>2083</v>
      </c>
      <c r="E257" t="s">
        <v>2072</v>
      </c>
      <c r="F257" t="str">
        <f>_xlfn.XLOOKUP(E257,Table8[City],Table8[State])</f>
        <v>Karnataka</v>
      </c>
      <c r="G257" t="str">
        <f>_xlfn.XLOOKUP(E257,Table8[City],Table8[Region])</f>
        <v>South</v>
      </c>
      <c r="H257" t="s">
        <v>16</v>
      </c>
      <c r="I257" t="str">
        <f>_xlfn.XLOOKUP(H257,Table6[Product],Table6[Category])</f>
        <v>Electronics</v>
      </c>
      <c r="J257" t="s">
        <v>55</v>
      </c>
      <c r="K257">
        <v>9</v>
      </c>
      <c r="L257">
        <f>_xlfn.XLOOKUP(H257,Table6[Product],Table6[Unit Price])</f>
        <v>65000</v>
      </c>
      <c r="M257">
        <f>_xlfn.XLOOKUP(H257,Table6[Product],Table6[Cost Price])</f>
        <v>52000</v>
      </c>
      <c r="N257" s="7">
        <v>0.12</v>
      </c>
      <c r="O257">
        <f t="shared" si="9"/>
        <v>514800</v>
      </c>
      <c r="P257">
        <f t="shared" si="10"/>
        <v>468000</v>
      </c>
      <c r="Q257">
        <f t="shared" si="11"/>
        <v>46800</v>
      </c>
      <c r="R257" t="s">
        <v>47</v>
      </c>
      <c r="S257" t="s">
        <v>51</v>
      </c>
    </row>
    <row r="258" spans="1:19" ht="18" x14ac:dyDescent="0.5">
      <c r="A258" t="s">
        <v>328</v>
      </c>
      <c r="B258" t="s">
        <v>1327</v>
      </c>
      <c r="C258" s="6">
        <v>45449</v>
      </c>
      <c r="D258" t="s">
        <v>2095</v>
      </c>
      <c r="E258" t="s">
        <v>2075</v>
      </c>
      <c r="F258" t="str">
        <f>_xlfn.XLOOKUP(E258,Table8[City],Table8[State])</f>
        <v>Tamil Nadu</v>
      </c>
      <c r="G258" t="str">
        <f>_xlfn.XLOOKUP(E258,Table8[City],Table8[Region])</f>
        <v>South</v>
      </c>
      <c r="H258" t="s">
        <v>18</v>
      </c>
      <c r="I258" t="str">
        <f>_xlfn.XLOOKUP(H258,Table6[Product],Table6[Category])</f>
        <v>Electronics</v>
      </c>
      <c r="J258" t="s">
        <v>60</v>
      </c>
      <c r="K258">
        <v>4</v>
      </c>
      <c r="L258">
        <f>_xlfn.XLOOKUP(H258,Table6[Product],Table6[Unit Price])</f>
        <v>35000</v>
      </c>
      <c r="M258">
        <f>_xlfn.XLOOKUP(H258,Table6[Product],Table6[Cost Price])</f>
        <v>28000</v>
      </c>
      <c r="N258" s="7">
        <v>7.0000000000000007E-2</v>
      </c>
      <c r="O258">
        <f t="shared" si="9"/>
        <v>130199.99999999999</v>
      </c>
      <c r="P258">
        <f t="shared" si="10"/>
        <v>112000</v>
      </c>
      <c r="Q258">
        <f t="shared" si="11"/>
        <v>18199.999999999985</v>
      </c>
      <c r="R258" t="s">
        <v>45</v>
      </c>
      <c r="S258" t="s">
        <v>51</v>
      </c>
    </row>
    <row r="259" spans="1:19" ht="18" x14ac:dyDescent="0.5">
      <c r="A259" t="s">
        <v>329</v>
      </c>
      <c r="B259" t="s">
        <v>1328</v>
      </c>
      <c r="C259" s="6">
        <v>45579</v>
      </c>
      <c r="D259" t="s">
        <v>2090</v>
      </c>
      <c r="E259" t="s">
        <v>2074</v>
      </c>
      <c r="F259" t="str">
        <f>_xlfn.XLOOKUP(E259,Table8[City],Table8[State])</f>
        <v>Maharashtra</v>
      </c>
      <c r="G259" t="str">
        <f>_xlfn.XLOOKUP(E259,Table8[City],Table8[Region])</f>
        <v>West</v>
      </c>
      <c r="H259" t="s">
        <v>28</v>
      </c>
      <c r="I259" t="str">
        <f>_xlfn.XLOOKUP(H259,Table6[Product],Table6[Category])</f>
        <v>Office</v>
      </c>
      <c r="J259" t="s">
        <v>57</v>
      </c>
      <c r="K259">
        <v>1</v>
      </c>
      <c r="L259">
        <f>_xlfn.XLOOKUP(H259,Table6[Product],Table6[Unit Price])</f>
        <v>18000</v>
      </c>
      <c r="M259">
        <f>_xlfn.XLOOKUP(H259,Table6[Product],Table6[Cost Price])</f>
        <v>14000</v>
      </c>
      <c r="N259" s="7">
        <v>0.02</v>
      </c>
      <c r="O259">
        <f t="shared" ref="O259:O322" si="12">(L259*K259)*(1-N259)</f>
        <v>17640</v>
      </c>
      <c r="P259">
        <f t="shared" ref="P259:P322" si="13">M259*K259</f>
        <v>14000</v>
      </c>
      <c r="Q259">
        <f t="shared" ref="Q259:Q322" si="14">O259-P259</f>
        <v>3640</v>
      </c>
      <c r="R259" t="s">
        <v>45</v>
      </c>
      <c r="S259" t="s">
        <v>51</v>
      </c>
    </row>
    <row r="260" spans="1:19" ht="18" x14ac:dyDescent="0.5">
      <c r="A260" t="s">
        <v>330</v>
      </c>
      <c r="B260" t="s">
        <v>1329</v>
      </c>
      <c r="C260" s="6">
        <v>45331</v>
      </c>
      <c r="D260" t="s">
        <v>2092</v>
      </c>
      <c r="E260" t="s">
        <v>2077</v>
      </c>
      <c r="F260" t="str">
        <f>_xlfn.XLOOKUP(E260,Table8[City],Table8[State])</f>
        <v>Telangana</v>
      </c>
      <c r="G260" t="str">
        <f>_xlfn.XLOOKUP(E260,Table8[City],Table8[Region])</f>
        <v>South</v>
      </c>
      <c r="H260" t="s">
        <v>22</v>
      </c>
      <c r="I260" t="str">
        <f>_xlfn.XLOOKUP(H260,Table6[Product],Table6[Category])</f>
        <v>Wearables</v>
      </c>
      <c r="J260" t="s">
        <v>62</v>
      </c>
      <c r="K260">
        <v>3</v>
      </c>
      <c r="L260">
        <f>_xlfn.XLOOKUP(H260,Table6[Product],Table6[Unit Price])</f>
        <v>12000</v>
      </c>
      <c r="M260">
        <f>_xlfn.XLOOKUP(H260,Table6[Product],Table6[Cost Price])</f>
        <v>8500</v>
      </c>
      <c r="N260" s="7">
        <v>0.06</v>
      </c>
      <c r="O260">
        <f t="shared" si="12"/>
        <v>33840</v>
      </c>
      <c r="P260">
        <f t="shared" si="13"/>
        <v>25500</v>
      </c>
      <c r="Q260">
        <f t="shared" si="14"/>
        <v>8340</v>
      </c>
      <c r="R260" t="s">
        <v>43</v>
      </c>
      <c r="S260" t="s">
        <v>50</v>
      </c>
    </row>
    <row r="261" spans="1:19" ht="18" x14ac:dyDescent="0.5">
      <c r="A261" t="s">
        <v>331</v>
      </c>
      <c r="B261" t="s">
        <v>1330</v>
      </c>
      <c r="C261" s="6">
        <v>45824</v>
      </c>
      <c r="D261" t="s">
        <v>2091</v>
      </c>
      <c r="E261" t="s">
        <v>2104</v>
      </c>
      <c r="F261" t="str">
        <f>_xlfn.XLOOKUP(E261,Table8[City],Table8[State])</f>
        <v>Delhi</v>
      </c>
      <c r="G261" t="str">
        <f>_xlfn.XLOOKUP(E261,Table8[City],Table8[Region])</f>
        <v>North</v>
      </c>
      <c r="H261" t="s">
        <v>22</v>
      </c>
      <c r="I261" t="str">
        <f>_xlfn.XLOOKUP(H261,Table6[Product],Table6[Category])</f>
        <v>Wearables</v>
      </c>
      <c r="J261" t="s">
        <v>56</v>
      </c>
      <c r="K261">
        <v>7</v>
      </c>
      <c r="L261">
        <f>_xlfn.XLOOKUP(H261,Table6[Product],Table6[Unit Price])</f>
        <v>12000</v>
      </c>
      <c r="M261">
        <f>_xlfn.XLOOKUP(H261,Table6[Product],Table6[Cost Price])</f>
        <v>8500</v>
      </c>
      <c r="N261" s="7">
        <v>0.13</v>
      </c>
      <c r="O261">
        <f t="shared" si="12"/>
        <v>73080</v>
      </c>
      <c r="P261">
        <f t="shared" si="13"/>
        <v>59500</v>
      </c>
      <c r="Q261">
        <f t="shared" si="14"/>
        <v>13580</v>
      </c>
      <c r="R261" t="s">
        <v>46</v>
      </c>
      <c r="S261" t="s">
        <v>52</v>
      </c>
    </row>
    <row r="262" spans="1:19" ht="18" x14ac:dyDescent="0.5">
      <c r="A262" t="s">
        <v>332</v>
      </c>
      <c r="B262" t="s">
        <v>1331</v>
      </c>
      <c r="C262" s="6">
        <v>45516</v>
      </c>
      <c r="D262" t="s">
        <v>2091</v>
      </c>
      <c r="E262" t="s">
        <v>2074</v>
      </c>
      <c r="F262" t="str">
        <f>_xlfn.XLOOKUP(E262,Table8[City],Table8[State])</f>
        <v>Maharashtra</v>
      </c>
      <c r="G262" t="str">
        <f>_xlfn.XLOOKUP(E262,Table8[City],Table8[Region])</f>
        <v>West</v>
      </c>
      <c r="H262" t="s">
        <v>24</v>
      </c>
      <c r="I262" t="str">
        <f>_xlfn.XLOOKUP(H262,Table6[Product],Table6[Category])</f>
        <v>Accessories</v>
      </c>
      <c r="J262" t="s">
        <v>58</v>
      </c>
      <c r="K262">
        <v>3</v>
      </c>
      <c r="L262">
        <f>_xlfn.XLOOKUP(H262,Table6[Product],Table6[Unit Price])</f>
        <v>1500</v>
      </c>
      <c r="M262">
        <f>_xlfn.XLOOKUP(H262,Table6[Product],Table6[Cost Price])</f>
        <v>900</v>
      </c>
      <c r="N262" s="7">
        <v>0.05</v>
      </c>
      <c r="O262">
        <f t="shared" si="12"/>
        <v>4275</v>
      </c>
      <c r="P262">
        <f t="shared" si="13"/>
        <v>2700</v>
      </c>
      <c r="Q262">
        <f t="shared" si="14"/>
        <v>1575</v>
      </c>
      <c r="R262" t="s">
        <v>44</v>
      </c>
      <c r="S262" t="s">
        <v>49</v>
      </c>
    </row>
    <row r="263" spans="1:19" ht="18" x14ac:dyDescent="0.5">
      <c r="A263" t="s">
        <v>333</v>
      </c>
      <c r="B263" t="s">
        <v>1332</v>
      </c>
      <c r="C263" s="6">
        <v>45363</v>
      </c>
      <c r="D263" t="s">
        <v>2085</v>
      </c>
      <c r="E263" t="s">
        <v>2073</v>
      </c>
      <c r="F263" t="str">
        <f>_xlfn.XLOOKUP(E263,Table8[City],Table8[State])</f>
        <v>Maharashtra</v>
      </c>
      <c r="G263" t="str">
        <f>_xlfn.XLOOKUP(E263,Table8[City],Table8[Region])</f>
        <v>West</v>
      </c>
      <c r="H263" t="s">
        <v>25</v>
      </c>
      <c r="I263" t="str">
        <f>_xlfn.XLOOKUP(H263,Table6[Product],Table6[Category])</f>
        <v>Accessories</v>
      </c>
      <c r="J263" t="s">
        <v>62</v>
      </c>
      <c r="K263">
        <v>4</v>
      </c>
      <c r="L263">
        <f>_xlfn.XLOOKUP(H263,Table6[Product],Table6[Unit Price])</f>
        <v>800</v>
      </c>
      <c r="M263">
        <f>_xlfn.XLOOKUP(H263,Table6[Product],Table6[Cost Price])</f>
        <v>450</v>
      </c>
      <c r="N263" s="7">
        <v>0.23</v>
      </c>
      <c r="O263">
        <f t="shared" si="12"/>
        <v>2464</v>
      </c>
      <c r="P263">
        <f t="shared" si="13"/>
        <v>1800</v>
      </c>
      <c r="Q263">
        <f t="shared" si="14"/>
        <v>664</v>
      </c>
      <c r="R263" t="s">
        <v>43</v>
      </c>
      <c r="S263" t="s">
        <v>50</v>
      </c>
    </row>
    <row r="264" spans="1:19" ht="18" x14ac:dyDescent="0.5">
      <c r="A264" t="s">
        <v>334</v>
      </c>
      <c r="B264" t="s">
        <v>1333</v>
      </c>
      <c r="C264" s="6">
        <v>45787</v>
      </c>
      <c r="D264" t="s">
        <v>2094</v>
      </c>
      <c r="E264" t="s">
        <v>2105</v>
      </c>
      <c r="F264" t="str">
        <f>_xlfn.XLOOKUP(E264,Table8[City],Table8[State])</f>
        <v>Rajasthan</v>
      </c>
      <c r="G264" t="str">
        <f>_xlfn.XLOOKUP(E264,Table8[City],Table8[Region])</f>
        <v>North</v>
      </c>
      <c r="H264" t="s">
        <v>24</v>
      </c>
      <c r="I264" t="str">
        <f>_xlfn.XLOOKUP(H264,Table6[Product],Table6[Category])</f>
        <v>Accessories</v>
      </c>
      <c r="J264" t="s">
        <v>60</v>
      </c>
      <c r="K264">
        <v>6</v>
      </c>
      <c r="L264">
        <f>_xlfn.XLOOKUP(H264,Table6[Product],Table6[Unit Price])</f>
        <v>1500</v>
      </c>
      <c r="M264">
        <f>_xlfn.XLOOKUP(H264,Table6[Product],Table6[Cost Price])</f>
        <v>900</v>
      </c>
      <c r="N264" s="7">
        <v>0.05</v>
      </c>
      <c r="O264">
        <f t="shared" si="12"/>
        <v>8550</v>
      </c>
      <c r="P264">
        <f t="shared" si="13"/>
        <v>5400</v>
      </c>
      <c r="Q264">
        <f t="shared" si="14"/>
        <v>3150</v>
      </c>
      <c r="R264" t="s">
        <v>47</v>
      </c>
      <c r="S264" t="s">
        <v>52</v>
      </c>
    </row>
    <row r="265" spans="1:19" ht="18" x14ac:dyDescent="0.5">
      <c r="A265" t="s">
        <v>335</v>
      </c>
      <c r="B265" t="s">
        <v>1334</v>
      </c>
      <c r="C265" s="6">
        <v>45640</v>
      </c>
      <c r="D265" t="s">
        <v>2090</v>
      </c>
      <c r="E265" t="s">
        <v>2080</v>
      </c>
      <c r="F265" t="str">
        <f>_xlfn.XLOOKUP(E265,Table8[City],Table8[State])</f>
        <v>Gujarat</v>
      </c>
      <c r="G265" t="str">
        <f>_xlfn.XLOOKUP(E265,Table8[City],Table8[Region])</f>
        <v>West</v>
      </c>
      <c r="H265" t="s">
        <v>20</v>
      </c>
      <c r="I265" t="str">
        <f>_xlfn.XLOOKUP(H265,Table6[Product],Table6[Category])</f>
        <v>Accessories</v>
      </c>
      <c r="J265" t="s">
        <v>56</v>
      </c>
      <c r="K265">
        <v>7</v>
      </c>
      <c r="L265">
        <f>_xlfn.XLOOKUP(H265,Table6[Product],Table6[Unit Price])</f>
        <v>3000</v>
      </c>
      <c r="M265">
        <f>_xlfn.XLOOKUP(H265,Table6[Product],Table6[Cost Price])</f>
        <v>1800</v>
      </c>
      <c r="N265" s="7">
        <v>0.24</v>
      </c>
      <c r="O265">
        <f t="shared" si="12"/>
        <v>15960</v>
      </c>
      <c r="P265">
        <f t="shared" si="13"/>
        <v>12600</v>
      </c>
      <c r="Q265">
        <f t="shared" si="14"/>
        <v>3360</v>
      </c>
      <c r="R265" t="s">
        <v>45</v>
      </c>
      <c r="S265" t="s">
        <v>51</v>
      </c>
    </row>
    <row r="266" spans="1:19" ht="18" x14ac:dyDescent="0.5">
      <c r="A266" t="s">
        <v>336</v>
      </c>
      <c r="B266" t="s">
        <v>1335</v>
      </c>
      <c r="C266" s="6">
        <v>45502</v>
      </c>
      <c r="D266" t="s">
        <v>2089</v>
      </c>
      <c r="E266" t="s">
        <v>2079</v>
      </c>
      <c r="F266" t="str">
        <f>_xlfn.XLOOKUP(E266,Table8[City],Table8[State])</f>
        <v>Gujarat</v>
      </c>
      <c r="G266" t="str">
        <f>_xlfn.XLOOKUP(E266,Table8[City],Table8[Region])</f>
        <v>West</v>
      </c>
      <c r="H266" t="s">
        <v>20</v>
      </c>
      <c r="I266" t="str">
        <f>_xlfn.XLOOKUP(H266,Table6[Product],Table6[Category])</f>
        <v>Accessories</v>
      </c>
      <c r="J266" t="s">
        <v>60</v>
      </c>
      <c r="K266">
        <v>10</v>
      </c>
      <c r="L266">
        <f>_xlfn.XLOOKUP(H266,Table6[Product],Table6[Unit Price])</f>
        <v>3000</v>
      </c>
      <c r="M266">
        <f>_xlfn.XLOOKUP(H266,Table6[Product],Table6[Cost Price])</f>
        <v>1800</v>
      </c>
      <c r="N266" s="7">
        <v>0.22</v>
      </c>
      <c r="O266">
        <f t="shared" si="12"/>
        <v>23400</v>
      </c>
      <c r="P266">
        <f t="shared" si="13"/>
        <v>18000</v>
      </c>
      <c r="Q266">
        <f t="shared" si="14"/>
        <v>5400</v>
      </c>
      <c r="R266" t="s">
        <v>44</v>
      </c>
      <c r="S266" t="s">
        <v>51</v>
      </c>
    </row>
    <row r="267" spans="1:19" ht="18" x14ac:dyDescent="0.5">
      <c r="A267" t="s">
        <v>337</v>
      </c>
      <c r="B267" t="s">
        <v>1336</v>
      </c>
      <c r="C267" s="6">
        <v>45422</v>
      </c>
      <c r="D267" t="s">
        <v>59</v>
      </c>
      <c r="E267" t="s">
        <v>2078</v>
      </c>
      <c r="F267" t="str">
        <f>_xlfn.XLOOKUP(E267,Table8[City],Table8[State])</f>
        <v>Telangana</v>
      </c>
      <c r="G267" t="str">
        <f>_xlfn.XLOOKUP(E267,Table8[City],Table8[Region])</f>
        <v>South</v>
      </c>
      <c r="H267" t="s">
        <v>20</v>
      </c>
      <c r="I267" t="str">
        <f>_xlfn.XLOOKUP(H267,Table6[Product],Table6[Category])</f>
        <v>Accessories</v>
      </c>
      <c r="J267" t="s">
        <v>59</v>
      </c>
      <c r="K267">
        <v>6</v>
      </c>
      <c r="L267">
        <f>_xlfn.XLOOKUP(H267,Table6[Product],Table6[Unit Price])</f>
        <v>3000</v>
      </c>
      <c r="M267">
        <f>_xlfn.XLOOKUP(H267,Table6[Product],Table6[Cost Price])</f>
        <v>1800</v>
      </c>
      <c r="N267" s="7">
        <v>0.2</v>
      </c>
      <c r="O267">
        <f t="shared" si="12"/>
        <v>14400</v>
      </c>
      <c r="P267">
        <f t="shared" si="13"/>
        <v>10800</v>
      </c>
      <c r="Q267">
        <f t="shared" si="14"/>
        <v>3600</v>
      </c>
      <c r="R267" t="s">
        <v>44</v>
      </c>
      <c r="S267" t="s">
        <v>51</v>
      </c>
    </row>
    <row r="268" spans="1:19" ht="18" x14ac:dyDescent="0.5">
      <c r="A268" t="s">
        <v>338</v>
      </c>
      <c r="B268" t="s">
        <v>1337</v>
      </c>
      <c r="C268" s="6">
        <v>45424</v>
      </c>
      <c r="D268" t="s">
        <v>2086</v>
      </c>
      <c r="E268" t="s">
        <v>2106</v>
      </c>
      <c r="F268" t="str">
        <f>_xlfn.XLOOKUP(E268,Table8[City],Table8[State])</f>
        <v>West Bengal</v>
      </c>
      <c r="G268" t="str">
        <f>_xlfn.XLOOKUP(E268,Table8[City],Table8[Region])</f>
        <v>East</v>
      </c>
      <c r="H268" t="s">
        <v>24</v>
      </c>
      <c r="I268" t="str">
        <f>_xlfn.XLOOKUP(H268,Table6[Product],Table6[Category])</f>
        <v>Accessories</v>
      </c>
      <c r="J268" t="s">
        <v>55</v>
      </c>
      <c r="K268">
        <v>1</v>
      </c>
      <c r="L268">
        <f>_xlfn.XLOOKUP(H268,Table6[Product],Table6[Unit Price])</f>
        <v>1500</v>
      </c>
      <c r="M268">
        <f>_xlfn.XLOOKUP(H268,Table6[Product],Table6[Cost Price])</f>
        <v>900</v>
      </c>
      <c r="N268" s="7">
        <v>0.03</v>
      </c>
      <c r="O268">
        <f t="shared" si="12"/>
        <v>1455</v>
      </c>
      <c r="P268">
        <f t="shared" si="13"/>
        <v>900</v>
      </c>
      <c r="Q268">
        <f t="shared" si="14"/>
        <v>555</v>
      </c>
      <c r="R268" t="s">
        <v>44</v>
      </c>
      <c r="S268" t="s">
        <v>49</v>
      </c>
    </row>
    <row r="269" spans="1:19" ht="18" x14ac:dyDescent="0.5">
      <c r="A269" t="s">
        <v>339</v>
      </c>
      <c r="B269" t="s">
        <v>1338</v>
      </c>
      <c r="C269" s="6">
        <v>45690</v>
      </c>
      <c r="D269" t="s">
        <v>2097</v>
      </c>
      <c r="E269" t="s">
        <v>2074</v>
      </c>
      <c r="F269" t="str">
        <f>_xlfn.XLOOKUP(E269,Table8[City],Table8[State])</f>
        <v>Maharashtra</v>
      </c>
      <c r="G269" t="str">
        <f>_xlfn.XLOOKUP(E269,Table8[City],Table8[Region])</f>
        <v>West</v>
      </c>
      <c r="H269" t="s">
        <v>26</v>
      </c>
      <c r="I269" t="str">
        <f>_xlfn.XLOOKUP(H269,Table6[Product],Table6[Category])</f>
        <v>Office</v>
      </c>
      <c r="J269" t="s">
        <v>63</v>
      </c>
      <c r="K269">
        <v>4</v>
      </c>
      <c r="L269">
        <f>_xlfn.XLOOKUP(H269,Table6[Product],Table6[Unit Price])</f>
        <v>15000</v>
      </c>
      <c r="M269">
        <f>_xlfn.XLOOKUP(H269,Table6[Product],Table6[Cost Price])</f>
        <v>11500</v>
      </c>
      <c r="N269" s="7">
        <v>0.21</v>
      </c>
      <c r="O269">
        <f t="shared" si="12"/>
        <v>47400</v>
      </c>
      <c r="P269">
        <f t="shared" si="13"/>
        <v>46000</v>
      </c>
      <c r="Q269">
        <f t="shared" si="14"/>
        <v>1400</v>
      </c>
      <c r="R269" t="s">
        <v>44</v>
      </c>
      <c r="S269" t="s">
        <v>52</v>
      </c>
    </row>
    <row r="270" spans="1:19" ht="18" x14ac:dyDescent="0.5">
      <c r="A270" t="s">
        <v>340</v>
      </c>
      <c r="B270" t="s">
        <v>1339</v>
      </c>
      <c r="C270" s="6">
        <v>45873</v>
      </c>
      <c r="D270" t="s">
        <v>2089</v>
      </c>
      <c r="E270" t="s">
        <v>2076</v>
      </c>
      <c r="F270" t="str">
        <f>_xlfn.XLOOKUP(E270,Table8[City],Table8[State])</f>
        <v>Tamil Nadu</v>
      </c>
      <c r="G270" t="str">
        <f>_xlfn.XLOOKUP(E270,Table8[City],Table8[Region])</f>
        <v>South</v>
      </c>
      <c r="H270" t="s">
        <v>20</v>
      </c>
      <c r="I270" t="str">
        <f>_xlfn.XLOOKUP(H270,Table6[Product],Table6[Category])</f>
        <v>Accessories</v>
      </c>
      <c r="J270" t="s">
        <v>62</v>
      </c>
      <c r="K270">
        <v>9</v>
      </c>
      <c r="L270">
        <f>_xlfn.XLOOKUP(H270,Table6[Product],Table6[Unit Price])</f>
        <v>3000</v>
      </c>
      <c r="M270">
        <f>_xlfn.XLOOKUP(H270,Table6[Product],Table6[Cost Price])</f>
        <v>1800</v>
      </c>
      <c r="N270" s="7">
        <v>0.09</v>
      </c>
      <c r="O270">
        <f t="shared" si="12"/>
        <v>24570</v>
      </c>
      <c r="P270">
        <f t="shared" si="13"/>
        <v>16200</v>
      </c>
      <c r="Q270">
        <f t="shared" si="14"/>
        <v>8370</v>
      </c>
      <c r="R270" t="s">
        <v>45</v>
      </c>
      <c r="S270" t="s">
        <v>50</v>
      </c>
    </row>
    <row r="271" spans="1:19" ht="18" x14ac:dyDescent="0.5">
      <c r="A271" t="s">
        <v>341</v>
      </c>
      <c r="B271" t="s">
        <v>1340</v>
      </c>
      <c r="C271" s="6">
        <v>45538</v>
      </c>
      <c r="D271" t="s">
        <v>63</v>
      </c>
      <c r="E271" t="s">
        <v>2106</v>
      </c>
      <c r="F271" t="str">
        <f>_xlfn.XLOOKUP(E271,Table8[City],Table8[State])</f>
        <v>West Bengal</v>
      </c>
      <c r="G271" t="str">
        <f>_xlfn.XLOOKUP(E271,Table8[City],Table8[Region])</f>
        <v>East</v>
      </c>
      <c r="H271" t="s">
        <v>18</v>
      </c>
      <c r="I271" t="str">
        <f>_xlfn.XLOOKUP(H271,Table6[Product],Table6[Category])</f>
        <v>Electronics</v>
      </c>
      <c r="J271" t="s">
        <v>60</v>
      </c>
      <c r="K271">
        <v>4</v>
      </c>
      <c r="L271">
        <f>_xlfn.XLOOKUP(H271,Table6[Product],Table6[Unit Price])</f>
        <v>35000</v>
      </c>
      <c r="M271">
        <f>_xlfn.XLOOKUP(H271,Table6[Product],Table6[Cost Price])</f>
        <v>28000</v>
      </c>
      <c r="N271" s="7">
        <v>7.0000000000000007E-2</v>
      </c>
      <c r="O271">
        <f t="shared" si="12"/>
        <v>130199.99999999999</v>
      </c>
      <c r="P271">
        <f t="shared" si="13"/>
        <v>112000</v>
      </c>
      <c r="Q271">
        <f t="shared" si="14"/>
        <v>18199.999999999985</v>
      </c>
      <c r="R271" t="s">
        <v>45</v>
      </c>
      <c r="S271" t="s">
        <v>51</v>
      </c>
    </row>
    <row r="272" spans="1:19" ht="18" x14ac:dyDescent="0.5">
      <c r="A272" t="s">
        <v>342</v>
      </c>
      <c r="B272" t="s">
        <v>1341</v>
      </c>
      <c r="C272" s="6">
        <v>45589</v>
      </c>
      <c r="D272" t="s">
        <v>2095</v>
      </c>
      <c r="E272" t="s">
        <v>2079</v>
      </c>
      <c r="F272" t="str">
        <f>_xlfn.XLOOKUP(E272,Table8[City],Table8[State])</f>
        <v>Gujarat</v>
      </c>
      <c r="G272" t="str">
        <f>_xlfn.XLOOKUP(E272,Table8[City],Table8[Region])</f>
        <v>West</v>
      </c>
      <c r="H272" t="s">
        <v>20</v>
      </c>
      <c r="I272" t="str">
        <f>_xlfn.XLOOKUP(H272,Table6[Product],Table6[Category])</f>
        <v>Accessories</v>
      </c>
      <c r="J272" t="s">
        <v>60</v>
      </c>
      <c r="K272">
        <v>8</v>
      </c>
      <c r="L272">
        <f>_xlfn.XLOOKUP(H272,Table6[Product],Table6[Unit Price])</f>
        <v>3000</v>
      </c>
      <c r="M272">
        <f>_xlfn.XLOOKUP(H272,Table6[Product],Table6[Cost Price])</f>
        <v>1800</v>
      </c>
      <c r="N272" s="7">
        <v>0.2</v>
      </c>
      <c r="O272">
        <f t="shared" si="12"/>
        <v>19200</v>
      </c>
      <c r="P272">
        <f t="shared" si="13"/>
        <v>14400</v>
      </c>
      <c r="Q272">
        <f t="shared" si="14"/>
        <v>4800</v>
      </c>
      <c r="R272" t="s">
        <v>45</v>
      </c>
      <c r="S272" t="s">
        <v>49</v>
      </c>
    </row>
    <row r="273" spans="1:19" ht="18" x14ac:dyDescent="0.5">
      <c r="A273" t="s">
        <v>343</v>
      </c>
      <c r="B273" t="s">
        <v>1342</v>
      </c>
      <c r="C273" s="6">
        <v>45862</v>
      </c>
      <c r="D273" t="s">
        <v>2092</v>
      </c>
      <c r="E273" t="s">
        <v>2080</v>
      </c>
      <c r="F273" t="str">
        <f>_xlfn.XLOOKUP(E273,Table8[City],Table8[State])</f>
        <v>Gujarat</v>
      </c>
      <c r="G273" t="str">
        <f>_xlfn.XLOOKUP(E273,Table8[City],Table8[Region])</f>
        <v>West</v>
      </c>
      <c r="H273" t="s">
        <v>18</v>
      </c>
      <c r="I273" t="str">
        <f>_xlfn.XLOOKUP(H273,Table6[Product],Table6[Category])</f>
        <v>Electronics</v>
      </c>
      <c r="J273" t="s">
        <v>54</v>
      </c>
      <c r="K273">
        <v>2</v>
      </c>
      <c r="L273">
        <f>_xlfn.XLOOKUP(H273,Table6[Product],Table6[Unit Price])</f>
        <v>35000</v>
      </c>
      <c r="M273">
        <f>_xlfn.XLOOKUP(H273,Table6[Product],Table6[Cost Price])</f>
        <v>28000</v>
      </c>
      <c r="N273" s="7">
        <v>0.04</v>
      </c>
      <c r="O273">
        <f t="shared" si="12"/>
        <v>67200</v>
      </c>
      <c r="P273">
        <f t="shared" si="13"/>
        <v>56000</v>
      </c>
      <c r="Q273">
        <f t="shared" si="14"/>
        <v>11200</v>
      </c>
      <c r="R273" t="s">
        <v>46</v>
      </c>
      <c r="S273" t="s">
        <v>51</v>
      </c>
    </row>
    <row r="274" spans="1:19" ht="18" x14ac:dyDescent="0.5">
      <c r="A274" t="s">
        <v>344</v>
      </c>
      <c r="B274" t="s">
        <v>1343</v>
      </c>
      <c r="C274" s="6">
        <v>45296</v>
      </c>
      <c r="D274" t="s">
        <v>2085</v>
      </c>
      <c r="E274" t="s">
        <v>2104</v>
      </c>
      <c r="F274" t="str">
        <f>_xlfn.XLOOKUP(E274,Table8[City],Table8[State])</f>
        <v>Delhi</v>
      </c>
      <c r="G274" t="str">
        <f>_xlfn.XLOOKUP(E274,Table8[City],Table8[Region])</f>
        <v>North</v>
      </c>
      <c r="H274" t="s">
        <v>26</v>
      </c>
      <c r="I274" t="str">
        <f>_xlfn.XLOOKUP(H274,Table6[Product],Table6[Category])</f>
        <v>Office</v>
      </c>
      <c r="J274" t="s">
        <v>63</v>
      </c>
      <c r="K274">
        <v>3</v>
      </c>
      <c r="L274">
        <f>_xlfn.XLOOKUP(H274,Table6[Product],Table6[Unit Price])</f>
        <v>15000</v>
      </c>
      <c r="M274">
        <f>_xlfn.XLOOKUP(H274,Table6[Product],Table6[Cost Price])</f>
        <v>11500</v>
      </c>
      <c r="N274" s="7">
        <v>0.02</v>
      </c>
      <c r="O274">
        <f t="shared" si="12"/>
        <v>44100</v>
      </c>
      <c r="P274">
        <f t="shared" si="13"/>
        <v>34500</v>
      </c>
      <c r="Q274">
        <f t="shared" si="14"/>
        <v>9600</v>
      </c>
      <c r="R274" t="s">
        <v>43</v>
      </c>
      <c r="S274" t="s">
        <v>52</v>
      </c>
    </row>
    <row r="275" spans="1:19" ht="18" x14ac:dyDescent="0.5">
      <c r="A275" t="s">
        <v>345</v>
      </c>
      <c r="B275" t="s">
        <v>1344</v>
      </c>
      <c r="C275" s="6">
        <v>45356</v>
      </c>
      <c r="D275" t="s">
        <v>2099</v>
      </c>
      <c r="E275" t="s">
        <v>2078</v>
      </c>
      <c r="F275" t="str">
        <f>_xlfn.XLOOKUP(E275,Table8[City],Table8[State])</f>
        <v>Telangana</v>
      </c>
      <c r="G275" t="str">
        <f>_xlfn.XLOOKUP(E275,Table8[City],Table8[Region])</f>
        <v>South</v>
      </c>
      <c r="H275" t="s">
        <v>25</v>
      </c>
      <c r="I275" t="str">
        <f>_xlfn.XLOOKUP(H275,Table6[Product],Table6[Category])</f>
        <v>Accessories</v>
      </c>
      <c r="J275" t="s">
        <v>61</v>
      </c>
      <c r="K275">
        <v>3</v>
      </c>
      <c r="L275">
        <f>_xlfn.XLOOKUP(H275,Table6[Product],Table6[Unit Price])</f>
        <v>800</v>
      </c>
      <c r="M275">
        <f>_xlfn.XLOOKUP(H275,Table6[Product],Table6[Cost Price])</f>
        <v>450</v>
      </c>
      <c r="N275" s="7">
        <v>0.2</v>
      </c>
      <c r="O275">
        <f t="shared" si="12"/>
        <v>1920</v>
      </c>
      <c r="P275">
        <f t="shared" si="13"/>
        <v>1350</v>
      </c>
      <c r="Q275">
        <f t="shared" si="14"/>
        <v>570</v>
      </c>
      <c r="R275" t="s">
        <v>43</v>
      </c>
      <c r="S275" t="s">
        <v>50</v>
      </c>
    </row>
    <row r="276" spans="1:19" ht="18" x14ac:dyDescent="0.5">
      <c r="A276" t="s">
        <v>346</v>
      </c>
      <c r="B276" t="s">
        <v>1345</v>
      </c>
      <c r="C276" s="6">
        <v>45316</v>
      </c>
      <c r="D276" t="s">
        <v>2090</v>
      </c>
      <c r="E276" t="s">
        <v>70</v>
      </c>
      <c r="F276" t="str">
        <f>_xlfn.XLOOKUP(E276,Table8[City],Table8[State])</f>
        <v>Karnataka</v>
      </c>
      <c r="G276" t="str">
        <f>_xlfn.XLOOKUP(E276,Table8[City],Table8[Region])</f>
        <v>South</v>
      </c>
      <c r="H276" t="s">
        <v>25</v>
      </c>
      <c r="I276" t="str">
        <f>_xlfn.XLOOKUP(H276,Table6[Product],Table6[Category])</f>
        <v>Accessories</v>
      </c>
      <c r="J276" t="s">
        <v>56</v>
      </c>
      <c r="K276">
        <v>2</v>
      </c>
      <c r="L276">
        <f>_xlfn.XLOOKUP(H276,Table6[Product],Table6[Unit Price])</f>
        <v>800</v>
      </c>
      <c r="M276">
        <f>_xlfn.XLOOKUP(H276,Table6[Product],Table6[Cost Price])</f>
        <v>450</v>
      </c>
      <c r="N276" s="7">
        <v>0.15</v>
      </c>
      <c r="O276">
        <f t="shared" si="12"/>
        <v>1360</v>
      </c>
      <c r="P276">
        <f t="shared" si="13"/>
        <v>900</v>
      </c>
      <c r="Q276">
        <f t="shared" si="14"/>
        <v>460</v>
      </c>
      <c r="R276" t="s">
        <v>43</v>
      </c>
      <c r="S276" t="s">
        <v>52</v>
      </c>
    </row>
    <row r="277" spans="1:19" ht="18" x14ac:dyDescent="0.5">
      <c r="A277" t="s">
        <v>347</v>
      </c>
      <c r="B277" t="s">
        <v>1346</v>
      </c>
      <c r="C277" s="6">
        <v>45819</v>
      </c>
      <c r="D277" t="s">
        <v>2099</v>
      </c>
      <c r="E277" t="s">
        <v>2073</v>
      </c>
      <c r="F277" t="str">
        <f>_xlfn.XLOOKUP(E277,Table8[City],Table8[State])</f>
        <v>Maharashtra</v>
      </c>
      <c r="G277" t="str">
        <f>_xlfn.XLOOKUP(E277,Table8[City],Table8[Region])</f>
        <v>West</v>
      </c>
      <c r="H277" t="s">
        <v>18</v>
      </c>
      <c r="I277" t="str">
        <f>_xlfn.XLOOKUP(H277,Table6[Product],Table6[Category])</f>
        <v>Electronics</v>
      </c>
      <c r="J277" t="s">
        <v>57</v>
      </c>
      <c r="K277">
        <v>6</v>
      </c>
      <c r="L277">
        <f>_xlfn.XLOOKUP(H277,Table6[Product],Table6[Unit Price])</f>
        <v>35000</v>
      </c>
      <c r="M277">
        <f>_xlfn.XLOOKUP(H277,Table6[Product],Table6[Cost Price])</f>
        <v>28000</v>
      </c>
      <c r="N277" s="7">
        <v>0.02</v>
      </c>
      <c r="O277">
        <f t="shared" si="12"/>
        <v>205800</v>
      </c>
      <c r="P277">
        <f t="shared" si="13"/>
        <v>168000</v>
      </c>
      <c r="Q277">
        <f t="shared" si="14"/>
        <v>37800</v>
      </c>
      <c r="R277" t="s">
        <v>45</v>
      </c>
      <c r="S277" t="s">
        <v>50</v>
      </c>
    </row>
    <row r="278" spans="1:19" ht="18" x14ac:dyDescent="0.5">
      <c r="A278" t="s">
        <v>348</v>
      </c>
      <c r="B278" t="s">
        <v>1347</v>
      </c>
      <c r="C278" s="6">
        <v>45899</v>
      </c>
      <c r="D278" t="s">
        <v>2088</v>
      </c>
      <c r="E278" t="s">
        <v>2078</v>
      </c>
      <c r="F278" t="str">
        <f>_xlfn.XLOOKUP(E278,Table8[City],Table8[State])</f>
        <v>Telangana</v>
      </c>
      <c r="G278" t="str">
        <f>_xlfn.XLOOKUP(E278,Table8[City],Table8[Region])</f>
        <v>South</v>
      </c>
      <c r="H278" t="s">
        <v>20</v>
      </c>
      <c r="I278" t="str">
        <f>_xlfn.XLOOKUP(H278,Table6[Product],Table6[Category])</f>
        <v>Accessories</v>
      </c>
      <c r="J278" t="s">
        <v>58</v>
      </c>
      <c r="K278">
        <v>2</v>
      </c>
      <c r="L278">
        <f>_xlfn.XLOOKUP(H278,Table6[Product],Table6[Unit Price])</f>
        <v>3000</v>
      </c>
      <c r="M278">
        <f>_xlfn.XLOOKUP(H278,Table6[Product],Table6[Cost Price])</f>
        <v>1800</v>
      </c>
      <c r="N278" s="7">
        <v>0.1</v>
      </c>
      <c r="O278">
        <f t="shared" si="12"/>
        <v>5400</v>
      </c>
      <c r="P278">
        <f t="shared" si="13"/>
        <v>3600</v>
      </c>
      <c r="Q278">
        <f t="shared" si="14"/>
        <v>1800</v>
      </c>
      <c r="R278" t="s">
        <v>46</v>
      </c>
      <c r="S278" t="s">
        <v>52</v>
      </c>
    </row>
    <row r="279" spans="1:19" ht="18" x14ac:dyDescent="0.5">
      <c r="A279" t="s">
        <v>349</v>
      </c>
      <c r="B279" t="s">
        <v>1348</v>
      </c>
      <c r="C279" s="6">
        <v>45517</v>
      </c>
      <c r="D279" t="s">
        <v>63</v>
      </c>
      <c r="E279" t="s">
        <v>2104</v>
      </c>
      <c r="F279" t="str">
        <f>_xlfn.XLOOKUP(E279,Table8[City],Table8[State])</f>
        <v>Delhi</v>
      </c>
      <c r="G279" t="str">
        <f>_xlfn.XLOOKUP(E279,Table8[City],Table8[Region])</f>
        <v>North</v>
      </c>
      <c r="H279" t="s">
        <v>29</v>
      </c>
      <c r="I279" t="str">
        <f>_xlfn.XLOOKUP(H279,Table6[Product],Table6[Category])</f>
        <v>Electronics</v>
      </c>
      <c r="J279" t="s">
        <v>54</v>
      </c>
      <c r="K279">
        <v>6</v>
      </c>
      <c r="L279">
        <f>_xlfn.XLOOKUP(H279,Table6[Product],Table6[Unit Price])</f>
        <v>5000</v>
      </c>
      <c r="M279">
        <f>_xlfn.XLOOKUP(H279,Table6[Product],Table6[Cost Price])</f>
        <v>3200</v>
      </c>
      <c r="N279" s="7">
        <v>0.19</v>
      </c>
      <c r="O279">
        <f t="shared" si="12"/>
        <v>24300</v>
      </c>
      <c r="P279">
        <f t="shared" si="13"/>
        <v>19200</v>
      </c>
      <c r="Q279">
        <f t="shared" si="14"/>
        <v>5100</v>
      </c>
      <c r="R279" t="s">
        <v>44</v>
      </c>
      <c r="S279" t="s">
        <v>52</v>
      </c>
    </row>
    <row r="280" spans="1:19" ht="18" x14ac:dyDescent="0.5">
      <c r="A280" t="s">
        <v>350</v>
      </c>
      <c r="B280" t="s">
        <v>1349</v>
      </c>
      <c r="C280" s="6">
        <v>45850</v>
      </c>
      <c r="D280" t="s">
        <v>63</v>
      </c>
      <c r="E280" t="s">
        <v>2074</v>
      </c>
      <c r="F280" t="str">
        <f>_xlfn.XLOOKUP(E280,Table8[City],Table8[State])</f>
        <v>Maharashtra</v>
      </c>
      <c r="G280" t="str">
        <f>_xlfn.XLOOKUP(E280,Table8[City],Table8[Region])</f>
        <v>West</v>
      </c>
      <c r="H280" t="s">
        <v>29</v>
      </c>
      <c r="I280" t="str">
        <f>_xlfn.XLOOKUP(H280,Table6[Product],Table6[Category])</f>
        <v>Electronics</v>
      </c>
      <c r="J280" t="s">
        <v>56</v>
      </c>
      <c r="K280">
        <v>7</v>
      </c>
      <c r="L280">
        <f>_xlfn.XLOOKUP(H280,Table6[Product],Table6[Unit Price])</f>
        <v>5000</v>
      </c>
      <c r="M280">
        <f>_xlfn.XLOOKUP(H280,Table6[Product],Table6[Cost Price])</f>
        <v>3200</v>
      </c>
      <c r="N280" s="7">
        <v>0.01</v>
      </c>
      <c r="O280">
        <f t="shared" si="12"/>
        <v>34650</v>
      </c>
      <c r="P280">
        <f t="shared" si="13"/>
        <v>22400</v>
      </c>
      <c r="Q280">
        <f t="shared" si="14"/>
        <v>12250</v>
      </c>
      <c r="R280" t="s">
        <v>43</v>
      </c>
      <c r="S280" t="s">
        <v>50</v>
      </c>
    </row>
    <row r="281" spans="1:19" ht="18" x14ac:dyDescent="0.5">
      <c r="A281" t="s">
        <v>351</v>
      </c>
      <c r="B281" t="s">
        <v>1350</v>
      </c>
      <c r="C281" s="6">
        <v>45470</v>
      </c>
      <c r="D281" t="s">
        <v>2097</v>
      </c>
      <c r="E281" t="s">
        <v>2106</v>
      </c>
      <c r="F281" t="str">
        <f>_xlfn.XLOOKUP(E281,Table8[City],Table8[State])</f>
        <v>West Bengal</v>
      </c>
      <c r="G281" t="str">
        <f>_xlfn.XLOOKUP(E281,Table8[City],Table8[Region])</f>
        <v>East</v>
      </c>
      <c r="H281" t="s">
        <v>18</v>
      </c>
      <c r="I281" t="str">
        <f>_xlfn.XLOOKUP(H281,Table6[Product],Table6[Category])</f>
        <v>Electronics</v>
      </c>
      <c r="J281" t="s">
        <v>60</v>
      </c>
      <c r="K281">
        <v>10</v>
      </c>
      <c r="L281">
        <f>_xlfn.XLOOKUP(H281,Table6[Product],Table6[Unit Price])</f>
        <v>35000</v>
      </c>
      <c r="M281">
        <f>_xlfn.XLOOKUP(H281,Table6[Product],Table6[Cost Price])</f>
        <v>28000</v>
      </c>
      <c r="N281" s="7">
        <v>0.02</v>
      </c>
      <c r="O281">
        <f t="shared" si="12"/>
        <v>343000</v>
      </c>
      <c r="P281">
        <f t="shared" si="13"/>
        <v>280000</v>
      </c>
      <c r="Q281">
        <f t="shared" si="14"/>
        <v>63000</v>
      </c>
      <c r="R281" t="s">
        <v>46</v>
      </c>
      <c r="S281" t="s">
        <v>49</v>
      </c>
    </row>
    <row r="282" spans="1:19" ht="18" x14ac:dyDescent="0.5">
      <c r="A282" t="s">
        <v>352</v>
      </c>
      <c r="B282" t="s">
        <v>1351</v>
      </c>
      <c r="C282" s="6">
        <v>45348</v>
      </c>
      <c r="D282" t="s">
        <v>2096</v>
      </c>
      <c r="E282" t="s">
        <v>2076</v>
      </c>
      <c r="F282" t="str">
        <f>_xlfn.XLOOKUP(E282,Table8[City],Table8[State])</f>
        <v>Tamil Nadu</v>
      </c>
      <c r="G282" t="str">
        <f>_xlfn.XLOOKUP(E282,Table8[City],Table8[Region])</f>
        <v>South</v>
      </c>
      <c r="H282" t="s">
        <v>26</v>
      </c>
      <c r="I282" t="str">
        <f>_xlfn.XLOOKUP(H282,Table6[Product],Table6[Category])</f>
        <v>Office</v>
      </c>
      <c r="J282" t="s">
        <v>58</v>
      </c>
      <c r="K282">
        <v>5</v>
      </c>
      <c r="L282">
        <f>_xlfn.XLOOKUP(H282,Table6[Product],Table6[Unit Price])</f>
        <v>15000</v>
      </c>
      <c r="M282">
        <f>_xlfn.XLOOKUP(H282,Table6[Product],Table6[Cost Price])</f>
        <v>11500</v>
      </c>
      <c r="N282" s="7">
        <v>0.09</v>
      </c>
      <c r="O282">
        <f t="shared" si="12"/>
        <v>68250</v>
      </c>
      <c r="P282">
        <f t="shared" si="13"/>
        <v>57500</v>
      </c>
      <c r="Q282">
        <f t="shared" si="14"/>
        <v>10750</v>
      </c>
      <c r="R282" t="s">
        <v>43</v>
      </c>
      <c r="S282" t="s">
        <v>50</v>
      </c>
    </row>
    <row r="283" spans="1:19" ht="18" x14ac:dyDescent="0.5">
      <c r="A283" t="s">
        <v>353</v>
      </c>
      <c r="B283" t="s">
        <v>1352</v>
      </c>
      <c r="C283" s="6">
        <v>45882</v>
      </c>
      <c r="D283" t="s">
        <v>2096</v>
      </c>
      <c r="E283" t="s">
        <v>2104</v>
      </c>
      <c r="F283" t="str">
        <f>_xlfn.XLOOKUP(E283,Table8[City],Table8[State])</f>
        <v>Delhi</v>
      </c>
      <c r="G283" t="str">
        <f>_xlfn.XLOOKUP(E283,Table8[City],Table8[Region])</f>
        <v>North</v>
      </c>
      <c r="H283" t="s">
        <v>28</v>
      </c>
      <c r="I283" t="str">
        <f>_xlfn.XLOOKUP(H283,Table6[Product],Table6[Category])</f>
        <v>Office</v>
      </c>
      <c r="J283" t="s">
        <v>62</v>
      </c>
      <c r="K283">
        <v>9</v>
      </c>
      <c r="L283">
        <f>_xlfn.XLOOKUP(H283,Table6[Product],Table6[Unit Price])</f>
        <v>18000</v>
      </c>
      <c r="M283">
        <f>_xlfn.XLOOKUP(H283,Table6[Product],Table6[Cost Price])</f>
        <v>14000</v>
      </c>
      <c r="N283" s="7">
        <v>7.0000000000000007E-2</v>
      </c>
      <c r="O283">
        <f t="shared" si="12"/>
        <v>150660</v>
      </c>
      <c r="P283">
        <f t="shared" si="13"/>
        <v>126000</v>
      </c>
      <c r="Q283">
        <f t="shared" si="14"/>
        <v>24660</v>
      </c>
      <c r="R283" t="s">
        <v>43</v>
      </c>
      <c r="S283" t="s">
        <v>50</v>
      </c>
    </row>
    <row r="284" spans="1:19" ht="18" x14ac:dyDescent="0.5">
      <c r="A284" t="s">
        <v>354</v>
      </c>
      <c r="B284" t="s">
        <v>1353</v>
      </c>
      <c r="C284" s="6">
        <v>45310</v>
      </c>
      <c r="D284" t="s">
        <v>2083</v>
      </c>
      <c r="E284" t="s">
        <v>2072</v>
      </c>
      <c r="F284" t="str">
        <f>_xlfn.XLOOKUP(E284,Table8[City],Table8[State])</f>
        <v>Karnataka</v>
      </c>
      <c r="G284" t="str">
        <f>_xlfn.XLOOKUP(E284,Table8[City],Table8[Region])</f>
        <v>South</v>
      </c>
      <c r="H284" t="s">
        <v>22</v>
      </c>
      <c r="I284" t="str">
        <f>_xlfn.XLOOKUP(H284,Table6[Product],Table6[Category])</f>
        <v>Wearables</v>
      </c>
      <c r="J284" t="s">
        <v>63</v>
      </c>
      <c r="K284">
        <v>7</v>
      </c>
      <c r="L284">
        <f>_xlfn.XLOOKUP(H284,Table6[Product],Table6[Unit Price])</f>
        <v>12000</v>
      </c>
      <c r="M284">
        <f>_xlfn.XLOOKUP(H284,Table6[Product],Table6[Cost Price])</f>
        <v>8500</v>
      </c>
      <c r="N284" s="7">
        <v>0.1</v>
      </c>
      <c r="O284">
        <f t="shared" si="12"/>
        <v>75600</v>
      </c>
      <c r="P284">
        <f t="shared" si="13"/>
        <v>59500</v>
      </c>
      <c r="Q284">
        <f t="shared" si="14"/>
        <v>16100</v>
      </c>
      <c r="R284" t="s">
        <v>44</v>
      </c>
      <c r="S284" t="s">
        <v>52</v>
      </c>
    </row>
    <row r="285" spans="1:19" ht="18" x14ac:dyDescent="0.5">
      <c r="A285" t="s">
        <v>355</v>
      </c>
      <c r="B285" t="s">
        <v>1354</v>
      </c>
      <c r="C285" s="6">
        <v>45406</v>
      </c>
      <c r="D285" t="s">
        <v>2099</v>
      </c>
      <c r="E285" t="s">
        <v>2075</v>
      </c>
      <c r="F285" t="str">
        <f>_xlfn.XLOOKUP(E285,Table8[City],Table8[State])</f>
        <v>Tamil Nadu</v>
      </c>
      <c r="G285" t="str">
        <f>_xlfn.XLOOKUP(E285,Table8[City],Table8[Region])</f>
        <v>South</v>
      </c>
      <c r="H285" t="s">
        <v>29</v>
      </c>
      <c r="I285" t="str">
        <f>_xlfn.XLOOKUP(H285,Table6[Product],Table6[Category])</f>
        <v>Electronics</v>
      </c>
      <c r="J285" t="s">
        <v>57</v>
      </c>
      <c r="K285">
        <v>10</v>
      </c>
      <c r="L285">
        <f>_xlfn.XLOOKUP(H285,Table6[Product],Table6[Unit Price])</f>
        <v>5000</v>
      </c>
      <c r="M285">
        <f>_xlfn.XLOOKUP(H285,Table6[Product],Table6[Cost Price])</f>
        <v>3200</v>
      </c>
      <c r="N285" s="7">
        <v>0.24</v>
      </c>
      <c r="O285">
        <f t="shared" si="12"/>
        <v>38000</v>
      </c>
      <c r="P285">
        <f t="shared" si="13"/>
        <v>32000</v>
      </c>
      <c r="Q285">
        <f t="shared" si="14"/>
        <v>6000</v>
      </c>
      <c r="R285" t="s">
        <v>43</v>
      </c>
      <c r="S285" t="s">
        <v>51</v>
      </c>
    </row>
    <row r="286" spans="1:19" ht="18" x14ac:dyDescent="0.5">
      <c r="A286" t="s">
        <v>356</v>
      </c>
      <c r="B286" t="s">
        <v>1355</v>
      </c>
      <c r="C286" s="6">
        <v>45309</v>
      </c>
      <c r="D286" t="s">
        <v>59</v>
      </c>
      <c r="E286" t="s">
        <v>2080</v>
      </c>
      <c r="F286" t="str">
        <f>_xlfn.XLOOKUP(E286,Table8[City],Table8[State])</f>
        <v>Gujarat</v>
      </c>
      <c r="G286" t="str">
        <f>_xlfn.XLOOKUP(E286,Table8[City],Table8[Region])</f>
        <v>West</v>
      </c>
      <c r="H286" t="s">
        <v>22</v>
      </c>
      <c r="I286" t="str">
        <f>_xlfn.XLOOKUP(H286,Table6[Product],Table6[Category])</f>
        <v>Wearables</v>
      </c>
      <c r="J286" t="s">
        <v>59</v>
      </c>
      <c r="K286">
        <v>10</v>
      </c>
      <c r="L286">
        <f>_xlfn.XLOOKUP(H286,Table6[Product],Table6[Unit Price])</f>
        <v>12000</v>
      </c>
      <c r="M286">
        <f>_xlfn.XLOOKUP(H286,Table6[Product],Table6[Cost Price])</f>
        <v>8500</v>
      </c>
      <c r="N286" s="7">
        <v>0.15</v>
      </c>
      <c r="O286">
        <f t="shared" si="12"/>
        <v>102000</v>
      </c>
      <c r="P286">
        <f t="shared" si="13"/>
        <v>85000</v>
      </c>
      <c r="Q286">
        <f t="shared" si="14"/>
        <v>17000</v>
      </c>
      <c r="R286" t="s">
        <v>43</v>
      </c>
      <c r="S286" t="s">
        <v>50</v>
      </c>
    </row>
    <row r="287" spans="1:19" ht="18" x14ac:dyDescent="0.5">
      <c r="A287" t="s">
        <v>357</v>
      </c>
      <c r="B287" t="s">
        <v>1356</v>
      </c>
      <c r="C287" s="6">
        <v>45931</v>
      </c>
      <c r="D287" t="s">
        <v>63</v>
      </c>
      <c r="E287" t="s">
        <v>2075</v>
      </c>
      <c r="F287" t="str">
        <f>_xlfn.XLOOKUP(E287,Table8[City],Table8[State])</f>
        <v>Tamil Nadu</v>
      </c>
      <c r="G287" t="str">
        <f>_xlfn.XLOOKUP(E287,Table8[City],Table8[Region])</f>
        <v>South</v>
      </c>
      <c r="H287" t="s">
        <v>16</v>
      </c>
      <c r="I287" t="str">
        <f>_xlfn.XLOOKUP(H287,Table6[Product],Table6[Category])</f>
        <v>Electronics</v>
      </c>
      <c r="J287" t="s">
        <v>56</v>
      </c>
      <c r="K287">
        <v>2</v>
      </c>
      <c r="L287">
        <f>_xlfn.XLOOKUP(H287,Table6[Product],Table6[Unit Price])</f>
        <v>65000</v>
      </c>
      <c r="M287">
        <f>_xlfn.XLOOKUP(H287,Table6[Product],Table6[Cost Price])</f>
        <v>52000</v>
      </c>
      <c r="N287" s="7">
        <v>0.21</v>
      </c>
      <c r="O287">
        <f t="shared" si="12"/>
        <v>102700</v>
      </c>
      <c r="P287">
        <f t="shared" si="13"/>
        <v>104000</v>
      </c>
      <c r="Q287">
        <f t="shared" si="14"/>
        <v>-1300</v>
      </c>
      <c r="R287" t="s">
        <v>46</v>
      </c>
      <c r="S287" t="s">
        <v>52</v>
      </c>
    </row>
    <row r="288" spans="1:19" ht="18" x14ac:dyDescent="0.5">
      <c r="A288" t="s">
        <v>358</v>
      </c>
      <c r="B288" t="s">
        <v>1357</v>
      </c>
      <c r="C288" s="6">
        <v>45505</v>
      </c>
      <c r="D288" t="s">
        <v>2096</v>
      </c>
      <c r="E288" t="s">
        <v>2077</v>
      </c>
      <c r="F288" t="str">
        <f>_xlfn.XLOOKUP(E288,Table8[City],Table8[State])</f>
        <v>Telangana</v>
      </c>
      <c r="G288" t="str">
        <f>_xlfn.XLOOKUP(E288,Table8[City],Table8[Region])</f>
        <v>South</v>
      </c>
      <c r="H288" t="s">
        <v>16</v>
      </c>
      <c r="I288" t="str">
        <f>_xlfn.XLOOKUP(H288,Table6[Product],Table6[Category])</f>
        <v>Electronics</v>
      </c>
      <c r="J288" t="s">
        <v>62</v>
      </c>
      <c r="K288">
        <v>4</v>
      </c>
      <c r="L288">
        <f>_xlfn.XLOOKUP(H288,Table6[Product],Table6[Unit Price])</f>
        <v>65000</v>
      </c>
      <c r="M288">
        <f>_xlfn.XLOOKUP(H288,Table6[Product],Table6[Cost Price])</f>
        <v>52000</v>
      </c>
      <c r="N288" s="7">
        <v>0.3</v>
      </c>
      <c r="O288">
        <f t="shared" si="12"/>
        <v>182000</v>
      </c>
      <c r="P288">
        <f t="shared" si="13"/>
        <v>208000</v>
      </c>
      <c r="Q288">
        <f t="shared" si="14"/>
        <v>-26000</v>
      </c>
      <c r="R288" t="s">
        <v>43</v>
      </c>
      <c r="S288" t="s">
        <v>49</v>
      </c>
    </row>
    <row r="289" spans="1:19" ht="18" x14ac:dyDescent="0.5">
      <c r="A289" t="s">
        <v>359</v>
      </c>
      <c r="B289" t="s">
        <v>1358</v>
      </c>
      <c r="C289" s="6">
        <v>45996</v>
      </c>
      <c r="D289" t="s">
        <v>2087</v>
      </c>
      <c r="E289" t="s">
        <v>2073</v>
      </c>
      <c r="F289" t="str">
        <f>_xlfn.XLOOKUP(E289,Table8[City],Table8[State])</f>
        <v>Maharashtra</v>
      </c>
      <c r="G289" t="str">
        <f>_xlfn.XLOOKUP(E289,Table8[City],Table8[Region])</f>
        <v>West</v>
      </c>
      <c r="H289" t="s">
        <v>22</v>
      </c>
      <c r="I289" t="str">
        <f>_xlfn.XLOOKUP(H289,Table6[Product],Table6[Category])</f>
        <v>Wearables</v>
      </c>
      <c r="J289" t="s">
        <v>54</v>
      </c>
      <c r="K289">
        <v>5</v>
      </c>
      <c r="L289">
        <f>_xlfn.XLOOKUP(H289,Table6[Product],Table6[Unit Price])</f>
        <v>12000</v>
      </c>
      <c r="M289">
        <f>_xlfn.XLOOKUP(H289,Table6[Product],Table6[Cost Price])</f>
        <v>8500</v>
      </c>
      <c r="N289" s="7">
        <v>0.24</v>
      </c>
      <c r="O289">
        <f t="shared" si="12"/>
        <v>45600</v>
      </c>
      <c r="P289">
        <f t="shared" si="13"/>
        <v>42500</v>
      </c>
      <c r="Q289">
        <f t="shared" si="14"/>
        <v>3100</v>
      </c>
      <c r="R289" t="s">
        <v>44</v>
      </c>
      <c r="S289" t="s">
        <v>52</v>
      </c>
    </row>
    <row r="290" spans="1:19" ht="18" x14ac:dyDescent="0.5">
      <c r="A290" t="s">
        <v>360</v>
      </c>
      <c r="B290" t="s">
        <v>1359</v>
      </c>
      <c r="C290" s="6">
        <v>45740</v>
      </c>
      <c r="D290" t="s">
        <v>69</v>
      </c>
      <c r="E290" t="s">
        <v>2080</v>
      </c>
      <c r="F290" t="str">
        <f>_xlfn.XLOOKUP(E290,Table8[City],Table8[State])</f>
        <v>Gujarat</v>
      </c>
      <c r="G290" t="str">
        <f>_xlfn.XLOOKUP(E290,Table8[City],Table8[Region])</f>
        <v>West</v>
      </c>
      <c r="H290" t="s">
        <v>25</v>
      </c>
      <c r="I290" t="str">
        <f>_xlfn.XLOOKUP(H290,Table6[Product],Table6[Category])</f>
        <v>Accessories</v>
      </c>
      <c r="J290" t="s">
        <v>56</v>
      </c>
      <c r="K290">
        <v>1</v>
      </c>
      <c r="L290">
        <f>_xlfn.XLOOKUP(H290,Table6[Product],Table6[Unit Price])</f>
        <v>800</v>
      </c>
      <c r="M290">
        <f>_xlfn.XLOOKUP(H290,Table6[Product],Table6[Cost Price])</f>
        <v>450</v>
      </c>
      <c r="N290" s="7">
        <v>0.28999999999999998</v>
      </c>
      <c r="O290">
        <f t="shared" si="12"/>
        <v>568</v>
      </c>
      <c r="P290">
        <f t="shared" si="13"/>
        <v>450</v>
      </c>
      <c r="Q290">
        <f t="shared" si="14"/>
        <v>118</v>
      </c>
      <c r="R290" t="s">
        <v>45</v>
      </c>
      <c r="S290" t="s">
        <v>52</v>
      </c>
    </row>
    <row r="291" spans="1:19" ht="18" x14ac:dyDescent="0.5">
      <c r="A291" t="s">
        <v>361</v>
      </c>
      <c r="B291" t="s">
        <v>1360</v>
      </c>
      <c r="C291" s="6">
        <v>45955</v>
      </c>
      <c r="D291" t="s">
        <v>2099</v>
      </c>
      <c r="E291" t="s">
        <v>2076</v>
      </c>
      <c r="F291" t="str">
        <f>_xlfn.XLOOKUP(E291,Table8[City],Table8[State])</f>
        <v>Tamil Nadu</v>
      </c>
      <c r="G291" t="str">
        <f>_xlfn.XLOOKUP(E291,Table8[City],Table8[Region])</f>
        <v>South</v>
      </c>
      <c r="H291" t="s">
        <v>29</v>
      </c>
      <c r="I291" t="str">
        <f>_xlfn.XLOOKUP(H291,Table6[Product],Table6[Category])</f>
        <v>Electronics</v>
      </c>
      <c r="J291" t="s">
        <v>58</v>
      </c>
      <c r="K291">
        <v>10</v>
      </c>
      <c r="L291">
        <f>_xlfn.XLOOKUP(H291,Table6[Product],Table6[Unit Price])</f>
        <v>5000</v>
      </c>
      <c r="M291">
        <f>_xlfn.XLOOKUP(H291,Table6[Product],Table6[Cost Price])</f>
        <v>3200</v>
      </c>
      <c r="N291" s="7">
        <v>0.26</v>
      </c>
      <c r="O291">
        <f t="shared" si="12"/>
        <v>37000</v>
      </c>
      <c r="P291">
        <f t="shared" si="13"/>
        <v>32000</v>
      </c>
      <c r="Q291">
        <f t="shared" si="14"/>
        <v>5000</v>
      </c>
      <c r="R291" t="s">
        <v>45</v>
      </c>
      <c r="S291" t="s">
        <v>50</v>
      </c>
    </row>
    <row r="292" spans="1:19" ht="18" x14ac:dyDescent="0.5">
      <c r="A292" t="s">
        <v>362</v>
      </c>
      <c r="B292" t="s">
        <v>1361</v>
      </c>
      <c r="C292" s="6">
        <v>45582</v>
      </c>
      <c r="D292" t="s">
        <v>2093</v>
      </c>
      <c r="E292" t="s">
        <v>2080</v>
      </c>
      <c r="F292" t="str">
        <f>_xlfn.XLOOKUP(E292,Table8[City],Table8[State])</f>
        <v>Gujarat</v>
      </c>
      <c r="G292" t="str">
        <f>_xlfn.XLOOKUP(E292,Table8[City],Table8[Region])</f>
        <v>West</v>
      </c>
      <c r="H292" t="s">
        <v>25</v>
      </c>
      <c r="I292" t="str">
        <f>_xlfn.XLOOKUP(H292,Table6[Product],Table6[Category])</f>
        <v>Accessories</v>
      </c>
      <c r="J292" t="s">
        <v>56</v>
      </c>
      <c r="K292">
        <v>4</v>
      </c>
      <c r="L292">
        <f>_xlfn.XLOOKUP(H292,Table6[Product],Table6[Unit Price])</f>
        <v>800</v>
      </c>
      <c r="M292">
        <f>_xlfn.XLOOKUP(H292,Table6[Product],Table6[Cost Price])</f>
        <v>450</v>
      </c>
      <c r="N292" s="7">
        <v>0.17</v>
      </c>
      <c r="O292">
        <f t="shared" si="12"/>
        <v>2656</v>
      </c>
      <c r="P292">
        <f t="shared" si="13"/>
        <v>1800</v>
      </c>
      <c r="Q292">
        <f t="shared" si="14"/>
        <v>856</v>
      </c>
      <c r="R292" t="s">
        <v>46</v>
      </c>
      <c r="S292" t="s">
        <v>49</v>
      </c>
    </row>
    <row r="293" spans="1:19" ht="18" x14ac:dyDescent="0.5">
      <c r="A293" t="s">
        <v>363</v>
      </c>
      <c r="B293" t="s">
        <v>1362</v>
      </c>
      <c r="C293" s="6">
        <v>45740</v>
      </c>
      <c r="D293" t="s">
        <v>2096</v>
      </c>
      <c r="E293" t="s">
        <v>2074</v>
      </c>
      <c r="F293" t="str">
        <f>_xlfn.XLOOKUP(E293,Table8[City],Table8[State])</f>
        <v>Maharashtra</v>
      </c>
      <c r="G293" t="str">
        <f>_xlfn.XLOOKUP(E293,Table8[City],Table8[Region])</f>
        <v>West</v>
      </c>
      <c r="H293" t="s">
        <v>24</v>
      </c>
      <c r="I293" t="str">
        <f>_xlfn.XLOOKUP(H293,Table6[Product],Table6[Category])</f>
        <v>Accessories</v>
      </c>
      <c r="J293" t="s">
        <v>58</v>
      </c>
      <c r="K293">
        <v>9</v>
      </c>
      <c r="L293">
        <f>_xlfn.XLOOKUP(H293,Table6[Product],Table6[Unit Price])</f>
        <v>1500</v>
      </c>
      <c r="M293">
        <f>_xlfn.XLOOKUP(H293,Table6[Product],Table6[Cost Price])</f>
        <v>900</v>
      </c>
      <c r="N293" s="7">
        <v>0.22</v>
      </c>
      <c r="O293">
        <f t="shared" si="12"/>
        <v>10530</v>
      </c>
      <c r="P293">
        <f t="shared" si="13"/>
        <v>8100</v>
      </c>
      <c r="Q293">
        <f t="shared" si="14"/>
        <v>2430</v>
      </c>
      <c r="R293" t="s">
        <v>45</v>
      </c>
      <c r="S293" t="s">
        <v>49</v>
      </c>
    </row>
    <row r="294" spans="1:19" ht="18" x14ac:dyDescent="0.5">
      <c r="A294" t="s">
        <v>364</v>
      </c>
      <c r="B294" t="s">
        <v>1363</v>
      </c>
      <c r="C294" s="6">
        <v>45776</v>
      </c>
      <c r="D294" t="s">
        <v>2093</v>
      </c>
      <c r="E294" t="s">
        <v>2106</v>
      </c>
      <c r="F294" t="str">
        <f>_xlfn.XLOOKUP(E294,Table8[City],Table8[State])</f>
        <v>West Bengal</v>
      </c>
      <c r="G294" t="str">
        <f>_xlfn.XLOOKUP(E294,Table8[City],Table8[Region])</f>
        <v>East</v>
      </c>
      <c r="H294" t="s">
        <v>19</v>
      </c>
      <c r="I294" t="str">
        <f>_xlfn.XLOOKUP(H294,Table6[Product],Table6[Category])</f>
        <v>Electronics</v>
      </c>
      <c r="J294" t="s">
        <v>61</v>
      </c>
      <c r="K294">
        <v>2</v>
      </c>
      <c r="L294">
        <f>_xlfn.XLOOKUP(H294,Table6[Product],Table6[Unit Price])</f>
        <v>25000</v>
      </c>
      <c r="M294">
        <f>_xlfn.XLOOKUP(H294,Table6[Product],Table6[Cost Price])</f>
        <v>20000</v>
      </c>
      <c r="N294" s="7">
        <v>0.23</v>
      </c>
      <c r="O294">
        <f t="shared" si="12"/>
        <v>38500</v>
      </c>
      <c r="P294">
        <f t="shared" si="13"/>
        <v>40000</v>
      </c>
      <c r="Q294">
        <f t="shared" si="14"/>
        <v>-1500</v>
      </c>
      <c r="R294" t="s">
        <v>44</v>
      </c>
      <c r="S294" t="s">
        <v>49</v>
      </c>
    </row>
    <row r="295" spans="1:19" ht="18" x14ac:dyDescent="0.5">
      <c r="A295" t="s">
        <v>365</v>
      </c>
      <c r="B295" t="s">
        <v>1364</v>
      </c>
      <c r="C295" s="6">
        <v>45918</v>
      </c>
      <c r="D295" t="s">
        <v>59</v>
      </c>
      <c r="E295" t="s">
        <v>2104</v>
      </c>
      <c r="F295" t="str">
        <f>_xlfn.XLOOKUP(E295,Table8[City],Table8[State])</f>
        <v>Delhi</v>
      </c>
      <c r="G295" t="str">
        <f>_xlfn.XLOOKUP(E295,Table8[City],Table8[Region])</f>
        <v>North</v>
      </c>
      <c r="H295" t="s">
        <v>28</v>
      </c>
      <c r="I295" t="str">
        <f>_xlfn.XLOOKUP(H295,Table6[Product],Table6[Category])</f>
        <v>Office</v>
      </c>
      <c r="J295" t="s">
        <v>63</v>
      </c>
      <c r="K295">
        <v>4</v>
      </c>
      <c r="L295">
        <f>_xlfn.XLOOKUP(H295,Table6[Product],Table6[Unit Price])</f>
        <v>18000</v>
      </c>
      <c r="M295">
        <f>_xlfn.XLOOKUP(H295,Table6[Product],Table6[Cost Price])</f>
        <v>14000</v>
      </c>
      <c r="N295" s="7">
        <v>0.1</v>
      </c>
      <c r="O295">
        <f t="shared" si="12"/>
        <v>64800</v>
      </c>
      <c r="P295">
        <f t="shared" si="13"/>
        <v>56000</v>
      </c>
      <c r="Q295">
        <f t="shared" si="14"/>
        <v>8800</v>
      </c>
      <c r="R295" t="s">
        <v>47</v>
      </c>
      <c r="S295" t="s">
        <v>49</v>
      </c>
    </row>
    <row r="296" spans="1:19" ht="18" x14ac:dyDescent="0.5">
      <c r="A296" t="s">
        <v>366</v>
      </c>
      <c r="B296" t="s">
        <v>1365</v>
      </c>
      <c r="C296" s="6">
        <v>45528</v>
      </c>
      <c r="D296" t="s">
        <v>2087</v>
      </c>
      <c r="E296" t="s">
        <v>2105</v>
      </c>
      <c r="F296" t="str">
        <f>_xlfn.XLOOKUP(E296,Table8[City],Table8[State])</f>
        <v>Rajasthan</v>
      </c>
      <c r="G296" t="str">
        <f>_xlfn.XLOOKUP(E296,Table8[City],Table8[Region])</f>
        <v>North</v>
      </c>
      <c r="H296" t="s">
        <v>16</v>
      </c>
      <c r="I296" t="str">
        <f>_xlfn.XLOOKUP(H296,Table6[Product],Table6[Category])</f>
        <v>Electronics</v>
      </c>
      <c r="J296" t="s">
        <v>60</v>
      </c>
      <c r="K296">
        <v>8</v>
      </c>
      <c r="L296">
        <f>_xlfn.XLOOKUP(H296,Table6[Product],Table6[Unit Price])</f>
        <v>65000</v>
      </c>
      <c r="M296">
        <f>_xlfn.XLOOKUP(H296,Table6[Product],Table6[Cost Price])</f>
        <v>52000</v>
      </c>
      <c r="N296" s="7">
        <v>0.11</v>
      </c>
      <c r="O296">
        <f t="shared" si="12"/>
        <v>462800</v>
      </c>
      <c r="P296">
        <f t="shared" si="13"/>
        <v>416000</v>
      </c>
      <c r="Q296">
        <f t="shared" si="14"/>
        <v>46800</v>
      </c>
      <c r="R296" t="s">
        <v>43</v>
      </c>
      <c r="S296" t="s">
        <v>50</v>
      </c>
    </row>
    <row r="297" spans="1:19" ht="18" x14ac:dyDescent="0.5">
      <c r="A297" t="s">
        <v>367</v>
      </c>
      <c r="B297" t="s">
        <v>1366</v>
      </c>
      <c r="C297" s="6">
        <v>45780</v>
      </c>
      <c r="D297" t="s">
        <v>69</v>
      </c>
      <c r="E297" t="s">
        <v>2104</v>
      </c>
      <c r="F297" t="str">
        <f>_xlfn.XLOOKUP(E297,Table8[City],Table8[State])</f>
        <v>Delhi</v>
      </c>
      <c r="G297" t="str">
        <f>_xlfn.XLOOKUP(E297,Table8[City],Table8[Region])</f>
        <v>North</v>
      </c>
      <c r="H297" t="s">
        <v>16</v>
      </c>
      <c r="I297" t="str">
        <f>_xlfn.XLOOKUP(H297,Table6[Product],Table6[Category])</f>
        <v>Electronics</v>
      </c>
      <c r="J297" t="s">
        <v>62</v>
      </c>
      <c r="K297">
        <v>6</v>
      </c>
      <c r="L297">
        <f>_xlfn.XLOOKUP(H297,Table6[Product],Table6[Unit Price])</f>
        <v>65000</v>
      </c>
      <c r="M297">
        <f>_xlfn.XLOOKUP(H297,Table6[Product],Table6[Cost Price])</f>
        <v>52000</v>
      </c>
      <c r="N297" s="7">
        <v>0.15</v>
      </c>
      <c r="O297">
        <f t="shared" si="12"/>
        <v>331500</v>
      </c>
      <c r="P297">
        <f t="shared" si="13"/>
        <v>312000</v>
      </c>
      <c r="Q297">
        <f t="shared" si="14"/>
        <v>19500</v>
      </c>
      <c r="R297" t="s">
        <v>47</v>
      </c>
      <c r="S297" t="s">
        <v>52</v>
      </c>
    </row>
    <row r="298" spans="1:19" ht="18" x14ac:dyDescent="0.5">
      <c r="A298" t="s">
        <v>368</v>
      </c>
      <c r="B298" t="s">
        <v>1367</v>
      </c>
      <c r="C298" s="6">
        <v>45587</v>
      </c>
      <c r="D298" t="s">
        <v>2096</v>
      </c>
      <c r="E298" t="s">
        <v>70</v>
      </c>
      <c r="F298" t="str">
        <f>_xlfn.XLOOKUP(E298,Table8[City],Table8[State])</f>
        <v>Karnataka</v>
      </c>
      <c r="G298" t="str">
        <f>_xlfn.XLOOKUP(E298,Table8[City],Table8[Region])</f>
        <v>South</v>
      </c>
      <c r="H298" t="s">
        <v>24</v>
      </c>
      <c r="I298" t="str">
        <f>_xlfn.XLOOKUP(H298,Table6[Product],Table6[Category])</f>
        <v>Accessories</v>
      </c>
      <c r="J298" t="s">
        <v>56</v>
      </c>
      <c r="K298">
        <v>6</v>
      </c>
      <c r="L298">
        <f>_xlfn.XLOOKUP(H298,Table6[Product],Table6[Unit Price])</f>
        <v>1500</v>
      </c>
      <c r="M298">
        <f>_xlfn.XLOOKUP(H298,Table6[Product],Table6[Cost Price])</f>
        <v>900</v>
      </c>
      <c r="N298" s="7">
        <v>0.15</v>
      </c>
      <c r="O298">
        <f t="shared" si="12"/>
        <v>7650</v>
      </c>
      <c r="P298">
        <f t="shared" si="13"/>
        <v>5400</v>
      </c>
      <c r="Q298">
        <f t="shared" si="14"/>
        <v>2250</v>
      </c>
      <c r="R298" t="s">
        <v>44</v>
      </c>
      <c r="S298" t="s">
        <v>51</v>
      </c>
    </row>
    <row r="299" spans="1:19" ht="18" x14ac:dyDescent="0.5">
      <c r="A299" t="s">
        <v>369</v>
      </c>
      <c r="B299" t="s">
        <v>1368</v>
      </c>
      <c r="C299" s="6">
        <v>45481</v>
      </c>
      <c r="D299" t="s">
        <v>2088</v>
      </c>
      <c r="E299" t="s">
        <v>2106</v>
      </c>
      <c r="F299" t="str">
        <f>_xlfn.XLOOKUP(E299,Table8[City],Table8[State])</f>
        <v>West Bengal</v>
      </c>
      <c r="G299" t="str">
        <f>_xlfn.XLOOKUP(E299,Table8[City],Table8[Region])</f>
        <v>East</v>
      </c>
      <c r="H299" t="s">
        <v>24</v>
      </c>
      <c r="I299" t="str">
        <f>_xlfn.XLOOKUP(H299,Table6[Product],Table6[Category])</f>
        <v>Accessories</v>
      </c>
      <c r="J299" t="s">
        <v>55</v>
      </c>
      <c r="K299">
        <v>3</v>
      </c>
      <c r="L299">
        <f>_xlfn.XLOOKUP(H299,Table6[Product],Table6[Unit Price])</f>
        <v>1500</v>
      </c>
      <c r="M299">
        <f>_xlfn.XLOOKUP(H299,Table6[Product],Table6[Cost Price])</f>
        <v>900</v>
      </c>
      <c r="N299" s="7">
        <v>0.15</v>
      </c>
      <c r="O299">
        <f t="shared" si="12"/>
        <v>3825</v>
      </c>
      <c r="P299">
        <f t="shared" si="13"/>
        <v>2700</v>
      </c>
      <c r="Q299">
        <f t="shared" si="14"/>
        <v>1125</v>
      </c>
      <c r="R299" t="s">
        <v>46</v>
      </c>
      <c r="S299" t="s">
        <v>49</v>
      </c>
    </row>
    <row r="300" spans="1:19" ht="18" x14ac:dyDescent="0.5">
      <c r="A300" t="s">
        <v>370</v>
      </c>
      <c r="B300" t="s">
        <v>1369</v>
      </c>
      <c r="C300" s="6">
        <v>45939</v>
      </c>
      <c r="D300" t="s">
        <v>2084</v>
      </c>
      <c r="E300" t="s">
        <v>2077</v>
      </c>
      <c r="F300" t="str">
        <f>_xlfn.XLOOKUP(E300,Table8[City],Table8[State])</f>
        <v>Telangana</v>
      </c>
      <c r="G300" t="str">
        <f>_xlfn.XLOOKUP(E300,Table8[City],Table8[Region])</f>
        <v>South</v>
      </c>
      <c r="H300" t="s">
        <v>20</v>
      </c>
      <c r="I300" t="str">
        <f>_xlfn.XLOOKUP(H300,Table6[Product],Table6[Category])</f>
        <v>Accessories</v>
      </c>
      <c r="J300" t="s">
        <v>60</v>
      </c>
      <c r="K300">
        <v>9</v>
      </c>
      <c r="L300">
        <f>_xlfn.XLOOKUP(H300,Table6[Product],Table6[Unit Price])</f>
        <v>3000</v>
      </c>
      <c r="M300">
        <f>_xlfn.XLOOKUP(H300,Table6[Product],Table6[Cost Price])</f>
        <v>1800</v>
      </c>
      <c r="N300" s="7">
        <v>0.3</v>
      </c>
      <c r="O300">
        <f t="shared" si="12"/>
        <v>18900</v>
      </c>
      <c r="P300">
        <f t="shared" si="13"/>
        <v>16200</v>
      </c>
      <c r="Q300">
        <f t="shared" si="14"/>
        <v>2700</v>
      </c>
      <c r="R300" t="s">
        <v>43</v>
      </c>
      <c r="S300" t="s">
        <v>52</v>
      </c>
    </row>
    <row r="301" spans="1:19" ht="18" x14ac:dyDescent="0.5">
      <c r="A301" t="s">
        <v>371</v>
      </c>
      <c r="B301" t="s">
        <v>1370</v>
      </c>
      <c r="C301" s="6">
        <v>46010</v>
      </c>
      <c r="D301" t="s">
        <v>2087</v>
      </c>
      <c r="E301" t="s">
        <v>2105</v>
      </c>
      <c r="F301" t="str">
        <f>_xlfn.XLOOKUP(E301,Table8[City],Table8[State])</f>
        <v>Rajasthan</v>
      </c>
      <c r="G301" t="str">
        <f>_xlfn.XLOOKUP(E301,Table8[City],Table8[Region])</f>
        <v>North</v>
      </c>
      <c r="H301" t="s">
        <v>20</v>
      </c>
      <c r="I301" t="str">
        <f>_xlfn.XLOOKUP(H301,Table6[Product],Table6[Category])</f>
        <v>Accessories</v>
      </c>
      <c r="J301" t="s">
        <v>58</v>
      </c>
      <c r="K301">
        <v>7</v>
      </c>
      <c r="L301">
        <f>_xlfn.XLOOKUP(H301,Table6[Product],Table6[Unit Price])</f>
        <v>3000</v>
      </c>
      <c r="M301">
        <f>_xlfn.XLOOKUP(H301,Table6[Product],Table6[Cost Price])</f>
        <v>1800</v>
      </c>
      <c r="N301" s="7">
        <v>0.22</v>
      </c>
      <c r="O301">
        <f t="shared" si="12"/>
        <v>16380</v>
      </c>
      <c r="P301">
        <f t="shared" si="13"/>
        <v>12600</v>
      </c>
      <c r="Q301">
        <f t="shared" si="14"/>
        <v>3780</v>
      </c>
      <c r="R301" t="s">
        <v>43</v>
      </c>
      <c r="S301" t="s">
        <v>49</v>
      </c>
    </row>
    <row r="302" spans="1:19" ht="18" x14ac:dyDescent="0.5">
      <c r="A302" t="s">
        <v>372</v>
      </c>
      <c r="B302" t="s">
        <v>1371</v>
      </c>
      <c r="C302" s="6">
        <v>45396</v>
      </c>
      <c r="D302" t="s">
        <v>69</v>
      </c>
      <c r="E302" t="s">
        <v>2074</v>
      </c>
      <c r="F302" t="str">
        <f>_xlfn.XLOOKUP(E302,Table8[City],Table8[State])</f>
        <v>Maharashtra</v>
      </c>
      <c r="G302" t="str">
        <f>_xlfn.XLOOKUP(E302,Table8[City],Table8[Region])</f>
        <v>West</v>
      </c>
      <c r="H302" t="s">
        <v>25</v>
      </c>
      <c r="I302" t="str">
        <f>_xlfn.XLOOKUP(H302,Table6[Product],Table6[Category])</f>
        <v>Accessories</v>
      </c>
      <c r="J302" t="s">
        <v>59</v>
      </c>
      <c r="K302">
        <v>3</v>
      </c>
      <c r="L302">
        <f>_xlfn.XLOOKUP(H302,Table6[Product],Table6[Unit Price])</f>
        <v>800</v>
      </c>
      <c r="M302">
        <f>_xlfn.XLOOKUP(H302,Table6[Product],Table6[Cost Price])</f>
        <v>450</v>
      </c>
      <c r="N302" s="7">
        <v>0.18</v>
      </c>
      <c r="O302">
        <f t="shared" si="12"/>
        <v>1968.0000000000002</v>
      </c>
      <c r="P302">
        <f t="shared" si="13"/>
        <v>1350</v>
      </c>
      <c r="Q302">
        <f t="shared" si="14"/>
        <v>618.00000000000023</v>
      </c>
      <c r="R302" t="s">
        <v>45</v>
      </c>
      <c r="S302" t="s">
        <v>52</v>
      </c>
    </row>
    <row r="303" spans="1:19" ht="18" x14ac:dyDescent="0.5">
      <c r="A303" t="s">
        <v>373</v>
      </c>
      <c r="B303" t="s">
        <v>1372</v>
      </c>
      <c r="C303" s="6">
        <v>45429</v>
      </c>
      <c r="D303" t="s">
        <v>2098</v>
      </c>
      <c r="E303" t="s">
        <v>2105</v>
      </c>
      <c r="F303" t="str">
        <f>_xlfn.XLOOKUP(E303,Table8[City],Table8[State])</f>
        <v>Rajasthan</v>
      </c>
      <c r="G303" t="str">
        <f>_xlfn.XLOOKUP(E303,Table8[City],Table8[Region])</f>
        <v>North</v>
      </c>
      <c r="H303" t="s">
        <v>29</v>
      </c>
      <c r="I303" t="str">
        <f>_xlfn.XLOOKUP(H303,Table6[Product],Table6[Category])</f>
        <v>Electronics</v>
      </c>
      <c r="J303" t="s">
        <v>54</v>
      </c>
      <c r="K303">
        <v>6</v>
      </c>
      <c r="L303">
        <f>_xlfn.XLOOKUP(H303,Table6[Product],Table6[Unit Price])</f>
        <v>5000</v>
      </c>
      <c r="M303">
        <f>_xlfn.XLOOKUP(H303,Table6[Product],Table6[Cost Price])</f>
        <v>3200</v>
      </c>
      <c r="N303" s="7">
        <v>0.19</v>
      </c>
      <c r="O303">
        <f t="shared" si="12"/>
        <v>24300</v>
      </c>
      <c r="P303">
        <f t="shared" si="13"/>
        <v>19200</v>
      </c>
      <c r="Q303">
        <f t="shared" si="14"/>
        <v>5100</v>
      </c>
      <c r="R303" t="s">
        <v>44</v>
      </c>
      <c r="S303" t="s">
        <v>50</v>
      </c>
    </row>
    <row r="304" spans="1:19" ht="18" x14ac:dyDescent="0.5">
      <c r="A304" t="s">
        <v>374</v>
      </c>
      <c r="B304" t="s">
        <v>1373</v>
      </c>
      <c r="C304" s="6">
        <v>45354</v>
      </c>
      <c r="D304" t="s">
        <v>2098</v>
      </c>
      <c r="E304" t="s">
        <v>2080</v>
      </c>
      <c r="F304" t="str">
        <f>_xlfn.XLOOKUP(E304,Table8[City],Table8[State])</f>
        <v>Gujarat</v>
      </c>
      <c r="G304" t="str">
        <f>_xlfn.XLOOKUP(E304,Table8[City],Table8[Region])</f>
        <v>West</v>
      </c>
      <c r="H304" t="s">
        <v>28</v>
      </c>
      <c r="I304" t="str">
        <f>_xlfn.XLOOKUP(H304,Table6[Product],Table6[Category])</f>
        <v>Office</v>
      </c>
      <c r="J304" t="s">
        <v>57</v>
      </c>
      <c r="K304">
        <v>10</v>
      </c>
      <c r="L304">
        <f>_xlfn.XLOOKUP(H304,Table6[Product],Table6[Unit Price])</f>
        <v>18000</v>
      </c>
      <c r="M304">
        <f>_xlfn.XLOOKUP(H304,Table6[Product],Table6[Cost Price])</f>
        <v>14000</v>
      </c>
      <c r="N304" s="7">
        <v>0.12</v>
      </c>
      <c r="O304">
        <f t="shared" si="12"/>
        <v>158400</v>
      </c>
      <c r="P304">
        <f t="shared" si="13"/>
        <v>140000</v>
      </c>
      <c r="Q304">
        <f t="shared" si="14"/>
        <v>18400</v>
      </c>
      <c r="R304" t="s">
        <v>44</v>
      </c>
      <c r="S304" t="s">
        <v>49</v>
      </c>
    </row>
    <row r="305" spans="1:19" ht="18" x14ac:dyDescent="0.5">
      <c r="A305" t="s">
        <v>375</v>
      </c>
      <c r="B305" t="s">
        <v>1374</v>
      </c>
      <c r="C305" s="6">
        <v>45812</v>
      </c>
      <c r="D305" t="s">
        <v>2099</v>
      </c>
      <c r="E305" t="s">
        <v>2105</v>
      </c>
      <c r="F305" t="str">
        <f>_xlfn.XLOOKUP(E305,Table8[City],Table8[State])</f>
        <v>Rajasthan</v>
      </c>
      <c r="G305" t="str">
        <f>_xlfn.XLOOKUP(E305,Table8[City],Table8[Region])</f>
        <v>North</v>
      </c>
      <c r="H305" t="s">
        <v>25</v>
      </c>
      <c r="I305" t="str">
        <f>_xlfn.XLOOKUP(H305,Table6[Product],Table6[Category])</f>
        <v>Accessories</v>
      </c>
      <c r="J305" t="s">
        <v>61</v>
      </c>
      <c r="K305">
        <v>2</v>
      </c>
      <c r="L305">
        <f>_xlfn.XLOOKUP(H305,Table6[Product],Table6[Unit Price])</f>
        <v>800</v>
      </c>
      <c r="M305">
        <f>_xlfn.XLOOKUP(H305,Table6[Product],Table6[Cost Price])</f>
        <v>450</v>
      </c>
      <c r="N305" s="7">
        <v>0.28999999999999998</v>
      </c>
      <c r="O305">
        <f t="shared" si="12"/>
        <v>1136</v>
      </c>
      <c r="P305">
        <f t="shared" si="13"/>
        <v>900</v>
      </c>
      <c r="Q305">
        <f t="shared" si="14"/>
        <v>236</v>
      </c>
      <c r="R305" t="s">
        <v>45</v>
      </c>
      <c r="S305" t="s">
        <v>49</v>
      </c>
    </row>
    <row r="306" spans="1:19" ht="18" x14ac:dyDescent="0.5">
      <c r="A306" t="s">
        <v>376</v>
      </c>
      <c r="B306" t="s">
        <v>1375</v>
      </c>
      <c r="C306" s="6">
        <v>45804</v>
      </c>
      <c r="D306" t="s">
        <v>2090</v>
      </c>
      <c r="E306" t="s">
        <v>2105</v>
      </c>
      <c r="F306" t="str">
        <f>_xlfn.XLOOKUP(E306,Table8[City],Table8[State])</f>
        <v>Rajasthan</v>
      </c>
      <c r="G306" t="str">
        <f>_xlfn.XLOOKUP(E306,Table8[City],Table8[Region])</f>
        <v>North</v>
      </c>
      <c r="H306" t="s">
        <v>29</v>
      </c>
      <c r="I306" t="str">
        <f>_xlfn.XLOOKUP(H306,Table6[Product],Table6[Category])</f>
        <v>Electronics</v>
      </c>
      <c r="J306" t="s">
        <v>61</v>
      </c>
      <c r="K306">
        <v>1</v>
      </c>
      <c r="L306">
        <f>_xlfn.XLOOKUP(H306,Table6[Product],Table6[Unit Price])</f>
        <v>5000</v>
      </c>
      <c r="M306">
        <f>_xlfn.XLOOKUP(H306,Table6[Product],Table6[Cost Price])</f>
        <v>3200</v>
      </c>
      <c r="N306" s="7">
        <v>0.06</v>
      </c>
      <c r="O306">
        <f t="shared" si="12"/>
        <v>4700</v>
      </c>
      <c r="P306">
        <f t="shared" si="13"/>
        <v>3200</v>
      </c>
      <c r="Q306">
        <f t="shared" si="14"/>
        <v>1500</v>
      </c>
      <c r="R306" t="s">
        <v>46</v>
      </c>
      <c r="S306" t="s">
        <v>51</v>
      </c>
    </row>
    <row r="307" spans="1:19" ht="18" x14ac:dyDescent="0.5">
      <c r="A307" t="s">
        <v>377</v>
      </c>
      <c r="B307" t="s">
        <v>1376</v>
      </c>
      <c r="C307" s="6">
        <v>45763</v>
      </c>
      <c r="D307" t="s">
        <v>2099</v>
      </c>
      <c r="E307" t="s">
        <v>2076</v>
      </c>
      <c r="F307" t="str">
        <f>_xlfn.XLOOKUP(E307,Table8[City],Table8[State])</f>
        <v>Tamil Nadu</v>
      </c>
      <c r="G307" t="str">
        <f>_xlfn.XLOOKUP(E307,Table8[City],Table8[Region])</f>
        <v>South</v>
      </c>
      <c r="H307" t="s">
        <v>25</v>
      </c>
      <c r="I307" t="str">
        <f>_xlfn.XLOOKUP(H307,Table6[Product],Table6[Category])</f>
        <v>Accessories</v>
      </c>
      <c r="J307" t="s">
        <v>59</v>
      </c>
      <c r="K307">
        <v>9</v>
      </c>
      <c r="L307">
        <f>_xlfn.XLOOKUP(H307,Table6[Product],Table6[Unit Price])</f>
        <v>800</v>
      </c>
      <c r="M307">
        <f>_xlfn.XLOOKUP(H307,Table6[Product],Table6[Cost Price])</f>
        <v>450</v>
      </c>
      <c r="N307" s="7">
        <v>0.21</v>
      </c>
      <c r="O307">
        <f t="shared" si="12"/>
        <v>5688</v>
      </c>
      <c r="P307">
        <f t="shared" si="13"/>
        <v>4050</v>
      </c>
      <c r="Q307">
        <f t="shared" si="14"/>
        <v>1638</v>
      </c>
      <c r="R307" t="s">
        <v>47</v>
      </c>
      <c r="S307" t="s">
        <v>51</v>
      </c>
    </row>
    <row r="308" spans="1:19" ht="18" x14ac:dyDescent="0.5">
      <c r="A308" t="s">
        <v>378</v>
      </c>
      <c r="B308" t="s">
        <v>1377</v>
      </c>
      <c r="C308" s="6">
        <v>45388</v>
      </c>
      <c r="D308" t="s">
        <v>59</v>
      </c>
      <c r="E308" t="s">
        <v>2073</v>
      </c>
      <c r="F308" t="str">
        <f>_xlfn.XLOOKUP(E308,Table8[City],Table8[State])</f>
        <v>Maharashtra</v>
      </c>
      <c r="G308" t="str">
        <f>_xlfn.XLOOKUP(E308,Table8[City],Table8[Region])</f>
        <v>West</v>
      </c>
      <c r="H308" t="s">
        <v>24</v>
      </c>
      <c r="I308" t="str">
        <f>_xlfn.XLOOKUP(H308,Table6[Product],Table6[Category])</f>
        <v>Accessories</v>
      </c>
      <c r="J308" t="s">
        <v>62</v>
      </c>
      <c r="K308">
        <v>2</v>
      </c>
      <c r="L308">
        <f>_xlfn.XLOOKUP(H308,Table6[Product],Table6[Unit Price])</f>
        <v>1500</v>
      </c>
      <c r="M308">
        <f>_xlfn.XLOOKUP(H308,Table6[Product],Table6[Cost Price])</f>
        <v>900</v>
      </c>
      <c r="N308" s="7">
        <v>0.02</v>
      </c>
      <c r="O308">
        <f t="shared" si="12"/>
        <v>2940</v>
      </c>
      <c r="P308">
        <f t="shared" si="13"/>
        <v>1800</v>
      </c>
      <c r="Q308">
        <f t="shared" si="14"/>
        <v>1140</v>
      </c>
      <c r="R308" t="s">
        <v>43</v>
      </c>
      <c r="S308" t="s">
        <v>51</v>
      </c>
    </row>
    <row r="309" spans="1:19" ht="18" x14ac:dyDescent="0.5">
      <c r="A309" t="s">
        <v>379</v>
      </c>
      <c r="B309" t="s">
        <v>1378</v>
      </c>
      <c r="C309" s="6">
        <v>45973</v>
      </c>
      <c r="D309" t="s">
        <v>2095</v>
      </c>
      <c r="E309" t="s">
        <v>2080</v>
      </c>
      <c r="F309" t="str">
        <f>_xlfn.XLOOKUP(E309,Table8[City],Table8[State])</f>
        <v>Gujarat</v>
      </c>
      <c r="G309" t="str">
        <f>_xlfn.XLOOKUP(E309,Table8[City],Table8[Region])</f>
        <v>West</v>
      </c>
      <c r="H309" t="s">
        <v>25</v>
      </c>
      <c r="I309" t="str">
        <f>_xlfn.XLOOKUP(H309,Table6[Product],Table6[Category])</f>
        <v>Accessories</v>
      </c>
      <c r="J309" t="s">
        <v>63</v>
      </c>
      <c r="K309">
        <v>7</v>
      </c>
      <c r="L309">
        <f>_xlfn.XLOOKUP(H309,Table6[Product],Table6[Unit Price])</f>
        <v>800</v>
      </c>
      <c r="M309">
        <f>_xlfn.XLOOKUP(H309,Table6[Product],Table6[Cost Price])</f>
        <v>450</v>
      </c>
      <c r="N309" s="7">
        <v>0.09</v>
      </c>
      <c r="O309">
        <f t="shared" si="12"/>
        <v>5096</v>
      </c>
      <c r="P309">
        <f t="shared" si="13"/>
        <v>3150</v>
      </c>
      <c r="Q309">
        <f t="shared" si="14"/>
        <v>1946</v>
      </c>
      <c r="R309" t="s">
        <v>45</v>
      </c>
      <c r="S309" t="s">
        <v>50</v>
      </c>
    </row>
    <row r="310" spans="1:19" ht="18" x14ac:dyDescent="0.5">
      <c r="A310" t="s">
        <v>380</v>
      </c>
      <c r="B310" t="s">
        <v>1379</v>
      </c>
      <c r="C310" s="6">
        <v>45898</v>
      </c>
      <c r="D310" t="s">
        <v>2085</v>
      </c>
      <c r="E310" t="s">
        <v>2073</v>
      </c>
      <c r="F310" t="str">
        <f>_xlfn.XLOOKUP(E310,Table8[City],Table8[State])</f>
        <v>Maharashtra</v>
      </c>
      <c r="G310" t="str">
        <f>_xlfn.XLOOKUP(E310,Table8[City],Table8[Region])</f>
        <v>West</v>
      </c>
      <c r="H310" t="s">
        <v>29</v>
      </c>
      <c r="I310" t="str">
        <f>_xlfn.XLOOKUP(H310,Table6[Product],Table6[Category])</f>
        <v>Electronics</v>
      </c>
      <c r="J310" t="s">
        <v>62</v>
      </c>
      <c r="K310">
        <v>1</v>
      </c>
      <c r="L310">
        <f>_xlfn.XLOOKUP(H310,Table6[Product],Table6[Unit Price])</f>
        <v>5000</v>
      </c>
      <c r="M310">
        <f>_xlfn.XLOOKUP(H310,Table6[Product],Table6[Cost Price])</f>
        <v>3200</v>
      </c>
      <c r="N310" s="7">
        <v>0.25</v>
      </c>
      <c r="O310">
        <f t="shared" si="12"/>
        <v>3750</v>
      </c>
      <c r="P310">
        <f t="shared" si="13"/>
        <v>3200</v>
      </c>
      <c r="Q310">
        <f t="shared" si="14"/>
        <v>550</v>
      </c>
      <c r="R310" t="s">
        <v>45</v>
      </c>
      <c r="S310" t="s">
        <v>49</v>
      </c>
    </row>
    <row r="311" spans="1:19" ht="18" x14ac:dyDescent="0.5">
      <c r="A311" t="s">
        <v>381</v>
      </c>
      <c r="B311" t="s">
        <v>1380</v>
      </c>
      <c r="C311" s="6">
        <v>45422</v>
      </c>
      <c r="D311" t="s">
        <v>63</v>
      </c>
      <c r="E311" t="s">
        <v>2076</v>
      </c>
      <c r="F311" t="str">
        <f>_xlfn.XLOOKUP(E311,Table8[City],Table8[State])</f>
        <v>Tamil Nadu</v>
      </c>
      <c r="G311" t="str">
        <f>_xlfn.XLOOKUP(E311,Table8[City],Table8[Region])</f>
        <v>South</v>
      </c>
      <c r="H311" t="s">
        <v>20</v>
      </c>
      <c r="I311" t="str">
        <f>_xlfn.XLOOKUP(H311,Table6[Product],Table6[Category])</f>
        <v>Accessories</v>
      </c>
      <c r="J311" t="s">
        <v>59</v>
      </c>
      <c r="K311">
        <v>7</v>
      </c>
      <c r="L311">
        <f>_xlfn.XLOOKUP(H311,Table6[Product],Table6[Unit Price])</f>
        <v>3000</v>
      </c>
      <c r="M311">
        <f>_xlfn.XLOOKUP(H311,Table6[Product],Table6[Cost Price])</f>
        <v>1800</v>
      </c>
      <c r="N311" s="7">
        <v>0.15</v>
      </c>
      <c r="O311">
        <f t="shared" si="12"/>
        <v>17850</v>
      </c>
      <c r="P311">
        <f t="shared" si="13"/>
        <v>12600</v>
      </c>
      <c r="Q311">
        <f t="shared" si="14"/>
        <v>5250</v>
      </c>
      <c r="R311" t="s">
        <v>44</v>
      </c>
      <c r="S311" t="s">
        <v>49</v>
      </c>
    </row>
    <row r="312" spans="1:19" ht="18" x14ac:dyDescent="0.5">
      <c r="A312" t="s">
        <v>382</v>
      </c>
      <c r="B312" t="s">
        <v>1381</v>
      </c>
      <c r="C312" s="6">
        <v>45381</v>
      </c>
      <c r="D312" t="s">
        <v>2087</v>
      </c>
      <c r="E312" t="s">
        <v>2078</v>
      </c>
      <c r="F312" t="str">
        <f>_xlfn.XLOOKUP(E312,Table8[City],Table8[State])</f>
        <v>Telangana</v>
      </c>
      <c r="G312" t="str">
        <f>_xlfn.XLOOKUP(E312,Table8[City],Table8[Region])</f>
        <v>South</v>
      </c>
      <c r="H312" t="s">
        <v>18</v>
      </c>
      <c r="I312" t="str">
        <f>_xlfn.XLOOKUP(H312,Table6[Product],Table6[Category])</f>
        <v>Electronics</v>
      </c>
      <c r="J312" t="s">
        <v>55</v>
      </c>
      <c r="K312">
        <v>3</v>
      </c>
      <c r="L312">
        <f>_xlfn.XLOOKUP(H312,Table6[Product],Table6[Unit Price])</f>
        <v>35000</v>
      </c>
      <c r="M312">
        <f>_xlfn.XLOOKUP(H312,Table6[Product],Table6[Cost Price])</f>
        <v>28000</v>
      </c>
      <c r="N312" s="7">
        <v>0.02</v>
      </c>
      <c r="O312">
        <f t="shared" si="12"/>
        <v>102900</v>
      </c>
      <c r="P312">
        <f t="shared" si="13"/>
        <v>84000</v>
      </c>
      <c r="Q312">
        <f t="shared" si="14"/>
        <v>18900</v>
      </c>
      <c r="R312" t="s">
        <v>45</v>
      </c>
      <c r="S312" t="s">
        <v>51</v>
      </c>
    </row>
    <row r="313" spans="1:19" ht="18" x14ac:dyDescent="0.5">
      <c r="A313" t="s">
        <v>383</v>
      </c>
      <c r="B313" t="s">
        <v>1382</v>
      </c>
      <c r="C313" s="6">
        <v>45722</v>
      </c>
      <c r="D313" t="s">
        <v>2095</v>
      </c>
      <c r="E313" t="s">
        <v>2080</v>
      </c>
      <c r="F313" t="str">
        <f>_xlfn.XLOOKUP(E313,Table8[City],Table8[State])</f>
        <v>Gujarat</v>
      </c>
      <c r="G313" t="str">
        <f>_xlfn.XLOOKUP(E313,Table8[City],Table8[Region])</f>
        <v>West</v>
      </c>
      <c r="H313" t="s">
        <v>18</v>
      </c>
      <c r="I313" t="str">
        <f>_xlfn.XLOOKUP(H313,Table6[Product],Table6[Category])</f>
        <v>Electronics</v>
      </c>
      <c r="J313" t="s">
        <v>63</v>
      </c>
      <c r="K313">
        <v>6</v>
      </c>
      <c r="L313">
        <f>_xlfn.XLOOKUP(H313,Table6[Product],Table6[Unit Price])</f>
        <v>35000</v>
      </c>
      <c r="M313">
        <f>_xlfn.XLOOKUP(H313,Table6[Product],Table6[Cost Price])</f>
        <v>28000</v>
      </c>
      <c r="N313" s="7">
        <v>0.15</v>
      </c>
      <c r="O313">
        <f t="shared" si="12"/>
        <v>178500</v>
      </c>
      <c r="P313">
        <f t="shared" si="13"/>
        <v>168000</v>
      </c>
      <c r="Q313">
        <f t="shared" si="14"/>
        <v>10500</v>
      </c>
      <c r="R313" t="s">
        <v>46</v>
      </c>
      <c r="S313" t="s">
        <v>50</v>
      </c>
    </row>
    <row r="314" spans="1:19" ht="18" x14ac:dyDescent="0.5">
      <c r="A314" t="s">
        <v>384</v>
      </c>
      <c r="B314" t="s">
        <v>1383</v>
      </c>
      <c r="C314" s="6">
        <v>45974</v>
      </c>
      <c r="D314" t="s">
        <v>2096</v>
      </c>
      <c r="E314" t="s">
        <v>70</v>
      </c>
      <c r="F314" t="str">
        <f>_xlfn.XLOOKUP(E314,Table8[City],Table8[State])</f>
        <v>Karnataka</v>
      </c>
      <c r="G314" t="str">
        <f>_xlfn.XLOOKUP(E314,Table8[City],Table8[Region])</f>
        <v>South</v>
      </c>
      <c r="H314" t="s">
        <v>20</v>
      </c>
      <c r="I314" t="str">
        <f>_xlfn.XLOOKUP(H314,Table6[Product],Table6[Category])</f>
        <v>Accessories</v>
      </c>
      <c r="J314" t="s">
        <v>60</v>
      </c>
      <c r="K314">
        <v>9</v>
      </c>
      <c r="L314">
        <f>_xlfn.XLOOKUP(H314,Table6[Product],Table6[Unit Price])</f>
        <v>3000</v>
      </c>
      <c r="M314">
        <f>_xlfn.XLOOKUP(H314,Table6[Product],Table6[Cost Price])</f>
        <v>1800</v>
      </c>
      <c r="N314" s="7">
        <v>0.3</v>
      </c>
      <c r="O314">
        <f t="shared" si="12"/>
        <v>18900</v>
      </c>
      <c r="P314">
        <f t="shared" si="13"/>
        <v>16200</v>
      </c>
      <c r="Q314">
        <f t="shared" si="14"/>
        <v>2700</v>
      </c>
      <c r="R314" t="s">
        <v>45</v>
      </c>
      <c r="S314" t="s">
        <v>51</v>
      </c>
    </row>
    <row r="315" spans="1:19" ht="18" x14ac:dyDescent="0.5">
      <c r="A315" t="s">
        <v>385</v>
      </c>
      <c r="B315" t="s">
        <v>1384</v>
      </c>
      <c r="C315" s="6">
        <v>45647</v>
      </c>
      <c r="D315" t="s">
        <v>2084</v>
      </c>
      <c r="E315" t="s">
        <v>2077</v>
      </c>
      <c r="F315" t="str">
        <f>_xlfn.XLOOKUP(E315,Table8[City],Table8[State])</f>
        <v>Telangana</v>
      </c>
      <c r="G315" t="str">
        <f>_xlfn.XLOOKUP(E315,Table8[City],Table8[Region])</f>
        <v>South</v>
      </c>
      <c r="H315" t="s">
        <v>26</v>
      </c>
      <c r="I315" t="str">
        <f>_xlfn.XLOOKUP(H315,Table6[Product],Table6[Category])</f>
        <v>Office</v>
      </c>
      <c r="J315" t="s">
        <v>56</v>
      </c>
      <c r="K315">
        <v>6</v>
      </c>
      <c r="L315">
        <f>_xlfn.XLOOKUP(H315,Table6[Product],Table6[Unit Price])</f>
        <v>15000</v>
      </c>
      <c r="M315">
        <f>_xlfn.XLOOKUP(H315,Table6[Product],Table6[Cost Price])</f>
        <v>11500</v>
      </c>
      <c r="N315" s="7">
        <v>0.23</v>
      </c>
      <c r="O315">
        <f t="shared" si="12"/>
        <v>69300</v>
      </c>
      <c r="P315">
        <f t="shared" si="13"/>
        <v>69000</v>
      </c>
      <c r="Q315">
        <f t="shared" si="14"/>
        <v>300</v>
      </c>
      <c r="R315" t="s">
        <v>46</v>
      </c>
      <c r="S315" t="s">
        <v>49</v>
      </c>
    </row>
    <row r="316" spans="1:19" ht="18" x14ac:dyDescent="0.5">
      <c r="A316" t="s">
        <v>386</v>
      </c>
      <c r="B316" t="s">
        <v>1385</v>
      </c>
      <c r="C316" s="6">
        <v>45865</v>
      </c>
      <c r="D316" t="s">
        <v>2098</v>
      </c>
      <c r="E316" t="s">
        <v>2073</v>
      </c>
      <c r="F316" t="str">
        <f>_xlfn.XLOOKUP(E316,Table8[City],Table8[State])</f>
        <v>Maharashtra</v>
      </c>
      <c r="G316" t="str">
        <f>_xlfn.XLOOKUP(E316,Table8[City],Table8[Region])</f>
        <v>West</v>
      </c>
      <c r="H316" t="s">
        <v>19</v>
      </c>
      <c r="I316" t="str">
        <f>_xlfn.XLOOKUP(H316,Table6[Product],Table6[Category])</f>
        <v>Electronics</v>
      </c>
      <c r="J316" t="s">
        <v>56</v>
      </c>
      <c r="K316">
        <v>3</v>
      </c>
      <c r="L316">
        <f>_xlfn.XLOOKUP(H316,Table6[Product],Table6[Unit Price])</f>
        <v>25000</v>
      </c>
      <c r="M316">
        <f>_xlfn.XLOOKUP(H316,Table6[Product],Table6[Cost Price])</f>
        <v>20000</v>
      </c>
      <c r="N316" s="7">
        <v>0.05</v>
      </c>
      <c r="O316">
        <f t="shared" si="12"/>
        <v>71250</v>
      </c>
      <c r="P316">
        <f t="shared" si="13"/>
        <v>60000</v>
      </c>
      <c r="Q316">
        <f t="shared" si="14"/>
        <v>11250</v>
      </c>
      <c r="R316" t="s">
        <v>45</v>
      </c>
      <c r="S316" t="s">
        <v>52</v>
      </c>
    </row>
    <row r="317" spans="1:19" ht="18" x14ac:dyDescent="0.5">
      <c r="A317" t="s">
        <v>387</v>
      </c>
      <c r="B317" t="s">
        <v>1386</v>
      </c>
      <c r="C317" s="6">
        <v>45491</v>
      </c>
      <c r="D317" t="s">
        <v>2086</v>
      </c>
      <c r="E317" t="s">
        <v>70</v>
      </c>
      <c r="F317" t="str">
        <f>_xlfn.XLOOKUP(E317,Table8[City],Table8[State])</f>
        <v>Karnataka</v>
      </c>
      <c r="G317" t="str">
        <f>_xlfn.XLOOKUP(E317,Table8[City],Table8[Region])</f>
        <v>South</v>
      </c>
      <c r="H317" t="s">
        <v>24</v>
      </c>
      <c r="I317" t="str">
        <f>_xlfn.XLOOKUP(H317,Table6[Product],Table6[Category])</f>
        <v>Accessories</v>
      </c>
      <c r="J317" t="s">
        <v>58</v>
      </c>
      <c r="K317">
        <v>4</v>
      </c>
      <c r="L317">
        <f>_xlfn.XLOOKUP(H317,Table6[Product],Table6[Unit Price])</f>
        <v>1500</v>
      </c>
      <c r="M317">
        <f>_xlfn.XLOOKUP(H317,Table6[Product],Table6[Cost Price])</f>
        <v>900</v>
      </c>
      <c r="N317" s="7">
        <v>0.13</v>
      </c>
      <c r="O317">
        <f t="shared" si="12"/>
        <v>5220</v>
      </c>
      <c r="P317">
        <f t="shared" si="13"/>
        <v>3600</v>
      </c>
      <c r="Q317">
        <f t="shared" si="14"/>
        <v>1620</v>
      </c>
      <c r="R317" t="s">
        <v>47</v>
      </c>
      <c r="S317" t="s">
        <v>50</v>
      </c>
    </row>
    <row r="318" spans="1:19" ht="18" x14ac:dyDescent="0.5">
      <c r="A318" t="s">
        <v>388</v>
      </c>
      <c r="B318" t="s">
        <v>1387</v>
      </c>
      <c r="C318" s="6">
        <v>45485</v>
      </c>
      <c r="D318" t="s">
        <v>2095</v>
      </c>
      <c r="E318" t="s">
        <v>2079</v>
      </c>
      <c r="F318" t="str">
        <f>_xlfn.XLOOKUP(E318,Table8[City],Table8[State])</f>
        <v>Gujarat</v>
      </c>
      <c r="G318" t="str">
        <f>_xlfn.XLOOKUP(E318,Table8[City],Table8[Region])</f>
        <v>West</v>
      </c>
      <c r="H318" t="s">
        <v>28</v>
      </c>
      <c r="I318" t="str">
        <f>_xlfn.XLOOKUP(H318,Table6[Product],Table6[Category])</f>
        <v>Office</v>
      </c>
      <c r="J318" t="s">
        <v>56</v>
      </c>
      <c r="K318">
        <v>8</v>
      </c>
      <c r="L318">
        <f>_xlfn.XLOOKUP(H318,Table6[Product],Table6[Unit Price])</f>
        <v>18000</v>
      </c>
      <c r="M318">
        <f>_xlfn.XLOOKUP(H318,Table6[Product],Table6[Cost Price])</f>
        <v>14000</v>
      </c>
      <c r="N318" s="7">
        <v>0.09</v>
      </c>
      <c r="O318">
        <f t="shared" si="12"/>
        <v>131040</v>
      </c>
      <c r="P318">
        <f t="shared" si="13"/>
        <v>112000</v>
      </c>
      <c r="Q318">
        <f t="shared" si="14"/>
        <v>19040</v>
      </c>
      <c r="R318" t="s">
        <v>45</v>
      </c>
      <c r="S318" t="s">
        <v>50</v>
      </c>
    </row>
    <row r="319" spans="1:19" ht="18" x14ac:dyDescent="0.5">
      <c r="A319" t="s">
        <v>389</v>
      </c>
      <c r="B319" t="s">
        <v>1388</v>
      </c>
      <c r="C319" s="6">
        <v>45724</v>
      </c>
      <c r="D319" t="s">
        <v>2094</v>
      </c>
      <c r="E319" t="s">
        <v>2079</v>
      </c>
      <c r="F319" t="str">
        <f>_xlfn.XLOOKUP(E319,Table8[City],Table8[State])</f>
        <v>Gujarat</v>
      </c>
      <c r="G319" t="str">
        <f>_xlfn.XLOOKUP(E319,Table8[City],Table8[Region])</f>
        <v>West</v>
      </c>
      <c r="H319" t="s">
        <v>26</v>
      </c>
      <c r="I319" t="str">
        <f>_xlfn.XLOOKUP(H319,Table6[Product],Table6[Category])</f>
        <v>Office</v>
      </c>
      <c r="J319" t="s">
        <v>56</v>
      </c>
      <c r="K319">
        <v>9</v>
      </c>
      <c r="L319">
        <f>_xlfn.XLOOKUP(H319,Table6[Product],Table6[Unit Price])</f>
        <v>15000</v>
      </c>
      <c r="M319">
        <f>_xlfn.XLOOKUP(H319,Table6[Product],Table6[Cost Price])</f>
        <v>11500</v>
      </c>
      <c r="N319" s="7">
        <v>0.1</v>
      </c>
      <c r="O319">
        <f t="shared" si="12"/>
        <v>121500</v>
      </c>
      <c r="P319">
        <f t="shared" si="13"/>
        <v>103500</v>
      </c>
      <c r="Q319">
        <f t="shared" si="14"/>
        <v>18000</v>
      </c>
      <c r="R319" t="s">
        <v>43</v>
      </c>
      <c r="S319" t="s">
        <v>49</v>
      </c>
    </row>
    <row r="320" spans="1:19" ht="18" x14ac:dyDescent="0.5">
      <c r="A320" t="s">
        <v>390</v>
      </c>
      <c r="B320" t="s">
        <v>1389</v>
      </c>
      <c r="C320" s="6">
        <v>45698</v>
      </c>
      <c r="D320" t="s">
        <v>2086</v>
      </c>
      <c r="E320" t="s">
        <v>2106</v>
      </c>
      <c r="F320" t="str">
        <f>_xlfn.XLOOKUP(E320,Table8[City],Table8[State])</f>
        <v>West Bengal</v>
      </c>
      <c r="G320" t="str">
        <f>_xlfn.XLOOKUP(E320,Table8[City],Table8[Region])</f>
        <v>East</v>
      </c>
      <c r="H320" t="s">
        <v>20</v>
      </c>
      <c r="I320" t="str">
        <f>_xlfn.XLOOKUP(H320,Table6[Product],Table6[Category])</f>
        <v>Accessories</v>
      </c>
      <c r="J320" t="s">
        <v>58</v>
      </c>
      <c r="K320">
        <v>2</v>
      </c>
      <c r="L320">
        <f>_xlfn.XLOOKUP(H320,Table6[Product],Table6[Unit Price])</f>
        <v>3000</v>
      </c>
      <c r="M320">
        <f>_xlfn.XLOOKUP(H320,Table6[Product],Table6[Cost Price])</f>
        <v>1800</v>
      </c>
      <c r="N320" s="7">
        <v>0.04</v>
      </c>
      <c r="O320">
        <f t="shared" si="12"/>
        <v>5760</v>
      </c>
      <c r="P320">
        <f t="shared" si="13"/>
        <v>3600</v>
      </c>
      <c r="Q320">
        <f t="shared" si="14"/>
        <v>2160</v>
      </c>
      <c r="R320" t="s">
        <v>44</v>
      </c>
      <c r="S320" t="s">
        <v>52</v>
      </c>
    </row>
    <row r="321" spans="1:19" ht="18" x14ac:dyDescent="0.5">
      <c r="A321" t="s">
        <v>391</v>
      </c>
      <c r="B321" t="s">
        <v>1390</v>
      </c>
      <c r="C321" s="6">
        <v>45672</v>
      </c>
      <c r="D321" t="s">
        <v>63</v>
      </c>
      <c r="E321" t="s">
        <v>2074</v>
      </c>
      <c r="F321" t="str">
        <f>_xlfn.XLOOKUP(E321,Table8[City],Table8[State])</f>
        <v>Maharashtra</v>
      </c>
      <c r="G321" t="str">
        <f>_xlfn.XLOOKUP(E321,Table8[City],Table8[Region])</f>
        <v>West</v>
      </c>
      <c r="H321" t="s">
        <v>24</v>
      </c>
      <c r="I321" t="str">
        <f>_xlfn.XLOOKUP(H321,Table6[Product],Table6[Category])</f>
        <v>Accessories</v>
      </c>
      <c r="J321" t="s">
        <v>59</v>
      </c>
      <c r="K321">
        <v>4</v>
      </c>
      <c r="L321">
        <f>_xlfn.XLOOKUP(H321,Table6[Product],Table6[Unit Price])</f>
        <v>1500</v>
      </c>
      <c r="M321">
        <f>_xlfn.XLOOKUP(H321,Table6[Product],Table6[Cost Price])</f>
        <v>900</v>
      </c>
      <c r="N321" s="7">
        <v>0.12</v>
      </c>
      <c r="O321">
        <f t="shared" si="12"/>
        <v>5280</v>
      </c>
      <c r="P321">
        <f t="shared" si="13"/>
        <v>3600</v>
      </c>
      <c r="Q321">
        <f t="shared" si="14"/>
        <v>1680</v>
      </c>
      <c r="R321" t="s">
        <v>43</v>
      </c>
      <c r="S321" t="s">
        <v>50</v>
      </c>
    </row>
    <row r="322" spans="1:19" ht="18" x14ac:dyDescent="0.5">
      <c r="A322" t="s">
        <v>392</v>
      </c>
      <c r="B322" t="s">
        <v>1391</v>
      </c>
      <c r="C322" s="6">
        <v>45925</v>
      </c>
      <c r="D322" t="s">
        <v>2099</v>
      </c>
      <c r="E322" t="s">
        <v>2076</v>
      </c>
      <c r="F322" t="str">
        <f>_xlfn.XLOOKUP(E322,Table8[City],Table8[State])</f>
        <v>Tamil Nadu</v>
      </c>
      <c r="G322" t="str">
        <f>_xlfn.XLOOKUP(E322,Table8[City],Table8[Region])</f>
        <v>South</v>
      </c>
      <c r="H322" t="s">
        <v>22</v>
      </c>
      <c r="I322" t="str">
        <f>_xlfn.XLOOKUP(H322,Table6[Product],Table6[Category])</f>
        <v>Wearables</v>
      </c>
      <c r="J322" t="s">
        <v>55</v>
      </c>
      <c r="K322">
        <v>9</v>
      </c>
      <c r="L322">
        <f>_xlfn.XLOOKUP(H322,Table6[Product],Table6[Unit Price])</f>
        <v>12000</v>
      </c>
      <c r="M322">
        <f>_xlfn.XLOOKUP(H322,Table6[Product],Table6[Cost Price])</f>
        <v>8500</v>
      </c>
      <c r="N322" s="7">
        <v>0.19</v>
      </c>
      <c r="O322">
        <f t="shared" si="12"/>
        <v>87480</v>
      </c>
      <c r="P322">
        <f t="shared" si="13"/>
        <v>76500</v>
      </c>
      <c r="Q322">
        <f t="shared" si="14"/>
        <v>10980</v>
      </c>
      <c r="R322" t="s">
        <v>46</v>
      </c>
      <c r="S322" t="s">
        <v>50</v>
      </c>
    </row>
    <row r="323" spans="1:19" ht="18" x14ac:dyDescent="0.5">
      <c r="A323" t="s">
        <v>393</v>
      </c>
      <c r="B323" t="s">
        <v>1392</v>
      </c>
      <c r="C323" s="6">
        <v>45988</v>
      </c>
      <c r="D323" t="s">
        <v>2093</v>
      </c>
      <c r="E323" t="s">
        <v>2080</v>
      </c>
      <c r="F323" t="str">
        <f>_xlfn.XLOOKUP(E323,Table8[City],Table8[State])</f>
        <v>Gujarat</v>
      </c>
      <c r="G323" t="str">
        <f>_xlfn.XLOOKUP(E323,Table8[City],Table8[Region])</f>
        <v>West</v>
      </c>
      <c r="H323" t="s">
        <v>20</v>
      </c>
      <c r="I323" t="str">
        <f>_xlfn.XLOOKUP(H323,Table6[Product],Table6[Category])</f>
        <v>Accessories</v>
      </c>
      <c r="J323" t="s">
        <v>57</v>
      </c>
      <c r="K323">
        <v>9</v>
      </c>
      <c r="L323">
        <f>_xlfn.XLOOKUP(H323,Table6[Product],Table6[Unit Price])</f>
        <v>3000</v>
      </c>
      <c r="M323">
        <f>_xlfn.XLOOKUP(H323,Table6[Product],Table6[Cost Price])</f>
        <v>1800</v>
      </c>
      <c r="N323" s="7">
        <v>0.25</v>
      </c>
      <c r="O323">
        <f t="shared" ref="O323:O386" si="15">(L323*K323)*(1-N323)</f>
        <v>20250</v>
      </c>
      <c r="P323">
        <f t="shared" ref="P323:P386" si="16">M323*K323</f>
        <v>16200</v>
      </c>
      <c r="Q323">
        <f t="shared" ref="Q323:Q386" si="17">O323-P323</f>
        <v>4050</v>
      </c>
      <c r="R323" t="s">
        <v>44</v>
      </c>
      <c r="S323" t="s">
        <v>52</v>
      </c>
    </row>
    <row r="324" spans="1:19" ht="18" x14ac:dyDescent="0.5">
      <c r="A324" t="s">
        <v>394</v>
      </c>
      <c r="B324" t="s">
        <v>1393</v>
      </c>
      <c r="C324" s="6">
        <v>45901</v>
      </c>
      <c r="D324" t="s">
        <v>69</v>
      </c>
      <c r="E324" t="s">
        <v>2105</v>
      </c>
      <c r="F324" t="str">
        <f>_xlfn.XLOOKUP(E324,Table8[City],Table8[State])</f>
        <v>Rajasthan</v>
      </c>
      <c r="G324" t="str">
        <f>_xlfn.XLOOKUP(E324,Table8[City],Table8[Region])</f>
        <v>North</v>
      </c>
      <c r="H324" t="s">
        <v>22</v>
      </c>
      <c r="I324" t="str">
        <f>_xlfn.XLOOKUP(H324,Table6[Product],Table6[Category])</f>
        <v>Wearables</v>
      </c>
      <c r="J324" t="s">
        <v>58</v>
      </c>
      <c r="K324">
        <v>8</v>
      </c>
      <c r="L324">
        <f>_xlfn.XLOOKUP(H324,Table6[Product],Table6[Unit Price])</f>
        <v>12000</v>
      </c>
      <c r="M324">
        <f>_xlfn.XLOOKUP(H324,Table6[Product],Table6[Cost Price])</f>
        <v>8500</v>
      </c>
      <c r="N324" s="7">
        <v>0.28999999999999998</v>
      </c>
      <c r="O324">
        <f t="shared" si="15"/>
        <v>68160</v>
      </c>
      <c r="P324">
        <f t="shared" si="16"/>
        <v>68000</v>
      </c>
      <c r="Q324">
        <f t="shared" si="17"/>
        <v>160</v>
      </c>
      <c r="R324" t="s">
        <v>47</v>
      </c>
      <c r="S324" t="s">
        <v>49</v>
      </c>
    </row>
    <row r="325" spans="1:19" ht="18" x14ac:dyDescent="0.5">
      <c r="A325" t="s">
        <v>395</v>
      </c>
      <c r="B325" t="s">
        <v>1394</v>
      </c>
      <c r="C325" s="6">
        <v>45306</v>
      </c>
      <c r="D325" t="s">
        <v>2085</v>
      </c>
      <c r="E325" t="s">
        <v>2076</v>
      </c>
      <c r="F325" t="str">
        <f>_xlfn.XLOOKUP(E325,Table8[City],Table8[State])</f>
        <v>Tamil Nadu</v>
      </c>
      <c r="G325" t="str">
        <f>_xlfn.XLOOKUP(E325,Table8[City],Table8[Region])</f>
        <v>South</v>
      </c>
      <c r="H325" t="s">
        <v>24</v>
      </c>
      <c r="I325" t="str">
        <f>_xlfn.XLOOKUP(H325,Table6[Product],Table6[Category])</f>
        <v>Accessories</v>
      </c>
      <c r="J325" t="s">
        <v>62</v>
      </c>
      <c r="K325">
        <v>5</v>
      </c>
      <c r="L325">
        <f>_xlfn.XLOOKUP(H325,Table6[Product],Table6[Unit Price])</f>
        <v>1500</v>
      </c>
      <c r="M325">
        <f>_xlfn.XLOOKUP(H325,Table6[Product],Table6[Cost Price])</f>
        <v>900</v>
      </c>
      <c r="N325" s="7">
        <v>0.28999999999999998</v>
      </c>
      <c r="O325">
        <f t="shared" si="15"/>
        <v>5325</v>
      </c>
      <c r="P325">
        <f t="shared" si="16"/>
        <v>4500</v>
      </c>
      <c r="Q325">
        <f t="shared" si="17"/>
        <v>825</v>
      </c>
      <c r="R325" t="s">
        <v>47</v>
      </c>
      <c r="S325" t="s">
        <v>51</v>
      </c>
    </row>
    <row r="326" spans="1:19" ht="18" x14ac:dyDescent="0.5">
      <c r="A326" t="s">
        <v>396</v>
      </c>
      <c r="B326" t="s">
        <v>1395</v>
      </c>
      <c r="C326" s="6">
        <v>45353</v>
      </c>
      <c r="D326" t="s">
        <v>2093</v>
      </c>
      <c r="E326" t="s">
        <v>2076</v>
      </c>
      <c r="F326" t="str">
        <f>_xlfn.XLOOKUP(E326,Table8[City],Table8[State])</f>
        <v>Tamil Nadu</v>
      </c>
      <c r="G326" t="str">
        <f>_xlfn.XLOOKUP(E326,Table8[City],Table8[Region])</f>
        <v>South</v>
      </c>
      <c r="H326" t="s">
        <v>29</v>
      </c>
      <c r="I326" t="str">
        <f>_xlfn.XLOOKUP(H326,Table6[Product],Table6[Category])</f>
        <v>Electronics</v>
      </c>
      <c r="J326" t="s">
        <v>61</v>
      </c>
      <c r="K326">
        <v>1</v>
      </c>
      <c r="L326">
        <f>_xlfn.XLOOKUP(H326,Table6[Product],Table6[Unit Price])</f>
        <v>5000</v>
      </c>
      <c r="M326">
        <f>_xlfn.XLOOKUP(H326,Table6[Product],Table6[Cost Price])</f>
        <v>3200</v>
      </c>
      <c r="N326" s="7">
        <v>0.05</v>
      </c>
      <c r="O326">
        <f t="shared" si="15"/>
        <v>4750</v>
      </c>
      <c r="P326">
        <f t="shared" si="16"/>
        <v>3200</v>
      </c>
      <c r="Q326">
        <f t="shared" si="17"/>
        <v>1550</v>
      </c>
      <c r="R326" t="s">
        <v>44</v>
      </c>
      <c r="S326" t="s">
        <v>49</v>
      </c>
    </row>
    <row r="327" spans="1:19" ht="18" x14ac:dyDescent="0.5">
      <c r="A327" t="s">
        <v>397</v>
      </c>
      <c r="B327" t="s">
        <v>1396</v>
      </c>
      <c r="C327" s="6">
        <v>45839</v>
      </c>
      <c r="D327" t="s">
        <v>2093</v>
      </c>
      <c r="E327" t="s">
        <v>2104</v>
      </c>
      <c r="F327" t="str">
        <f>_xlfn.XLOOKUP(E327,Table8[City],Table8[State])</f>
        <v>Delhi</v>
      </c>
      <c r="G327" t="str">
        <f>_xlfn.XLOOKUP(E327,Table8[City],Table8[Region])</f>
        <v>North</v>
      </c>
      <c r="H327" t="s">
        <v>16</v>
      </c>
      <c r="I327" t="str">
        <f>_xlfn.XLOOKUP(H327,Table6[Product],Table6[Category])</f>
        <v>Electronics</v>
      </c>
      <c r="J327" t="s">
        <v>62</v>
      </c>
      <c r="K327">
        <v>7</v>
      </c>
      <c r="L327">
        <f>_xlfn.XLOOKUP(H327,Table6[Product],Table6[Unit Price])</f>
        <v>65000</v>
      </c>
      <c r="M327">
        <f>_xlfn.XLOOKUP(H327,Table6[Product],Table6[Cost Price])</f>
        <v>52000</v>
      </c>
      <c r="N327" s="7">
        <v>0.21</v>
      </c>
      <c r="O327">
        <f t="shared" si="15"/>
        <v>359450</v>
      </c>
      <c r="P327">
        <f t="shared" si="16"/>
        <v>364000</v>
      </c>
      <c r="Q327">
        <f t="shared" si="17"/>
        <v>-4550</v>
      </c>
      <c r="R327" t="s">
        <v>44</v>
      </c>
      <c r="S327" t="s">
        <v>50</v>
      </c>
    </row>
    <row r="328" spans="1:19" ht="18" x14ac:dyDescent="0.5">
      <c r="A328" t="s">
        <v>398</v>
      </c>
      <c r="B328" t="s">
        <v>1397</v>
      </c>
      <c r="C328" s="6">
        <v>45352</v>
      </c>
      <c r="D328" t="s">
        <v>2098</v>
      </c>
      <c r="E328" t="s">
        <v>2106</v>
      </c>
      <c r="F328" t="str">
        <f>_xlfn.XLOOKUP(E328,Table8[City],Table8[State])</f>
        <v>West Bengal</v>
      </c>
      <c r="G328" t="str">
        <f>_xlfn.XLOOKUP(E328,Table8[City],Table8[Region])</f>
        <v>East</v>
      </c>
      <c r="H328" t="s">
        <v>19</v>
      </c>
      <c r="I328" t="str">
        <f>_xlfn.XLOOKUP(H328,Table6[Product],Table6[Category])</f>
        <v>Electronics</v>
      </c>
      <c r="J328" t="s">
        <v>61</v>
      </c>
      <c r="K328">
        <v>9</v>
      </c>
      <c r="L328">
        <f>_xlfn.XLOOKUP(H328,Table6[Product],Table6[Unit Price])</f>
        <v>25000</v>
      </c>
      <c r="M328">
        <f>_xlfn.XLOOKUP(H328,Table6[Product],Table6[Cost Price])</f>
        <v>20000</v>
      </c>
      <c r="N328" s="7">
        <v>0.09</v>
      </c>
      <c r="O328">
        <f t="shared" si="15"/>
        <v>204750</v>
      </c>
      <c r="P328">
        <f t="shared" si="16"/>
        <v>180000</v>
      </c>
      <c r="Q328">
        <f t="shared" si="17"/>
        <v>24750</v>
      </c>
      <c r="R328" t="s">
        <v>45</v>
      </c>
      <c r="S328" t="s">
        <v>49</v>
      </c>
    </row>
    <row r="329" spans="1:19" ht="18" x14ac:dyDescent="0.5">
      <c r="A329" t="s">
        <v>399</v>
      </c>
      <c r="B329" t="s">
        <v>1398</v>
      </c>
      <c r="C329" s="6">
        <v>45899</v>
      </c>
      <c r="D329" t="s">
        <v>2095</v>
      </c>
      <c r="E329" t="s">
        <v>2078</v>
      </c>
      <c r="F329" t="str">
        <f>_xlfn.XLOOKUP(E329,Table8[City],Table8[State])</f>
        <v>Telangana</v>
      </c>
      <c r="G329" t="str">
        <f>_xlfn.XLOOKUP(E329,Table8[City],Table8[Region])</f>
        <v>South</v>
      </c>
      <c r="H329" t="s">
        <v>29</v>
      </c>
      <c r="I329" t="str">
        <f>_xlfn.XLOOKUP(H329,Table6[Product],Table6[Category])</f>
        <v>Electronics</v>
      </c>
      <c r="J329" t="s">
        <v>58</v>
      </c>
      <c r="K329">
        <v>7</v>
      </c>
      <c r="L329">
        <f>_xlfn.XLOOKUP(H329,Table6[Product],Table6[Unit Price])</f>
        <v>5000</v>
      </c>
      <c r="M329">
        <f>_xlfn.XLOOKUP(H329,Table6[Product],Table6[Cost Price])</f>
        <v>3200</v>
      </c>
      <c r="N329" s="7">
        <v>0.12</v>
      </c>
      <c r="O329">
        <f t="shared" si="15"/>
        <v>30800</v>
      </c>
      <c r="P329">
        <f t="shared" si="16"/>
        <v>22400</v>
      </c>
      <c r="Q329">
        <f t="shared" si="17"/>
        <v>8400</v>
      </c>
      <c r="R329" t="s">
        <v>46</v>
      </c>
      <c r="S329" t="s">
        <v>52</v>
      </c>
    </row>
    <row r="330" spans="1:19" ht="18" x14ac:dyDescent="0.5">
      <c r="A330" t="s">
        <v>400</v>
      </c>
      <c r="B330" t="s">
        <v>1399</v>
      </c>
      <c r="C330" s="6">
        <v>45321</v>
      </c>
      <c r="D330" t="s">
        <v>2094</v>
      </c>
      <c r="E330" t="s">
        <v>2105</v>
      </c>
      <c r="F330" t="str">
        <f>_xlfn.XLOOKUP(E330,Table8[City],Table8[State])</f>
        <v>Rajasthan</v>
      </c>
      <c r="G330" t="str">
        <f>_xlfn.XLOOKUP(E330,Table8[City],Table8[Region])</f>
        <v>North</v>
      </c>
      <c r="H330" t="s">
        <v>25</v>
      </c>
      <c r="I330" t="str">
        <f>_xlfn.XLOOKUP(H330,Table6[Product],Table6[Category])</f>
        <v>Accessories</v>
      </c>
      <c r="J330" t="s">
        <v>59</v>
      </c>
      <c r="K330">
        <v>3</v>
      </c>
      <c r="L330">
        <f>_xlfn.XLOOKUP(H330,Table6[Product],Table6[Unit Price])</f>
        <v>800</v>
      </c>
      <c r="M330">
        <f>_xlfn.XLOOKUP(H330,Table6[Product],Table6[Cost Price])</f>
        <v>450</v>
      </c>
      <c r="N330" s="7">
        <v>0.24</v>
      </c>
      <c r="O330">
        <f t="shared" si="15"/>
        <v>1824</v>
      </c>
      <c r="P330">
        <f t="shared" si="16"/>
        <v>1350</v>
      </c>
      <c r="Q330">
        <f t="shared" si="17"/>
        <v>474</v>
      </c>
      <c r="R330" t="s">
        <v>47</v>
      </c>
      <c r="S330" t="s">
        <v>49</v>
      </c>
    </row>
    <row r="331" spans="1:19" ht="18" x14ac:dyDescent="0.5">
      <c r="A331" t="s">
        <v>401</v>
      </c>
      <c r="B331" t="s">
        <v>1400</v>
      </c>
      <c r="C331" s="6">
        <v>45615</v>
      </c>
      <c r="D331" t="s">
        <v>2094</v>
      </c>
      <c r="E331" t="s">
        <v>2074</v>
      </c>
      <c r="F331" t="str">
        <f>_xlfn.XLOOKUP(E331,Table8[City],Table8[State])</f>
        <v>Maharashtra</v>
      </c>
      <c r="G331" t="str">
        <f>_xlfn.XLOOKUP(E331,Table8[City],Table8[Region])</f>
        <v>West</v>
      </c>
      <c r="H331" t="s">
        <v>28</v>
      </c>
      <c r="I331" t="str">
        <f>_xlfn.XLOOKUP(H331,Table6[Product],Table6[Category])</f>
        <v>Office</v>
      </c>
      <c r="J331" t="s">
        <v>63</v>
      </c>
      <c r="K331">
        <v>5</v>
      </c>
      <c r="L331">
        <f>_xlfn.XLOOKUP(H331,Table6[Product],Table6[Unit Price])</f>
        <v>18000</v>
      </c>
      <c r="M331">
        <f>_xlfn.XLOOKUP(H331,Table6[Product],Table6[Cost Price])</f>
        <v>14000</v>
      </c>
      <c r="N331" s="7">
        <v>0.27</v>
      </c>
      <c r="O331">
        <f t="shared" si="15"/>
        <v>65700</v>
      </c>
      <c r="P331">
        <f t="shared" si="16"/>
        <v>70000</v>
      </c>
      <c r="Q331">
        <f t="shared" si="17"/>
        <v>-4300</v>
      </c>
      <c r="R331" t="s">
        <v>46</v>
      </c>
      <c r="S331" t="s">
        <v>49</v>
      </c>
    </row>
    <row r="332" spans="1:19" ht="18" x14ac:dyDescent="0.5">
      <c r="A332" t="s">
        <v>402</v>
      </c>
      <c r="B332" t="s">
        <v>1401</v>
      </c>
      <c r="C332" s="6">
        <v>45451</v>
      </c>
      <c r="D332" t="s">
        <v>2095</v>
      </c>
      <c r="E332" t="s">
        <v>2079</v>
      </c>
      <c r="F332" t="str">
        <f>_xlfn.XLOOKUP(E332,Table8[City],Table8[State])</f>
        <v>Gujarat</v>
      </c>
      <c r="G332" t="str">
        <f>_xlfn.XLOOKUP(E332,Table8[City],Table8[Region])</f>
        <v>West</v>
      </c>
      <c r="H332" t="s">
        <v>18</v>
      </c>
      <c r="I332" t="str">
        <f>_xlfn.XLOOKUP(H332,Table6[Product],Table6[Category])</f>
        <v>Electronics</v>
      </c>
      <c r="J332" t="s">
        <v>62</v>
      </c>
      <c r="K332">
        <v>6</v>
      </c>
      <c r="L332">
        <f>_xlfn.XLOOKUP(H332,Table6[Product],Table6[Unit Price])</f>
        <v>35000</v>
      </c>
      <c r="M332">
        <f>_xlfn.XLOOKUP(H332,Table6[Product],Table6[Cost Price])</f>
        <v>28000</v>
      </c>
      <c r="N332" s="7">
        <v>0.23</v>
      </c>
      <c r="O332">
        <f t="shared" si="15"/>
        <v>161700</v>
      </c>
      <c r="P332">
        <f t="shared" si="16"/>
        <v>168000</v>
      </c>
      <c r="Q332">
        <f t="shared" si="17"/>
        <v>-6300</v>
      </c>
      <c r="R332" t="s">
        <v>44</v>
      </c>
      <c r="S332" t="s">
        <v>52</v>
      </c>
    </row>
    <row r="333" spans="1:19" ht="18" x14ac:dyDescent="0.5">
      <c r="A333" t="s">
        <v>403</v>
      </c>
      <c r="B333" t="s">
        <v>1402</v>
      </c>
      <c r="C333" s="6">
        <v>45791</v>
      </c>
      <c r="D333" t="s">
        <v>2089</v>
      </c>
      <c r="E333" t="s">
        <v>2080</v>
      </c>
      <c r="F333" t="str">
        <f>_xlfn.XLOOKUP(E333,Table8[City],Table8[State])</f>
        <v>Gujarat</v>
      </c>
      <c r="G333" t="str">
        <f>_xlfn.XLOOKUP(E333,Table8[City],Table8[Region])</f>
        <v>West</v>
      </c>
      <c r="H333" t="s">
        <v>19</v>
      </c>
      <c r="I333" t="str">
        <f>_xlfn.XLOOKUP(H333,Table6[Product],Table6[Category])</f>
        <v>Electronics</v>
      </c>
      <c r="J333" t="s">
        <v>57</v>
      </c>
      <c r="K333">
        <v>6</v>
      </c>
      <c r="L333">
        <f>_xlfn.XLOOKUP(H333,Table6[Product],Table6[Unit Price])</f>
        <v>25000</v>
      </c>
      <c r="M333">
        <f>_xlfn.XLOOKUP(H333,Table6[Product],Table6[Cost Price])</f>
        <v>20000</v>
      </c>
      <c r="N333" s="7">
        <v>0.18</v>
      </c>
      <c r="O333">
        <f t="shared" si="15"/>
        <v>123000.00000000001</v>
      </c>
      <c r="P333">
        <f t="shared" si="16"/>
        <v>120000</v>
      </c>
      <c r="Q333">
        <f t="shared" si="17"/>
        <v>3000.0000000000146</v>
      </c>
      <c r="R333" t="s">
        <v>44</v>
      </c>
      <c r="S333" t="s">
        <v>51</v>
      </c>
    </row>
    <row r="334" spans="1:19" ht="18" x14ac:dyDescent="0.5">
      <c r="A334" t="s">
        <v>404</v>
      </c>
      <c r="B334" t="s">
        <v>1403</v>
      </c>
      <c r="C334" s="6">
        <v>45457</v>
      </c>
      <c r="D334" t="s">
        <v>2096</v>
      </c>
      <c r="E334" t="s">
        <v>2073</v>
      </c>
      <c r="F334" t="str">
        <f>_xlfn.XLOOKUP(E334,Table8[City],Table8[State])</f>
        <v>Maharashtra</v>
      </c>
      <c r="G334" t="str">
        <f>_xlfn.XLOOKUP(E334,Table8[City],Table8[Region])</f>
        <v>West</v>
      </c>
      <c r="H334" t="s">
        <v>19</v>
      </c>
      <c r="I334" t="str">
        <f>_xlfn.XLOOKUP(H334,Table6[Product],Table6[Category])</f>
        <v>Electronics</v>
      </c>
      <c r="J334" t="s">
        <v>59</v>
      </c>
      <c r="K334">
        <v>2</v>
      </c>
      <c r="L334">
        <f>_xlfn.XLOOKUP(H334,Table6[Product],Table6[Unit Price])</f>
        <v>25000</v>
      </c>
      <c r="M334">
        <f>_xlfn.XLOOKUP(H334,Table6[Product],Table6[Cost Price])</f>
        <v>20000</v>
      </c>
      <c r="N334" s="7">
        <v>0.05</v>
      </c>
      <c r="O334">
        <f t="shared" si="15"/>
        <v>47500</v>
      </c>
      <c r="P334">
        <f t="shared" si="16"/>
        <v>40000</v>
      </c>
      <c r="Q334">
        <f t="shared" si="17"/>
        <v>7500</v>
      </c>
      <c r="R334" t="s">
        <v>44</v>
      </c>
      <c r="S334" t="s">
        <v>51</v>
      </c>
    </row>
    <row r="335" spans="1:19" ht="18" x14ac:dyDescent="0.5">
      <c r="A335" t="s">
        <v>405</v>
      </c>
      <c r="B335" t="s">
        <v>1404</v>
      </c>
      <c r="C335" s="6">
        <v>46021</v>
      </c>
      <c r="D335" t="s">
        <v>2093</v>
      </c>
      <c r="E335" t="s">
        <v>2104</v>
      </c>
      <c r="F335" t="str">
        <f>_xlfn.XLOOKUP(E335,Table8[City],Table8[State])</f>
        <v>Delhi</v>
      </c>
      <c r="G335" t="str">
        <f>_xlfn.XLOOKUP(E335,Table8[City],Table8[Region])</f>
        <v>North</v>
      </c>
      <c r="H335" t="s">
        <v>20</v>
      </c>
      <c r="I335" t="str">
        <f>_xlfn.XLOOKUP(H335,Table6[Product],Table6[Category])</f>
        <v>Accessories</v>
      </c>
      <c r="J335" t="s">
        <v>56</v>
      </c>
      <c r="K335">
        <v>8</v>
      </c>
      <c r="L335">
        <f>_xlfn.XLOOKUP(H335,Table6[Product],Table6[Unit Price])</f>
        <v>3000</v>
      </c>
      <c r="M335">
        <f>_xlfn.XLOOKUP(H335,Table6[Product],Table6[Cost Price])</f>
        <v>1800</v>
      </c>
      <c r="N335" s="7">
        <v>0.18</v>
      </c>
      <c r="O335">
        <f t="shared" si="15"/>
        <v>19680</v>
      </c>
      <c r="P335">
        <f t="shared" si="16"/>
        <v>14400</v>
      </c>
      <c r="Q335">
        <f t="shared" si="17"/>
        <v>5280</v>
      </c>
      <c r="R335" t="s">
        <v>43</v>
      </c>
      <c r="S335" t="s">
        <v>52</v>
      </c>
    </row>
    <row r="336" spans="1:19" ht="18" x14ac:dyDescent="0.5">
      <c r="A336" t="s">
        <v>406</v>
      </c>
      <c r="B336" t="s">
        <v>1405</v>
      </c>
      <c r="C336" s="6">
        <v>45301</v>
      </c>
      <c r="D336" t="s">
        <v>2085</v>
      </c>
      <c r="E336" t="s">
        <v>2080</v>
      </c>
      <c r="F336" t="str">
        <f>_xlfn.XLOOKUP(E336,Table8[City],Table8[State])</f>
        <v>Gujarat</v>
      </c>
      <c r="G336" t="str">
        <f>_xlfn.XLOOKUP(E336,Table8[City],Table8[Region])</f>
        <v>West</v>
      </c>
      <c r="H336" t="s">
        <v>26</v>
      </c>
      <c r="I336" t="str">
        <f>_xlfn.XLOOKUP(H336,Table6[Product],Table6[Category])</f>
        <v>Office</v>
      </c>
      <c r="J336" t="s">
        <v>62</v>
      </c>
      <c r="K336">
        <v>1</v>
      </c>
      <c r="L336">
        <f>_xlfn.XLOOKUP(H336,Table6[Product],Table6[Unit Price])</f>
        <v>15000</v>
      </c>
      <c r="M336">
        <f>_xlfn.XLOOKUP(H336,Table6[Product],Table6[Cost Price])</f>
        <v>11500</v>
      </c>
      <c r="N336" s="7">
        <v>0.03</v>
      </c>
      <c r="O336">
        <f t="shared" si="15"/>
        <v>14550</v>
      </c>
      <c r="P336">
        <f t="shared" si="16"/>
        <v>11500</v>
      </c>
      <c r="Q336">
        <f t="shared" si="17"/>
        <v>3050</v>
      </c>
      <c r="R336" t="s">
        <v>47</v>
      </c>
      <c r="S336" t="s">
        <v>49</v>
      </c>
    </row>
    <row r="337" spans="1:19" ht="18" x14ac:dyDescent="0.5">
      <c r="A337" t="s">
        <v>407</v>
      </c>
      <c r="B337" t="s">
        <v>1406</v>
      </c>
      <c r="C337" s="6">
        <v>45923</v>
      </c>
      <c r="D337" t="s">
        <v>2090</v>
      </c>
      <c r="E337" t="s">
        <v>70</v>
      </c>
      <c r="F337" t="str">
        <f>_xlfn.XLOOKUP(E337,Table8[City],Table8[State])</f>
        <v>Karnataka</v>
      </c>
      <c r="G337" t="str">
        <f>_xlfn.XLOOKUP(E337,Table8[City],Table8[Region])</f>
        <v>South</v>
      </c>
      <c r="H337" t="s">
        <v>24</v>
      </c>
      <c r="I337" t="str">
        <f>_xlfn.XLOOKUP(H337,Table6[Product],Table6[Category])</f>
        <v>Accessories</v>
      </c>
      <c r="J337" t="s">
        <v>62</v>
      </c>
      <c r="K337">
        <v>4</v>
      </c>
      <c r="L337">
        <f>_xlfn.XLOOKUP(H337,Table6[Product],Table6[Unit Price])</f>
        <v>1500</v>
      </c>
      <c r="M337">
        <f>_xlfn.XLOOKUP(H337,Table6[Product],Table6[Cost Price])</f>
        <v>900</v>
      </c>
      <c r="N337" s="7">
        <v>0.14000000000000001</v>
      </c>
      <c r="O337">
        <f t="shared" si="15"/>
        <v>5160</v>
      </c>
      <c r="P337">
        <f t="shared" si="16"/>
        <v>3600</v>
      </c>
      <c r="Q337">
        <f t="shared" si="17"/>
        <v>1560</v>
      </c>
      <c r="R337" t="s">
        <v>47</v>
      </c>
      <c r="S337" t="s">
        <v>49</v>
      </c>
    </row>
    <row r="338" spans="1:19" ht="18" x14ac:dyDescent="0.5">
      <c r="A338" t="s">
        <v>408</v>
      </c>
      <c r="B338" t="s">
        <v>1407</v>
      </c>
      <c r="C338" s="6">
        <v>45934</v>
      </c>
      <c r="D338" t="s">
        <v>2099</v>
      </c>
      <c r="E338" t="s">
        <v>2074</v>
      </c>
      <c r="F338" t="str">
        <f>_xlfn.XLOOKUP(E338,Table8[City],Table8[State])</f>
        <v>Maharashtra</v>
      </c>
      <c r="G338" t="str">
        <f>_xlfn.XLOOKUP(E338,Table8[City],Table8[Region])</f>
        <v>West</v>
      </c>
      <c r="H338" t="s">
        <v>22</v>
      </c>
      <c r="I338" t="str">
        <f>_xlfn.XLOOKUP(H338,Table6[Product],Table6[Category])</f>
        <v>Wearables</v>
      </c>
      <c r="J338" t="s">
        <v>59</v>
      </c>
      <c r="K338">
        <v>1</v>
      </c>
      <c r="L338">
        <f>_xlfn.XLOOKUP(H338,Table6[Product],Table6[Unit Price])</f>
        <v>12000</v>
      </c>
      <c r="M338">
        <f>_xlfn.XLOOKUP(H338,Table6[Product],Table6[Cost Price])</f>
        <v>8500</v>
      </c>
      <c r="N338" s="7">
        <v>0.18</v>
      </c>
      <c r="O338">
        <f t="shared" si="15"/>
        <v>9840</v>
      </c>
      <c r="P338">
        <f t="shared" si="16"/>
        <v>8500</v>
      </c>
      <c r="Q338">
        <f t="shared" si="17"/>
        <v>1340</v>
      </c>
      <c r="R338" t="s">
        <v>47</v>
      </c>
      <c r="S338" t="s">
        <v>51</v>
      </c>
    </row>
    <row r="339" spans="1:19" ht="18" x14ac:dyDescent="0.5">
      <c r="A339" t="s">
        <v>409</v>
      </c>
      <c r="B339" t="s">
        <v>1408</v>
      </c>
      <c r="C339" s="6">
        <v>45570</v>
      </c>
      <c r="D339" t="s">
        <v>2091</v>
      </c>
      <c r="E339" t="s">
        <v>2106</v>
      </c>
      <c r="F339" t="str">
        <f>_xlfn.XLOOKUP(E339,Table8[City],Table8[State])</f>
        <v>West Bengal</v>
      </c>
      <c r="G339" t="str">
        <f>_xlfn.XLOOKUP(E339,Table8[City],Table8[Region])</f>
        <v>East</v>
      </c>
      <c r="H339" t="s">
        <v>22</v>
      </c>
      <c r="I339" t="str">
        <f>_xlfn.XLOOKUP(H339,Table6[Product],Table6[Category])</f>
        <v>Wearables</v>
      </c>
      <c r="J339" t="s">
        <v>58</v>
      </c>
      <c r="K339">
        <v>9</v>
      </c>
      <c r="L339">
        <f>_xlfn.XLOOKUP(H339,Table6[Product],Table6[Unit Price])</f>
        <v>12000</v>
      </c>
      <c r="M339">
        <f>_xlfn.XLOOKUP(H339,Table6[Product],Table6[Cost Price])</f>
        <v>8500</v>
      </c>
      <c r="N339" s="7">
        <v>0.03</v>
      </c>
      <c r="O339">
        <f t="shared" si="15"/>
        <v>104760</v>
      </c>
      <c r="P339">
        <f t="shared" si="16"/>
        <v>76500</v>
      </c>
      <c r="Q339">
        <f t="shared" si="17"/>
        <v>28260</v>
      </c>
      <c r="R339" t="s">
        <v>47</v>
      </c>
      <c r="S339" t="s">
        <v>49</v>
      </c>
    </row>
    <row r="340" spans="1:19" ht="18" x14ac:dyDescent="0.5">
      <c r="A340" t="s">
        <v>410</v>
      </c>
      <c r="B340" t="s">
        <v>1409</v>
      </c>
      <c r="C340" s="6">
        <v>45886</v>
      </c>
      <c r="D340" t="s">
        <v>2096</v>
      </c>
      <c r="E340" t="s">
        <v>2080</v>
      </c>
      <c r="F340" t="str">
        <f>_xlfn.XLOOKUP(E340,Table8[City],Table8[State])</f>
        <v>Gujarat</v>
      </c>
      <c r="G340" t="str">
        <f>_xlfn.XLOOKUP(E340,Table8[City],Table8[Region])</f>
        <v>West</v>
      </c>
      <c r="H340" t="s">
        <v>24</v>
      </c>
      <c r="I340" t="str">
        <f>_xlfn.XLOOKUP(H340,Table6[Product],Table6[Category])</f>
        <v>Accessories</v>
      </c>
      <c r="J340" t="s">
        <v>60</v>
      </c>
      <c r="K340">
        <v>2</v>
      </c>
      <c r="L340">
        <f>_xlfn.XLOOKUP(H340,Table6[Product],Table6[Unit Price])</f>
        <v>1500</v>
      </c>
      <c r="M340">
        <f>_xlfn.XLOOKUP(H340,Table6[Product],Table6[Cost Price])</f>
        <v>900</v>
      </c>
      <c r="N340" s="7">
        <v>0.08</v>
      </c>
      <c r="O340">
        <f t="shared" si="15"/>
        <v>2760</v>
      </c>
      <c r="P340">
        <f t="shared" si="16"/>
        <v>1800</v>
      </c>
      <c r="Q340">
        <f t="shared" si="17"/>
        <v>960</v>
      </c>
      <c r="R340" t="s">
        <v>43</v>
      </c>
      <c r="S340" t="s">
        <v>49</v>
      </c>
    </row>
    <row r="341" spans="1:19" ht="18" x14ac:dyDescent="0.5">
      <c r="A341" t="s">
        <v>411</v>
      </c>
      <c r="B341" t="s">
        <v>1410</v>
      </c>
      <c r="C341" s="6">
        <v>45500</v>
      </c>
      <c r="D341" t="s">
        <v>2084</v>
      </c>
      <c r="E341" t="s">
        <v>2105</v>
      </c>
      <c r="F341" t="str">
        <f>_xlfn.XLOOKUP(E341,Table8[City],Table8[State])</f>
        <v>Rajasthan</v>
      </c>
      <c r="G341" t="str">
        <f>_xlfn.XLOOKUP(E341,Table8[City],Table8[Region])</f>
        <v>North</v>
      </c>
      <c r="H341" t="s">
        <v>16</v>
      </c>
      <c r="I341" t="str">
        <f>_xlfn.XLOOKUP(H341,Table6[Product],Table6[Category])</f>
        <v>Electronics</v>
      </c>
      <c r="J341" t="s">
        <v>59</v>
      </c>
      <c r="K341">
        <v>2</v>
      </c>
      <c r="L341">
        <f>_xlfn.XLOOKUP(H341,Table6[Product],Table6[Unit Price])</f>
        <v>65000</v>
      </c>
      <c r="M341">
        <f>_xlfn.XLOOKUP(H341,Table6[Product],Table6[Cost Price])</f>
        <v>52000</v>
      </c>
      <c r="N341" s="7">
        <v>0.25</v>
      </c>
      <c r="O341">
        <f t="shared" si="15"/>
        <v>97500</v>
      </c>
      <c r="P341">
        <f t="shared" si="16"/>
        <v>104000</v>
      </c>
      <c r="Q341">
        <f t="shared" si="17"/>
        <v>-6500</v>
      </c>
      <c r="R341" t="s">
        <v>43</v>
      </c>
      <c r="S341" t="s">
        <v>49</v>
      </c>
    </row>
    <row r="342" spans="1:19" ht="18" x14ac:dyDescent="0.5">
      <c r="A342" t="s">
        <v>412</v>
      </c>
      <c r="B342" t="s">
        <v>1411</v>
      </c>
      <c r="C342" s="6">
        <v>45327</v>
      </c>
      <c r="D342" t="s">
        <v>2099</v>
      </c>
      <c r="E342" t="s">
        <v>2104</v>
      </c>
      <c r="F342" t="str">
        <f>_xlfn.XLOOKUP(E342,Table8[City],Table8[State])</f>
        <v>Delhi</v>
      </c>
      <c r="G342" t="str">
        <f>_xlfn.XLOOKUP(E342,Table8[City],Table8[Region])</f>
        <v>North</v>
      </c>
      <c r="H342" t="s">
        <v>26</v>
      </c>
      <c r="I342" t="str">
        <f>_xlfn.XLOOKUP(H342,Table6[Product],Table6[Category])</f>
        <v>Office</v>
      </c>
      <c r="J342" t="s">
        <v>60</v>
      </c>
      <c r="K342">
        <v>3</v>
      </c>
      <c r="L342">
        <f>_xlfn.XLOOKUP(H342,Table6[Product],Table6[Unit Price])</f>
        <v>15000</v>
      </c>
      <c r="M342">
        <f>_xlfn.XLOOKUP(H342,Table6[Product],Table6[Cost Price])</f>
        <v>11500</v>
      </c>
      <c r="N342" s="7">
        <v>0.25</v>
      </c>
      <c r="O342">
        <f t="shared" si="15"/>
        <v>33750</v>
      </c>
      <c r="P342">
        <f t="shared" si="16"/>
        <v>34500</v>
      </c>
      <c r="Q342">
        <f t="shared" si="17"/>
        <v>-750</v>
      </c>
      <c r="R342" t="s">
        <v>45</v>
      </c>
      <c r="S342" t="s">
        <v>51</v>
      </c>
    </row>
    <row r="343" spans="1:19" ht="18" x14ac:dyDescent="0.5">
      <c r="A343" t="s">
        <v>413</v>
      </c>
      <c r="B343" t="s">
        <v>1412</v>
      </c>
      <c r="C343" s="6">
        <v>45856</v>
      </c>
      <c r="D343" t="s">
        <v>63</v>
      </c>
      <c r="E343" t="s">
        <v>2076</v>
      </c>
      <c r="F343" t="str">
        <f>_xlfn.XLOOKUP(E343,Table8[City],Table8[State])</f>
        <v>Tamil Nadu</v>
      </c>
      <c r="G343" t="str">
        <f>_xlfn.XLOOKUP(E343,Table8[City],Table8[Region])</f>
        <v>South</v>
      </c>
      <c r="H343" t="s">
        <v>26</v>
      </c>
      <c r="I343" t="str">
        <f>_xlfn.XLOOKUP(H343,Table6[Product],Table6[Category])</f>
        <v>Office</v>
      </c>
      <c r="J343" t="s">
        <v>59</v>
      </c>
      <c r="K343">
        <v>3</v>
      </c>
      <c r="L343">
        <f>_xlfn.XLOOKUP(H343,Table6[Product],Table6[Unit Price])</f>
        <v>15000</v>
      </c>
      <c r="M343">
        <f>_xlfn.XLOOKUP(H343,Table6[Product],Table6[Cost Price])</f>
        <v>11500</v>
      </c>
      <c r="N343" s="7">
        <v>0.11</v>
      </c>
      <c r="O343">
        <f t="shared" si="15"/>
        <v>40050</v>
      </c>
      <c r="P343">
        <f t="shared" si="16"/>
        <v>34500</v>
      </c>
      <c r="Q343">
        <f t="shared" si="17"/>
        <v>5550</v>
      </c>
      <c r="R343" t="s">
        <v>43</v>
      </c>
      <c r="S343" t="s">
        <v>50</v>
      </c>
    </row>
    <row r="344" spans="1:19" ht="18" x14ac:dyDescent="0.5">
      <c r="A344" t="s">
        <v>414</v>
      </c>
      <c r="B344" t="s">
        <v>1413</v>
      </c>
      <c r="C344" s="6">
        <v>45853</v>
      </c>
      <c r="D344" t="s">
        <v>2084</v>
      </c>
      <c r="E344" t="s">
        <v>2080</v>
      </c>
      <c r="F344" t="str">
        <f>_xlfn.XLOOKUP(E344,Table8[City],Table8[State])</f>
        <v>Gujarat</v>
      </c>
      <c r="G344" t="str">
        <f>_xlfn.XLOOKUP(E344,Table8[City],Table8[Region])</f>
        <v>West</v>
      </c>
      <c r="H344" t="s">
        <v>18</v>
      </c>
      <c r="I344" t="str">
        <f>_xlfn.XLOOKUP(H344,Table6[Product],Table6[Category])</f>
        <v>Electronics</v>
      </c>
      <c r="J344" t="s">
        <v>58</v>
      </c>
      <c r="K344">
        <v>7</v>
      </c>
      <c r="L344">
        <f>_xlfn.XLOOKUP(H344,Table6[Product],Table6[Unit Price])</f>
        <v>35000</v>
      </c>
      <c r="M344">
        <f>_xlfn.XLOOKUP(H344,Table6[Product],Table6[Cost Price])</f>
        <v>28000</v>
      </c>
      <c r="N344" s="7">
        <v>0.28999999999999998</v>
      </c>
      <c r="O344">
        <f t="shared" si="15"/>
        <v>173950</v>
      </c>
      <c r="P344">
        <f t="shared" si="16"/>
        <v>196000</v>
      </c>
      <c r="Q344">
        <f t="shared" si="17"/>
        <v>-22050</v>
      </c>
      <c r="R344" t="s">
        <v>45</v>
      </c>
      <c r="S344" t="s">
        <v>49</v>
      </c>
    </row>
    <row r="345" spans="1:19" ht="18" x14ac:dyDescent="0.5">
      <c r="A345" t="s">
        <v>415</v>
      </c>
      <c r="B345" t="s">
        <v>1414</v>
      </c>
      <c r="C345" s="6">
        <v>45720</v>
      </c>
      <c r="D345" t="s">
        <v>59</v>
      </c>
      <c r="E345" t="s">
        <v>2080</v>
      </c>
      <c r="F345" t="str">
        <f>_xlfn.XLOOKUP(E345,Table8[City],Table8[State])</f>
        <v>Gujarat</v>
      </c>
      <c r="G345" t="str">
        <f>_xlfn.XLOOKUP(E345,Table8[City],Table8[Region])</f>
        <v>West</v>
      </c>
      <c r="H345" t="s">
        <v>26</v>
      </c>
      <c r="I345" t="str">
        <f>_xlfn.XLOOKUP(H345,Table6[Product],Table6[Category])</f>
        <v>Office</v>
      </c>
      <c r="J345" t="s">
        <v>54</v>
      </c>
      <c r="K345">
        <v>6</v>
      </c>
      <c r="L345">
        <f>_xlfn.XLOOKUP(H345,Table6[Product],Table6[Unit Price])</f>
        <v>15000</v>
      </c>
      <c r="M345">
        <f>_xlfn.XLOOKUP(H345,Table6[Product],Table6[Cost Price])</f>
        <v>11500</v>
      </c>
      <c r="N345" s="7">
        <v>0.14000000000000001</v>
      </c>
      <c r="O345">
        <f t="shared" si="15"/>
        <v>77400</v>
      </c>
      <c r="P345">
        <f t="shared" si="16"/>
        <v>69000</v>
      </c>
      <c r="Q345">
        <f t="shared" si="17"/>
        <v>8400</v>
      </c>
      <c r="R345" t="s">
        <v>43</v>
      </c>
      <c r="S345" t="s">
        <v>49</v>
      </c>
    </row>
    <row r="346" spans="1:19" ht="18" x14ac:dyDescent="0.5">
      <c r="A346" t="s">
        <v>416</v>
      </c>
      <c r="B346" t="s">
        <v>1415</v>
      </c>
      <c r="C346" s="6">
        <v>45878</v>
      </c>
      <c r="D346" t="s">
        <v>2098</v>
      </c>
      <c r="E346" t="s">
        <v>2079</v>
      </c>
      <c r="F346" t="str">
        <f>_xlfn.XLOOKUP(E346,Table8[City],Table8[State])</f>
        <v>Gujarat</v>
      </c>
      <c r="G346" t="str">
        <f>_xlfn.XLOOKUP(E346,Table8[City],Table8[Region])</f>
        <v>West</v>
      </c>
      <c r="H346" t="s">
        <v>24</v>
      </c>
      <c r="I346" t="str">
        <f>_xlfn.XLOOKUP(H346,Table6[Product],Table6[Category])</f>
        <v>Accessories</v>
      </c>
      <c r="J346" t="s">
        <v>58</v>
      </c>
      <c r="K346">
        <v>4</v>
      </c>
      <c r="L346">
        <f>_xlfn.XLOOKUP(H346,Table6[Product],Table6[Unit Price])</f>
        <v>1500</v>
      </c>
      <c r="M346">
        <f>_xlfn.XLOOKUP(H346,Table6[Product],Table6[Cost Price])</f>
        <v>900</v>
      </c>
      <c r="N346" s="7">
        <v>0.12</v>
      </c>
      <c r="O346">
        <f t="shared" si="15"/>
        <v>5280</v>
      </c>
      <c r="P346">
        <f t="shared" si="16"/>
        <v>3600</v>
      </c>
      <c r="Q346">
        <f t="shared" si="17"/>
        <v>1680</v>
      </c>
      <c r="R346" t="s">
        <v>45</v>
      </c>
      <c r="S346" t="s">
        <v>51</v>
      </c>
    </row>
    <row r="347" spans="1:19" ht="18" x14ac:dyDescent="0.5">
      <c r="A347" t="s">
        <v>417</v>
      </c>
      <c r="B347" t="s">
        <v>1416</v>
      </c>
      <c r="C347" s="6">
        <v>45362</v>
      </c>
      <c r="D347" t="s">
        <v>2093</v>
      </c>
      <c r="E347" t="s">
        <v>2105</v>
      </c>
      <c r="F347" t="str">
        <f>_xlfn.XLOOKUP(E347,Table8[City],Table8[State])</f>
        <v>Rajasthan</v>
      </c>
      <c r="G347" t="str">
        <f>_xlfn.XLOOKUP(E347,Table8[City],Table8[Region])</f>
        <v>North</v>
      </c>
      <c r="H347" t="s">
        <v>16</v>
      </c>
      <c r="I347" t="str">
        <f>_xlfn.XLOOKUP(H347,Table6[Product],Table6[Category])</f>
        <v>Electronics</v>
      </c>
      <c r="J347" t="s">
        <v>60</v>
      </c>
      <c r="K347">
        <v>7</v>
      </c>
      <c r="L347">
        <f>_xlfn.XLOOKUP(H347,Table6[Product],Table6[Unit Price])</f>
        <v>65000</v>
      </c>
      <c r="M347">
        <f>_xlfn.XLOOKUP(H347,Table6[Product],Table6[Cost Price])</f>
        <v>52000</v>
      </c>
      <c r="N347" s="7">
        <v>0.24</v>
      </c>
      <c r="O347">
        <f t="shared" si="15"/>
        <v>345800</v>
      </c>
      <c r="P347">
        <f t="shared" si="16"/>
        <v>364000</v>
      </c>
      <c r="Q347">
        <f t="shared" si="17"/>
        <v>-18200</v>
      </c>
      <c r="R347" t="s">
        <v>45</v>
      </c>
      <c r="S347" t="s">
        <v>52</v>
      </c>
    </row>
    <row r="348" spans="1:19" ht="18" x14ac:dyDescent="0.5">
      <c r="A348" t="s">
        <v>418</v>
      </c>
      <c r="B348" t="s">
        <v>1417</v>
      </c>
      <c r="C348" s="6">
        <v>45427</v>
      </c>
      <c r="D348" t="s">
        <v>2085</v>
      </c>
      <c r="E348" t="s">
        <v>2075</v>
      </c>
      <c r="F348" t="str">
        <f>_xlfn.XLOOKUP(E348,Table8[City],Table8[State])</f>
        <v>Tamil Nadu</v>
      </c>
      <c r="G348" t="str">
        <f>_xlfn.XLOOKUP(E348,Table8[City],Table8[Region])</f>
        <v>South</v>
      </c>
      <c r="H348" t="s">
        <v>26</v>
      </c>
      <c r="I348" t="str">
        <f>_xlfn.XLOOKUP(H348,Table6[Product],Table6[Category])</f>
        <v>Office</v>
      </c>
      <c r="J348" t="s">
        <v>62</v>
      </c>
      <c r="K348">
        <v>9</v>
      </c>
      <c r="L348">
        <f>_xlfn.XLOOKUP(H348,Table6[Product],Table6[Unit Price])</f>
        <v>15000</v>
      </c>
      <c r="M348">
        <f>_xlfn.XLOOKUP(H348,Table6[Product],Table6[Cost Price])</f>
        <v>11500</v>
      </c>
      <c r="N348" s="7">
        <v>0.28999999999999998</v>
      </c>
      <c r="O348">
        <f t="shared" si="15"/>
        <v>95850</v>
      </c>
      <c r="P348">
        <f t="shared" si="16"/>
        <v>103500</v>
      </c>
      <c r="Q348">
        <f t="shared" si="17"/>
        <v>-7650</v>
      </c>
      <c r="R348" t="s">
        <v>43</v>
      </c>
      <c r="S348" t="s">
        <v>52</v>
      </c>
    </row>
    <row r="349" spans="1:19" ht="18" x14ac:dyDescent="0.5">
      <c r="A349" t="s">
        <v>419</v>
      </c>
      <c r="B349" t="s">
        <v>1418</v>
      </c>
      <c r="C349" s="6">
        <v>45905</v>
      </c>
      <c r="D349" t="s">
        <v>2092</v>
      </c>
      <c r="E349" t="s">
        <v>2105</v>
      </c>
      <c r="F349" t="str">
        <f>_xlfn.XLOOKUP(E349,Table8[City],Table8[State])</f>
        <v>Rajasthan</v>
      </c>
      <c r="G349" t="str">
        <f>_xlfn.XLOOKUP(E349,Table8[City],Table8[Region])</f>
        <v>North</v>
      </c>
      <c r="H349" t="s">
        <v>29</v>
      </c>
      <c r="I349" t="str">
        <f>_xlfn.XLOOKUP(H349,Table6[Product],Table6[Category])</f>
        <v>Electronics</v>
      </c>
      <c r="J349" t="s">
        <v>61</v>
      </c>
      <c r="K349">
        <v>6</v>
      </c>
      <c r="L349">
        <f>_xlfn.XLOOKUP(H349,Table6[Product],Table6[Unit Price])</f>
        <v>5000</v>
      </c>
      <c r="M349">
        <f>_xlfn.XLOOKUP(H349,Table6[Product],Table6[Cost Price])</f>
        <v>3200</v>
      </c>
      <c r="N349" s="7">
        <v>0.19</v>
      </c>
      <c r="O349">
        <f t="shared" si="15"/>
        <v>24300</v>
      </c>
      <c r="P349">
        <f t="shared" si="16"/>
        <v>19200</v>
      </c>
      <c r="Q349">
        <f t="shared" si="17"/>
        <v>5100</v>
      </c>
      <c r="R349" t="s">
        <v>46</v>
      </c>
      <c r="S349" t="s">
        <v>49</v>
      </c>
    </row>
    <row r="350" spans="1:19" ht="18" x14ac:dyDescent="0.5">
      <c r="A350" t="s">
        <v>420</v>
      </c>
      <c r="B350" t="s">
        <v>1419</v>
      </c>
      <c r="C350" s="6">
        <v>45817</v>
      </c>
      <c r="D350" t="s">
        <v>2090</v>
      </c>
      <c r="E350" t="s">
        <v>2074</v>
      </c>
      <c r="F350" t="str">
        <f>_xlfn.XLOOKUP(E350,Table8[City],Table8[State])</f>
        <v>Maharashtra</v>
      </c>
      <c r="G350" t="str">
        <f>_xlfn.XLOOKUP(E350,Table8[City],Table8[Region])</f>
        <v>West</v>
      </c>
      <c r="H350" t="s">
        <v>19</v>
      </c>
      <c r="I350" t="str">
        <f>_xlfn.XLOOKUP(H350,Table6[Product],Table6[Category])</f>
        <v>Electronics</v>
      </c>
      <c r="J350" t="s">
        <v>63</v>
      </c>
      <c r="K350">
        <v>8</v>
      </c>
      <c r="L350">
        <f>_xlfn.XLOOKUP(H350,Table6[Product],Table6[Unit Price])</f>
        <v>25000</v>
      </c>
      <c r="M350">
        <f>_xlfn.XLOOKUP(H350,Table6[Product],Table6[Cost Price])</f>
        <v>20000</v>
      </c>
      <c r="N350" s="7">
        <v>7.0000000000000007E-2</v>
      </c>
      <c r="O350">
        <f t="shared" si="15"/>
        <v>186000</v>
      </c>
      <c r="P350">
        <f t="shared" si="16"/>
        <v>160000</v>
      </c>
      <c r="Q350">
        <f t="shared" si="17"/>
        <v>26000</v>
      </c>
      <c r="R350" t="s">
        <v>46</v>
      </c>
      <c r="S350" t="s">
        <v>49</v>
      </c>
    </row>
    <row r="351" spans="1:19" ht="18" x14ac:dyDescent="0.5">
      <c r="A351" t="s">
        <v>421</v>
      </c>
      <c r="B351" t="s">
        <v>1420</v>
      </c>
      <c r="C351" s="6">
        <v>45714</v>
      </c>
      <c r="D351" t="s">
        <v>2090</v>
      </c>
      <c r="E351" t="s">
        <v>2078</v>
      </c>
      <c r="F351" t="str">
        <f>_xlfn.XLOOKUP(E351,Table8[City],Table8[State])</f>
        <v>Telangana</v>
      </c>
      <c r="G351" t="str">
        <f>_xlfn.XLOOKUP(E351,Table8[City],Table8[Region])</f>
        <v>South</v>
      </c>
      <c r="H351" t="s">
        <v>19</v>
      </c>
      <c r="I351" t="str">
        <f>_xlfn.XLOOKUP(H351,Table6[Product],Table6[Category])</f>
        <v>Electronics</v>
      </c>
      <c r="J351" t="s">
        <v>61</v>
      </c>
      <c r="K351">
        <v>1</v>
      </c>
      <c r="L351">
        <f>_xlfn.XLOOKUP(H351,Table6[Product],Table6[Unit Price])</f>
        <v>25000</v>
      </c>
      <c r="M351">
        <f>_xlfn.XLOOKUP(H351,Table6[Product],Table6[Cost Price])</f>
        <v>20000</v>
      </c>
      <c r="N351" s="7">
        <v>0.09</v>
      </c>
      <c r="O351">
        <f t="shared" si="15"/>
        <v>22750</v>
      </c>
      <c r="P351">
        <f t="shared" si="16"/>
        <v>20000</v>
      </c>
      <c r="Q351">
        <f t="shared" si="17"/>
        <v>2750</v>
      </c>
      <c r="R351" t="s">
        <v>44</v>
      </c>
      <c r="S351" t="s">
        <v>52</v>
      </c>
    </row>
    <row r="352" spans="1:19" ht="18" x14ac:dyDescent="0.5">
      <c r="A352" t="s">
        <v>422</v>
      </c>
      <c r="B352" t="s">
        <v>1421</v>
      </c>
      <c r="C352" s="6">
        <v>46014</v>
      </c>
      <c r="D352" t="s">
        <v>2093</v>
      </c>
      <c r="E352" t="s">
        <v>2076</v>
      </c>
      <c r="F352" t="str">
        <f>_xlfn.XLOOKUP(E352,Table8[City],Table8[State])</f>
        <v>Tamil Nadu</v>
      </c>
      <c r="G352" t="str">
        <f>_xlfn.XLOOKUP(E352,Table8[City],Table8[Region])</f>
        <v>South</v>
      </c>
      <c r="H352" t="s">
        <v>25</v>
      </c>
      <c r="I352" t="str">
        <f>_xlfn.XLOOKUP(H352,Table6[Product],Table6[Category])</f>
        <v>Accessories</v>
      </c>
      <c r="J352" t="s">
        <v>60</v>
      </c>
      <c r="K352">
        <v>3</v>
      </c>
      <c r="L352">
        <f>_xlfn.XLOOKUP(H352,Table6[Product],Table6[Unit Price])</f>
        <v>800</v>
      </c>
      <c r="M352">
        <f>_xlfn.XLOOKUP(H352,Table6[Product],Table6[Cost Price])</f>
        <v>450</v>
      </c>
      <c r="N352" s="7">
        <v>0.22</v>
      </c>
      <c r="O352">
        <f t="shared" si="15"/>
        <v>1872</v>
      </c>
      <c r="P352">
        <f t="shared" si="16"/>
        <v>1350</v>
      </c>
      <c r="Q352">
        <f t="shared" si="17"/>
        <v>522</v>
      </c>
      <c r="R352" t="s">
        <v>44</v>
      </c>
      <c r="S352" t="s">
        <v>52</v>
      </c>
    </row>
    <row r="353" spans="1:19" ht="18" x14ac:dyDescent="0.5">
      <c r="A353" t="s">
        <v>423</v>
      </c>
      <c r="B353" t="s">
        <v>1422</v>
      </c>
      <c r="C353" s="6">
        <v>45968</v>
      </c>
      <c r="D353" t="s">
        <v>2089</v>
      </c>
      <c r="E353" t="s">
        <v>2078</v>
      </c>
      <c r="F353" t="str">
        <f>_xlfn.XLOOKUP(E353,Table8[City],Table8[State])</f>
        <v>Telangana</v>
      </c>
      <c r="G353" t="str">
        <f>_xlfn.XLOOKUP(E353,Table8[City],Table8[Region])</f>
        <v>South</v>
      </c>
      <c r="H353" t="s">
        <v>18</v>
      </c>
      <c r="I353" t="str">
        <f>_xlfn.XLOOKUP(H353,Table6[Product],Table6[Category])</f>
        <v>Electronics</v>
      </c>
      <c r="J353" t="s">
        <v>60</v>
      </c>
      <c r="K353">
        <v>3</v>
      </c>
      <c r="L353">
        <f>_xlfn.XLOOKUP(H353,Table6[Product],Table6[Unit Price])</f>
        <v>35000</v>
      </c>
      <c r="M353">
        <f>_xlfn.XLOOKUP(H353,Table6[Product],Table6[Cost Price])</f>
        <v>28000</v>
      </c>
      <c r="N353" s="7">
        <v>0.26</v>
      </c>
      <c r="O353">
        <f t="shared" si="15"/>
        <v>77700</v>
      </c>
      <c r="P353">
        <f t="shared" si="16"/>
        <v>84000</v>
      </c>
      <c r="Q353">
        <f t="shared" si="17"/>
        <v>-6300</v>
      </c>
      <c r="R353" t="s">
        <v>44</v>
      </c>
      <c r="S353" t="s">
        <v>52</v>
      </c>
    </row>
    <row r="354" spans="1:19" ht="18" x14ac:dyDescent="0.5">
      <c r="A354" t="s">
        <v>424</v>
      </c>
      <c r="B354" t="s">
        <v>1423</v>
      </c>
      <c r="C354" s="6">
        <v>45871</v>
      </c>
      <c r="D354" t="s">
        <v>69</v>
      </c>
      <c r="E354" t="s">
        <v>2106</v>
      </c>
      <c r="F354" t="str">
        <f>_xlfn.XLOOKUP(E354,Table8[City],Table8[State])</f>
        <v>West Bengal</v>
      </c>
      <c r="G354" t="str">
        <f>_xlfn.XLOOKUP(E354,Table8[City],Table8[Region])</f>
        <v>East</v>
      </c>
      <c r="H354" t="s">
        <v>20</v>
      </c>
      <c r="I354" t="str">
        <f>_xlfn.XLOOKUP(H354,Table6[Product],Table6[Category])</f>
        <v>Accessories</v>
      </c>
      <c r="J354" t="s">
        <v>62</v>
      </c>
      <c r="K354">
        <v>7</v>
      </c>
      <c r="L354">
        <f>_xlfn.XLOOKUP(H354,Table6[Product],Table6[Unit Price])</f>
        <v>3000</v>
      </c>
      <c r="M354">
        <f>_xlfn.XLOOKUP(H354,Table6[Product],Table6[Cost Price])</f>
        <v>1800</v>
      </c>
      <c r="N354" s="7">
        <v>0.28999999999999998</v>
      </c>
      <c r="O354">
        <f t="shared" si="15"/>
        <v>14910</v>
      </c>
      <c r="P354">
        <f t="shared" si="16"/>
        <v>12600</v>
      </c>
      <c r="Q354">
        <f t="shared" si="17"/>
        <v>2310</v>
      </c>
      <c r="R354" t="s">
        <v>46</v>
      </c>
      <c r="S354" t="s">
        <v>52</v>
      </c>
    </row>
    <row r="355" spans="1:19" ht="18" x14ac:dyDescent="0.5">
      <c r="A355" t="s">
        <v>425</v>
      </c>
      <c r="B355" t="s">
        <v>1424</v>
      </c>
      <c r="C355" s="6">
        <v>45635</v>
      </c>
      <c r="D355" t="s">
        <v>2092</v>
      </c>
      <c r="E355" t="s">
        <v>2074</v>
      </c>
      <c r="F355" t="str">
        <f>_xlfn.XLOOKUP(E355,Table8[City],Table8[State])</f>
        <v>Maharashtra</v>
      </c>
      <c r="G355" t="str">
        <f>_xlfn.XLOOKUP(E355,Table8[City],Table8[Region])</f>
        <v>West</v>
      </c>
      <c r="H355" t="s">
        <v>24</v>
      </c>
      <c r="I355" t="str">
        <f>_xlfn.XLOOKUP(H355,Table6[Product],Table6[Category])</f>
        <v>Accessories</v>
      </c>
      <c r="J355" t="s">
        <v>60</v>
      </c>
      <c r="K355">
        <v>4</v>
      </c>
      <c r="L355">
        <f>_xlfn.XLOOKUP(H355,Table6[Product],Table6[Unit Price])</f>
        <v>1500</v>
      </c>
      <c r="M355">
        <f>_xlfn.XLOOKUP(H355,Table6[Product],Table6[Cost Price])</f>
        <v>900</v>
      </c>
      <c r="N355" s="7">
        <v>0.1</v>
      </c>
      <c r="O355">
        <f t="shared" si="15"/>
        <v>5400</v>
      </c>
      <c r="P355">
        <f t="shared" si="16"/>
        <v>3600</v>
      </c>
      <c r="Q355">
        <f t="shared" si="17"/>
        <v>1800</v>
      </c>
      <c r="R355" t="s">
        <v>47</v>
      </c>
      <c r="S355" t="s">
        <v>50</v>
      </c>
    </row>
    <row r="356" spans="1:19" ht="18" x14ac:dyDescent="0.5">
      <c r="A356" t="s">
        <v>426</v>
      </c>
      <c r="B356" t="s">
        <v>1425</v>
      </c>
      <c r="C356" s="6">
        <v>45593</v>
      </c>
      <c r="D356" t="s">
        <v>2091</v>
      </c>
      <c r="E356" t="s">
        <v>2076</v>
      </c>
      <c r="F356" t="str">
        <f>_xlfn.XLOOKUP(E356,Table8[City],Table8[State])</f>
        <v>Tamil Nadu</v>
      </c>
      <c r="G356" t="str">
        <f>_xlfn.XLOOKUP(E356,Table8[City],Table8[Region])</f>
        <v>South</v>
      </c>
      <c r="H356" t="s">
        <v>20</v>
      </c>
      <c r="I356" t="str">
        <f>_xlfn.XLOOKUP(H356,Table6[Product],Table6[Category])</f>
        <v>Accessories</v>
      </c>
      <c r="J356" t="s">
        <v>55</v>
      </c>
      <c r="K356">
        <v>9</v>
      </c>
      <c r="L356">
        <f>_xlfn.XLOOKUP(H356,Table6[Product],Table6[Unit Price])</f>
        <v>3000</v>
      </c>
      <c r="M356">
        <f>_xlfn.XLOOKUP(H356,Table6[Product],Table6[Cost Price])</f>
        <v>1800</v>
      </c>
      <c r="N356" s="7">
        <v>0</v>
      </c>
      <c r="O356">
        <f t="shared" si="15"/>
        <v>27000</v>
      </c>
      <c r="P356">
        <f t="shared" si="16"/>
        <v>16200</v>
      </c>
      <c r="Q356">
        <f t="shared" si="17"/>
        <v>10800</v>
      </c>
      <c r="R356" t="s">
        <v>44</v>
      </c>
      <c r="S356" t="s">
        <v>49</v>
      </c>
    </row>
    <row r="357" spans="1:19" ht="18" x14ac:dyDescent="0.5">
      <c r="A357" t="s">
        <v>427</v>
      </c>
      <c r="B357" t="s">
        <v>1426</v>
      </c>
      <c r="C357" s="6">
        <v>45519</v>
      </c>
      <c r="D357" t="s">
        <v>2086</v>
      </c>
      <c r="E357" t="s">
        <v>2074</v>
      </c>
      <c r="F357" t="str">
        <f>_xlfn.XLOOKUP(E357,Table8[City],Table8[State])</f>
        <v>Maharashtra</v>
      </c>
      <c r="G357" t="str">
        <f>_xlfn.XLOOKUP(E357,Table8[City],Table8[Region])</f>
        <v>West</v>
      </c>
      <c r="H357" t="s">
        <v>20</v>
      </c>
      <c r="I357" t="str">
        <f>_xlfn.XLOOKUP(H357,Table6[Product],Table6[Category])</f>
        <v>Accessories</v>
      </c>
      <c r="J357" t="s">
        <v>56</v>
      </c>
      <c r="K357">
        <v>9</v>
      </c>
      <c r="L357">
        <f>_xlfn.XLOOKUP(H357,Table6[Product],Table6[Unit Price])</f>
        <v>3000</v>
      </c>
      <c r="M357">
        <f>_xlfn.XLOOKUP(H357,Table6[Product],Table6[Cost Price])</f>
        <v>1800</v>
      </c>
      <c r="N357" s="7">
        <v>0.04</v>
      </c>
      <c r="O357">
        <f t="shared" si="15"/>
        <v>25920</v>
      </c>
      <c r="P357">
        <f t="shared" si="16"/>
        <v>16200</v>
      </c>
      <c r="Q357">
        <f t="shared" si="17"/>
        <v>9720</v>
      </c>
      <c r="R357" t="s">
        <v>43</v>
      </c>
      <c r="S357" t="s">
        <v>51</v>
      </c>
    </row>
    <row r="358" spans="1:19" ht="18" x14ac:dyDescent="0.5">
      <c r="A358" t="s">
        <v>428</v>
      </c>
      <c r="B358" t="s">
        <v>1427</v>
      </c>
      <c r="C358" s="6">
        <v>45628</v>
      </c>
      <c r="D358" t="s">
        <v>2097</v>
      </c>
      <c r="E358" t="s">
        <v>2076</v>
      </c>
      <c r="F358" t="str">
        <f>_xlfn.XLOOKUP(E358,Table8[City],Table8[State])</f>
        <v>Tamil Nadu</v>
      </c>
      <c r="G358" t="str">
        <f>_xlfn.XLOOKUP(E358,Table8[City],Table8[Region])</f>
        <v>South</v>
      </c>
      <c r="H358" t="s">
        <v>25</v>
      </c>
      <c r="I358" t="str">
        <f>_xlfn.XLOOKUP(H358,Table6[Product],Table6[Category])</f>
        <v>Accessories</v>
      </c>
      <c r="J358" t="s">
        <v>56</v>
      </c>
      <c r="K358">
        <v>9</v>
      </c>
      <c r="L358">
        <f>_xlfn.XLOOKUP(H358,Table6[Product],Table6[Unit Price])</f>
        <v>800</v>
      </c>
      <c r="M358">
        <f>_xlfn.XLOOKUP(H358,Table6[Product],Table6[Cost Price])</f>
        <v>450</v>
      </c>
      <c r="N358" s="7">
        <v>0.01</v>
      </c>
      <c r="O358">
        <f t="shared" si="15"/>
        <v>7128</v>
      </c>
      <c r="P358">
        <f t="shared" si="16"/>
        <v>4050</v>
      </c>
      <c r="Q358">
        <f t="shared" si="17"/>
        <v>3078</v>
      </c>
      <c r="R358" t="s">
        <v>47</v>
      </c>
      <c r="S358" t="s">
        <v>52</v>
      </c>
    </row>
    <row r="359" spans="1:19" ht="18" x14ac:dyDescent="0.5">
      <c r="A359" t="s">
        <v>429</v>
      </c>
      <c r="B359" t="s">
        <v>1428</v>
      </c>
      <c r="C359" s="6">
        <v>46009</v>
      </c>
      <c r="D359" t="s">
        <v>2085</v>
      </c>
      <c r="E359" t="s">
        <v>2106</v>
      </c>
      <c r="F359" t="str">
        <f>_xlfn.XLOOKUP(E359,Table8[City],Table8[State])</f>
        <v>West Bengal</v>
      </c>
      <c r="G359" t="str">
        <f>_xlfn.XLOOKUP(E359,Table8[City],Table8[Region])</f>
        <v>East</v>
      </c>
      <c r="H359" t="s">
        <v>29</v>
      </c>
      <c r="I359" t="str">
        <f>_xlfn.XLOOKUP(H359,Table6[Product],Table6[Category])</f>
        <v>Electronics</v>
      </c>
      <c r="J359" t="s">
        <v>61</v>
      </c>
      <c r="K359">
        <v>5</v>
      </c>
      <c r="L359">
        <f>_xlfn.XLOOKUP(H359,Table6[Product],Table6[Unit Price])</f>
        <v>5000</v>
      </c>
      <c r="M359">
        <f>_xlfn.XLOOKUP(H359,Table6[Product],Table6[Cost Price])</f>
        <v>3200</v>
      </c>
      <c r="N359" s="7">
        <v>0.27</v>
      </c>
      <c r="O359">
        <f t="shared" si="15"/>
        <v>18250</v>
      </c>
      <c r="P359">
        <f t="shared" si="16"/>
        <v>16000</v>
      </c>
      <c r="Q359">
        <f t="shared" si="17"/>
        <v>2250</v>
      </c>
      <c r="R359" t="s">
        <v>45</v>
      </c>
      <c r="S359" t="s">
        <v>50</v>
      </c>
    </row>
    <row r="360" spans="1:19" ht="18" x14ac:dyDescent="0.5">
      <c r="A360" t="s">
        <v>430</v>
      </c>
      <c r="B360" t="s">
        <v>1429</v>
      </c>
      <c r="C360" s="6">
        <v>45796</v>
      </c>
      <c r="D360" t="s">
        <v>2098</v>
      </c>
      <c r="E360" t="s">
        <v>2073</v>
      </c>
      <c r="F360" t="str">
        <f>_xlfn.XLOOKUP(E360,Table8[City],Table8[State])</f>
        <v>Maharashtra</v>
      </c>
      <c r="G360" t="str">
        <f>_xlfn.XLOOKUP(E360,Table8[City],Table8[Region])</f>
        <v>West</v>
      </c>
      <c r="H360" t="s">
        <v>16</v>
      </c>
      <c r="I360" t="str">
        <f>_xlfn.XLOOKUP(H360,Table6[Product],Table6[Category])</f>
        <v>Electronics</v>
      </c>
      <c r="J360" t="s">
        <v>55</v>
      </c>
      <c r="K360">
        <v>7</v>
      </c>
      <c r="L360">
        <f>_xlfn.XLOOKUP(H360,Table6[Product],Table6[Unit Price])</f>
        <v>65000</v>
      </c>
      <c r="M360">
        <f>_xlfn.XLOOKUP(H360,Table6[Product],Table6[Cost Price])</f>
        <v>52000</v>
      </c>
      <c r="N360" s="7">
        <v>0</v>
      </c>
      <c r="O360">
        <f t="shared" si="15"/>
        <v>455000</v>
      </c>
      <c r="P360">
        <f t="shared" si="16"/>
        <v>364000</v>
      </c>
      <c r="Q360">
        <f t="shared" si="17"/>
        <v>91000</v>
      </c>
      <c r="R360" t="s">
        <v>45</v>
      </c>
      <c r="S360" t="s">
        <v>50</v>
      </c>
    </row>
    <row r="361" spans="1:19" ht="18" x14ac:dyDescent="0.5">
      <c r="A361" t="s">
        <v>431</v>
      </c>
      <c r="B361" t="s">
        <v>1430</v>
      </c>
      <c r="C361" s="6">
        <v>45355</v>
      </c>
      <c r="D361" t="s">
        <v>2092</v>
      </c>
      <c r="E361" t="s">
        <v>2079</v>
      </c>
      <c r="F361" t="str">
        <f>_xlfn.XLOOKUP(E361,Table8[City],Table8[State])</f>
        <v>Gujarat</v>
      </c>
      <c r="G361" t="str">
        <f>_xlfn.XLOOKUP(E361,Table8[City],Table8[Region])</f>
        <v>West</v>
      </c>
      <c r="H361" t="s">
        <v>29</v>
      </c>
      <c r="I361" t="str">
        <f>_xlfn.XLOOKUP(H361,Table6[Product],Table6[Category])</f>
        <v>Electronics</v>
      </c>
      <c r="J361" t="s">
        <v>55</v>
      </c>
      <c r="K361">
        <v>7</v>
      </c>
      <c r="L361">
        <f>_xlfn.XLOOKUP(H361,Table6[Product],Table6[Unit Price])</f>
        <v>5000</v>
      </c>
      <c r="M361">
        <f>_xlfn.XLOOKUP(H361,Table6[Product],Table6[Cost Price])</f>
        <v>3200</v>
      </c>
      <c r="N361" s="7">
        <v>0.15</v>
      </c>
      <c r="O361">
        <f t="shared" si="15"/>
        <v>29750</v>
      </c>
      <c r="P361">
        <f t="shared" si="16"/>
        <v>22400</v>
      </c>
      <c r="Q361">
        <f t="shared" si="17"/>
        <v>7350</v>
      </c>
      <c r="R361" t="s">
        <v>47</v>
      </c>
      <c r="S361" t="s">
        <v>52</v>
      </c>
    </row>
    <row r="362" spans="1:19" ht="18" x14ac:dyDescent="0.5">
      <c r="A362" t="s">
        <v>432</v>
      </c>
      <c r="B362" t="s">
        <v>1431</v>
      </c>
      <c r="C362" s="6">
        <v>45674</v>
      </c>
      <c r="D362" t="s">
        <v>2096</v>
      </c>
      <c r="E362" t="s">
        <v>2076</v>
      </c>
      <c r="F362" t="str">
        <f>_xlfn.XLOOKUP(E362,Table8[City],Table8[State])</f>
        <v>Tamil Nadu</v>
      </c>
      <c r="G362" t="str">
        <f>_xlfn.XLOOKUP(E362,Table8[City],Table8[Region])</f>
        <v>South</v>
      </c>
      <c r="H362" t="s">
        <v>28</v>
      </c>
      <c r="I362" t="str">
        <f>_xlfn.XLOOKUP(H362,Table6[Product],Table6[Category])</f>
        <v>Office</v>
      </c>
      <c r="J362" t="s">
        <v>57</v>
      </c>
      <c r="K362">
        <v>1</v>
      </c>
      <c r="L362">
        <f>_xlfn.XLOOKUP(H362,Table6[Product],Table6[Unit Price])</f>
        <v>18000</v>
      </c>
      <c r="M362">
        <f>_xlfn.XLOOKUP(H362,Table6[Product],Table6[Cost Price])</f>
        <v>14000</v>
      </c>
      <c r="N362" s="7">
        <v>7.0000000000000007E-2</v>
      </c>
      <c r="O362">
        <f t="shared" si="15"/>
        <v>16740</v>
      </c>
      <c r="P362">
        <f t="shared" si="16"/>
        <v>14000</v>
      </c>
      <c r="Q362">
        <f t="shared" si="17"/>
        <v>2740</v>
      </c>
      <c r="R362" t="s">
        <v>45</v>
      </c>
      <c r="S362" t="s">
        <v>50</v>
      </c>
    </row>
    <row r="363" spans="1:19" ht="18" x14ac:dyDescent="0.5">
      <c r="A363" t="s">
        <v>433</v>
      </c>
      <c r="B363" t="s">
        <v>1432</v>
      </c>
      <c r="C363" s="6">
        <v>45415</v>
      </c>
      <c r="D363" t="s">
        <v>2087</v>
      </c>
      <c r="E363" t="s">
        <v>2106</v>
      </c>
      <c r="F363" t="str">
        <f>_xlfn.XLOOKUP(E363,Table8[City],Table8[State])</f>
        <v>West Bengal</v>
      </c>
      <c r="G363" t="str">
        <f>_xlfn.XLOOKUP(E363,Table8[City],Table8[Region])</f>
        <v>East</v>
      </c>
      <c r="H363" t="s">
        <v>18</v>
      </c>
      <c r="I363" t="str">
        <f>_xlfn.XLOOKUP(H363,Table6[Product],Table6[Category])</f>
        <v>Electronics</v>
      </c>
      <c r="J363" t="s">
        <v>60</v>
      </c>
      <c r="K363">
        <v>2</v>
      </c>
      <c r="L363">
        <f>_xlfn.XLOOKUP(H363,Table6[Product],Table6[Unit Price])</f>
        <v>35000</v>
      </c>
      <c r="M363">
        <f>_xlfn.XLOOKUP(H363,Table6[Product],Table6[Cost Price])</f>
        <v>28000</v>
      </c>
      <c r="N363" s="7">
        <v>0</v>
      </c>
      <c r="O363">
        <f t="shared" si="15"/>
        <v>70000</v>
      </c>
      <c r="P363">
        <f t="shared" si="16"/>
        <v>56000</v>
      </c>
      <c r="Q363">
        <f t="shared" si="17"/>
        <v>14000</v>
      </c>
      <c r="R363" t="s">
        <v>45</v>
      </c>
      <c r="S363" t="s">
        <v>51</v>
      </c>
    </row>
    <row r="364" spans="1:19" ht="18" x14ac:dyDescent="0.5">
      <c r="A364" t="s">
        <v>434</v>
      </c>
      <c r="B364" t="s">
        <v>1433</v>
      </c>
      <c r="C364" s="6">
        <v>45595</v>
      </c>
      <c r="D364" t="s">
        <v>2093</v>
      </c>
      <c r="E364" t="s">
        <v>2078</v>
      </c>
      <c r="F364" t="str">
        <f>_xlfn.XLOOKUP(E364,Table8[City],Table8[State])</f>
        <v>Telangana</v>
      </c>
      <c r="G364" t="str">
        <f>_xlfn.XLOOKUP(E364,Table8[City],Table8[Region])</f>
        <v>South</v>
      </c>
      <c r="H364" t="s">
        <v>22</v>
      </c>
      <c r="I364" t="str">
        <f>_xlfn.XLOOKUP(H364,Table6[Product],Table6[Category])</f>
        <v>Wearables</v>
      </c>
      <c r="J364" t="s">
        <v>55</v>
      </c>
      <c r="K364">
        <v>10</v>
      </c>
      <c r="L364">
        <f>_xlfn.XLOOKUP(H364,Table6[Product],Table6[Unit Price])</f>
        <v>12000</v>
      </c>
      <c r="M364">
        <f>_xlfn.XLOOKUP(H364,Table6[Product],Table6[Cost Price])</f>
        <v>8500</v>
      </c>
      <c r="N364" s="7">
        <v>0.26</v>
      </c>
      <c r="O364">
        <f t="shared" si="15"/>
        <v>88800</v>
      </c>
      <c r="P364">
        <f t="shared" si="16"/>
        <v>85000</v>
      </c>
      <c r="Q364">
        <f t="shared" si="17"/>
        <v>3800</v>
      </c>
      <c r="R364" t="s">
        <v>44</v>
      </c>
      <c r="S364" t="s">
        <v>50</v>
      </c>
    </row>
    <row r="365" spans="1:19" ht="18" x14ac:dyDescent="0.5">
      <c r="A365" t="s">
        <v>435</v>
      </c>
      <c r="B365" t="s">
        <v>1434</v>
      </c>
      <c r="C365" s="6">
        <v>45656</v>
      </c>
      <c r="D365" t="s">
        <v>2097</v>
      </c>
      <c r="E365" t="s">
        <v>2078</v>
      </c>
      <c r="F365" t="str">
        <f>_xlfn.XLOOKUP(E365,Table8[City],Table8[State])</f>
        <v>Telangana</v>
      </c>
      <c r="G365" t="str">
        <f>_xlfn.XLOOKUP(E365,Table8[City],Table8[Region])</f>
        <v>South</v>
      </c>
      <c r="H365" t="s">
        <v>29</v>
      </c>
      <c r="I365" t="str">
        <f>_xlfn.XLOOKUP(H365,Table6[Product],Table6[Category])</f>
        <v>Electronics</v>
      </c>
      <c r="J365" t="s">
        <v>63</v>
      </c>
      <c r="K365">
        <v>1</v>
      </c>
      <c r="L365">
        <f>_xlfn.XLOOKUP(H365,Table6[Product],Table6[Unit Price])</f>
        <v>5000</v>
      </c>
      <c r="M365">
        <f>_xlfn.XLOOKUP(H365,Table6[Product],Table6[Cost Price])</f>
        <v>3200</v>
      </c>
      <c r="N365" s="7">
        <v>0.26</v>
      </c>
      <c r="O365">
        <f t="shared" si="15"/>
        <v>3700</v>
      </c>
      <c r="P365">
        <f t="shared" si="16"/>
        <v>3200</v>
      </c>
      <c r="Q365">
        <f t="shared" si="17"/>
        <v>500</v>
      </c>
      <c r="R365" t="s">
        <v>43</v>
      </c>
      <c r="S365" t="s">
        <v>50</v>
      </c>
    </row>
    <row r="366" spans="1:19" ht="18" x14ac:dyDescent="0.5">
      <c r="A366" t="s">
        <v>436</v>
      </c>
      <c r="B366" t="s">
        <v>1435</v>
      </c>
      <c r="C366" s="6">
        <v>46019</v>
      </c>
      <c r="D366" t="s">
        <v>2089</v>
      </c>
      <c r="E366" t="s">
        <v>2073</v>
      </c>
      <c r="F366" t="str">
        <f>_xlfn.XLOOKUP(E366,Table8[City],Table8[State])</f>
        <v>Maharashtra</v>
      </c>
      <c r="G366" t="str">
        <f>_xlfn.XLOOKUP(E366,Table8[City],Table8[Region])</f>
        <v>West</v>
      </c>
      <c r="H366" t="s">
        <v>28</v>
      </c>
      <c r="I366" t="str">
        <f>_xlfn.XLOOKUP(H366,Table6[Product],Table6[Category])</f>
        <v>Office</v>
      </c>
      <c r="J366" t="s">
        <v>62</v>
      </c>
      <c r="K366">
        <v>6</v>
      </c>
      <c r="L366">
        <f>_xlfn.XLOOKUP(H366,Table6[Product],Table6[Unit Price])</f>
        <v>18000</v>
      </c>
      <c r="M366">
        <f>_xlfn.XLOOKUP(H366,Table6[Product],Table6[Cost Price])</f>
        <v>14000</v>
      </c>
      <c r="N366" s="7">
        <v>0.12</v>
      </c>
      <c r="O366">
        <f t="shared" si="15"/>
        <v>95040</v>
      </c>
      <c r="P366">
        <f t="shared" si="16"/>
        <v>84000</v>
      </c>
      <c r="Q366">
        <f t="shared" si="17"/>
        <v>11040</v>
      </c>
      <c r="R366" t="s">
        <v>46</v>
      </c>
      <c r="S366" t="s">
        <v>51</v>
      </c>
    </row>
    <row r="367" spans="1:19" ht="18" x14ac:dyDescent="0.5">
      <c r="A367" t="s">
        <v>437</v>
      </c>
      <c r="B367" t="s">
        <v>1436</v>
      </c>
      <c r="C367" s="6">
        <v>45394</v>
      </c>
      <c r="D367" t="s">
        <v>2089</v>
      </c>
      <c r="E367" t="s">
        <v>2078</v>
      </c>
      <c r="F367" t="str">
        <f>_xlfn.XLOOKUP(E367,Table8[City],Table8[State])</f>
        <v>Telangana</v>
      </c>
      <c r="G367" t="str">
        <f>_xlfn.XLOOKUP(E367,Table8[City],Table8[Region])</f>
        <v>South</v>
      </c>
      <c r="H367" t="s">
        <v>19</v>
      </c>
      <c r="I367" t="str">
        <f>_xlfn.XLOOKUP(H367,Table6[Product],Table6[Category])</f>
        <v>Electronics</v>
      </c>
      <c r="J367" t="s">
        <v>56</v>
      </c>
      <c r="K367">
        <v>8</v>
      </c>
      <c r="L367">
        <f>_xlfn.XLOOKUP(H367,Table6[Product],Table6[Unit Price])</f>
        <v>25000</v>
      </c>
      <c r="M367">
        <f>_xlfn.XLOOKUP(H367,Table6[Product],Table6[Cost Price])</f>
        <v>20000</v>
      </c>
      <c r="N367" s="7">
        <v>0.05</v>
      </c>
      <c r="O367">
        <f t="shared" si="15"/>
        <v>190000</v>
      </c>
      <c r="P367">
        <f t="shared" si="16"/>
        <v>160000</v>
      </c>
      <c r="Q367">
        <f t="shared" si="17"/>
        <v>30000</v>
      </c>
      <c r="R367" t="s">
        <v>44</v>
      </c>
      <c r="S367" t="s">
        <v>49</v>
      </c>
    </row>
    <row r="368" spans="1:19" ht="18" x14ac:dyDescent="0.5">
      <c r="A368" t="s">
        <v>438</v>
      </c>
      <c r="B368" t="s">
        <v>1437</v>
      </c>
      <c r="C368" s="6">
        <v>45347</v>
      </c>
      <c r="D368" t="s">
        <v>69</v>
      </c>
      <c r="E368" t="s">
        <v>2077</v>
      </c>
      <c r="F368" t="str">
        <f>_xlfn.XLOOKUP(E368,Table8[City],Table8[State])</f>
        <v>Telangana</v>
      </c>
      <c r="G368" t="str">
        <f>_xlfn.XLOOKUP(E368,Table8[City],Table8[Region])</f>
        <v>South</v>
      </c>
      <c r="H368" t="s">
        <v>18</v>
      </c>
      <c r="I368" t="str">
        <f>_xlfn.XLOOKUP(H368,Table6[Product],Table6[Category])</f>
        <v>Electronics</v>
      </c>
      <c r="J368" t="s">
        <v>61</v>
      </c>
      <c r="K368">
        <v>2</v>
      </c>
      <c r="L368">
        <f>_xlfn.XLOOKUP(H368,Table6[Product],Table6[Unit Price])</f>
        <v>35000</v>
      </c>
      <c r="M368">
        <f>_xlfn.XLOOKUP(H368,Table6[Product],Table6[Cost Price])</f>
        <v>28000</v>
      </c>
      <c r="N368" s="7">
        <v>0.2</v>
      </c>
      <c r="O368">
        <f t="shared" si="15"/>
        <v>56000</v>
      </c>
      <c r="P368">
        <f t="shared" si="16"/>
        <v>56000</v>
      </c>
      <c r="Q368">
        <f t="shared" si="17"/>
        <v>0</v>
      </c>
      <c r="R368" t="s">
        <v>45</v>
      </c>
      <c r="S368" t="s">
        <v>49</v>
      </c>
    </row>
    <row r="369" spans="1:19" ht="18" x14ac:dyDescent="0.5">
      <c r="A369" t="s">
        <v>439</v>
      </c>
      <c r="B369" t="s">
        <v>1438</v>
      </c>
      <c r="C369" s="6">
        <v>45555</v>
      </c>
      <c r="D369" t="s">
        <v>2084</v>
      </c>
      <c r="E369" t="s">
        <v>2080</v>
      </c>
      <c r="F369" t="str">
        <f>_xlfn.XLOOKUP(E369,Table8[City],Table8[State])</f>
        <v>Gujarat</v>
      </c>
      <c r="G369" t="str">
        <f>_xlfn.XLOOKUP(E369,Table8[City],Table8[Region])</f>
        <v>West</v>
      </c>
      <c r="H369" t="s">
        <v>29</v>
      </c>
      <c r="I369" t="str">
        <f>_xlfn.XLOOKUP(H369,Table6[Product],Table6[Category])</f>
        <v>Electronics</v>
      </c>
      <c r="J369" t="s">
        <v>54</v>
      </c>
      <c r="K369">
        <v>10</v>
      </c>
      <c r="L369">
        <f>_xlfn.XLOOKUP(H369,Table6[Product],Table6[Unit Price])</f>
        <v>5000</v>
      </c>
      <c r="M369">
        <f>_xlfn.XLOOKUP(H369,Table6[Product],Table6[Cost Price])</f>
        <v>3200</v>
      </c>
      <c r="N369" s="7">
        <v>0.28999999999999998</v>
      </c>
      <c r="O369">
        <f t="shared" si="15"/>
        <v>35500</v>
      </c>
      <c r="P369">
        <f t="shared" si="16"/>
        <v>32000</v>
      </c>
      <c r="Q369">
        <f t="shared" si="17"/>
        <v>3500</v>
      </c>
      <c r="R369" t="s">
        <v>45</v>
      </c>
      <c r="S369" t="s">
        <v>52</v>
      </c>
    </row>
    <row r="370" spans="1:19" ht="18" x14ac:dyDescent="0.5">
      <c r="A370" t="s">
        <v>440</v>
      </c>
      <c r="B370" t="s">
        <v>1439</v>
      </c>
      <c r="C370" s="6">
        <v>45733</v>
      </c>
      <c r="D370" t="s">
        <v>2096</v>
      </c>
      <c r="E370" t="s">
        <v>2079</v>
      </c>
      <c r="F370" t="str">
        <f>_xlfn.XLOOKUP(E370,Table8[City],Table8[State])</f>
        <v>Gujarat</v>
      </c>
      <c r="G370" t="str">
        <f>_xlfn.XLOOKUP(E370,Table8[City],Table8[Region])</f>
        <v>West</v>
      </c>
      <c r="H370" t="s">
        <v>22</v>
      </c>
      <c r="I370" t="str">
        <f>_xlfn.XLOOKUP(H370,Table6[Product],Table6[Category])</f>
        <v>Wearables</v>
      </c>
      <c r="J370" t="s">
        <v>62</v>
      </c>
      <c r="K370">
        <v>3</v>
      </c>
      <c r="L370">
        <f>_xlfn.XLOOKUP(H370,Table6[Product],Table6[Unit Price])</f>
        <v>12000</v>
      </c>
      <c r="M370">
        <f>_xlfn.XLOOKUP(H370,Table6[Product],Table6[Cost Price])</f>
        <v>8500</v>
      </c>
      <c r="N370" s="7">
        <v>0.02</v>
      </c>
      <c r="O370">
        <f t="shared" si="15"/>
        <v>35280</v>
      </c>
      <c r="P370">
        <f t="shared" si="16"/>
        <v>25500</v>
      </c>
      <c r="Q370">
        <f t="shared" si="17"/>
        <v>9780</v>
      </c>
      <c r="R370" t="s">
        <v>45</v>
      </c>
      <c r="S370" t="s">
        <v>50</v>
      </c>
    </row>
    <row r="371" spans="1:19" ht="18" x14ac:dyDescent="0.5">
      <c r="A371" t="s">
        <v>441</v>
      </c>
      <c r="B371" t="s">
        <v>1440</v>
      </c>
      <c r="C371" s="6">
        <v>45293</v>
      </c>
      <c r="D371" t="s">
        <v>2084</v>
      </c>
      <c r="E371" t="s">
        <v>2072</v>
      </c>
      <c r="F371" t="str">
        <f>_xlfn.XLOOKUP(E371,Table8[City],Table8[State])</f>
        <v>Karnataka</v>
      </c>
      <c r="G371" t="str">
        <f>_xlfn.XLOOKUP(E371,Table8[City],Table8[Region])</f>
        <v>South</v>
      </c>
      <c r="H371" t="s">
        <v>24</v>
      </c>
      <c r="I371" t="str">
        <f>_xlfn.XLOOKUP(H371,Table6[Product],Table6[Category])</f>
        <v>Accessories</v>
      </c>
      <c r="J371" t="s">
        <v>54</v>
      </c>
      <c r="K371">
        <v>10</v>
      </c>
      <c r="L371">
        <f>_xlfn.XLOOKUP(H371,Table6[Product],Table6[Unit Price])</f>
        <v>1500</v>
      </c>
      <c r="M371">
        <f>_xlfn.XLOOKUP(H371,Table6[Product],Table6[Cost Price])</f>
        <v>900</v>
      </c>
      <c r="N371" s="7">
        <v>0.12</v>
      </c>
      <c r="O371">
        <f t="shared" si="15"/>
        <v>13200</v>
      </c>
      <c r="P371">
        <f t="shared" si="16"/>
        <v>9000</v>
      </c>
      <c r="Q371">
        <f t="shared" si="17"/>
        <v>4200</v>
      </c>
      <c r="R371" t="s">
        <v>46</v>
      </c>
      <c r="S371" t="s">
        <v>50</v>
      </c>
    </row>
    <row r="372" spans="1:19" ht="18" x14ac:dyDescent="0.5">
      <c r="A372" t="s">
        <v>442</v>
      </c>
      <c r="B372" t="s">
        <v>1441</v>
      </c>
      <c r="C372" s="6">
        <v>45450</v>
      </c>
      <c r="D372" t="s">
        <v>2099</v>
      </c>
      <c r="E372" t="s">
        <v>2076</v>
      </c>
      <c r="F372" t="str">
        <f>_xlfn.XLOOKUP(E372,Table8[City],Table8[State])</f>
        <v>Tamil Nadu</v>
      </c>
      <c r="G372" t="str">
        <f>_xlfn.XLOOKUP(E372,Table8[City],Table8[Region])</f>
        <v>South</v>
      </c>
      <c r="H372" t="s">
        <v>16</v>
      </c>
      <c r="I372" t="str">
        <f>_xlfn.XLOOKUP(H372,Table6[Product],Table6[Category])</f>
        <v>Electronics</v>
      </c>
      <c r="J372" t="s">
        <v>60</v>
      </c>
      <c r="K372">
        <v>5</v>
      </c>
      <c r="L372">
        <f>_xlfn.XLOOKUP(H372,Table6[Product],Table6[Unit Price])</f>
        <v>65000</v>
      </c>
      <c r="M372">
        <f>_xlfn.XLOOKUP(H372,Table6[Product],Table6[Cost Price])</f>
        <v>52000</v>
      </c>
      <c r="N372" s="7">
        <v>0.23</v>
      </c>
      <c r="O372">
        <f t="shared" si="15"/>
        <v>250250</v>
      </c>
      <c r="P372">
        <f t="shared" si="16"/>
        <v>260000</v>
      </c>
      <c r="Q372">
        <f t="shared" si="17"/>
        <v>-9750</v>
      </c>
      <c r="R372" t="s">
        <v>46</v>
      </c>
      <c r="S372" t="s">
        <v>52</v>
      </c>
    </row>
    <row r="373" spans="1:19" ht="18" x14ac:dyDescent="0.5">
      <c r="A373" t="s">
        <v>443</v>
      </c>
      <c r="B373" t="s">
        <v>1442</v>
      </c>
      <c r="C373" s="6">
        <v>45872</v>
      </c>
      <c r="D373" t="s">
        <v>2091</v>
      </c>
      <c r="E373" t="s">
        <v>2079</v>
      </c>
      <c r="F373" t="str">
        <f>_xlfn.XLOOKUP(E373,Table8[City],Table8[State])</f>
        <v>Gujarat</v>
      </c>
      <c r="G373" t="str">
        <f>_xlfn.XLOOKUP(E373,Table8[City],Table8[Region])</f>
        <v>West</v>
      </c>
      <c r="H373" t="s">
        <v>22</v>
      </c>
      <c r="I373" t="str">
        <f>_xlfn.XLOOKUP(H373,Table6[Product],Table6[Category])</f>
        <v>Wearables</v>
      </c>
      <c r="J373" t="s">
        <v>63</v>
      </c>
      <c r="K373">
        <v>8</v>
      </c>
      <c r="L373">
        <f>_xlfn.XLOOKUP(H373,Table6[Product],Table6[Unit Price])</f>
        <v>12000</v>
      </c>
      <c r="M373">
        <f>_xlfn.XLOOKUP(H373,Table6[Product],Table6[Cost Price])</f>
        <v>8500</v>
      </c>
      <c r="N373" s="7">
        <v>0.13</v>
      </c>
      <c r="O373">
        <f t="shared" si="15"/>
        <v>83520</v>
      </c>
      <c r="P373">
        <f t="shared" si="16"/>
        <v>68000</v>
      </c>
      <c r="Q373">
        <f t="shared" si="17"/>
        <v>15520</v>
      </c>
      <c r="R373" t="s">
        <v>46</v>
      </c>
      <c r="S373" t="s">
        <v>50</v>
      </c>
    </row>
    <row r="374" spans="1:19" ht="18" x14ac:dyDescent="0.5">
      <c r="A374" t="s">
        <v>444</v>
      </c>
      <c r="B374" t="s">
        <v>1443</v>
      </c>
      <c r="C374" s="6">
        <v>45730</v>
      </c>
      <c r="D374" t="s">
        <v>2094</v>
      </c>
      <c r="E374" t="s">
        <v>2073</v>
      </c>
      <c r="F374" t="str">
        <f>_xlfn.XLOOKUP(E374,Table8[City],Table8[State])</f>
        <v>Maharashtra</v>
      </c>
      <c r="G374" t="str">
        <f>_xlfn.XLOOKUP(E374,Table8[City],Table8[Region])</f>
        <v>West</v>
      </c>
      <c r="H374" t="s">
        <v>29</v>
      </c>
      <c r="I374" t="str">
        <f>_xlfn.XLOOKUP(H374,Table6[Product],Table6[Category])</f>
        <v>Electronics</v>
      </c>
      <c r="J374" t="s">
        <v>62</v>
      </c>
      <c r="K374">
        <v>6</v>
      </c>
      <c r="L374">
        <f>_xlfn.XLOOKUP(H374,Table6[Product],Table6[Unit Price])</f>
        <v>5000</v>
      </c>
      <c r="M374">
        <f>_xlfn.XLOOKUP(H374,Table6[Product],Table6[Cost Price])</f>
        <v>3200</v>
      </c>
      <c r="N374" s="7">
        <v>0.15</v>
      </c>
      <c r="O374">
        <f t="shared" si="15"/>
        <v>25500</v>
      </c>
      <c r="P374">
        <f t="shared" si="16"/>
        <v>19200</v>
      </c>
      <c r="Q374">
        <f t="shared" si="17"/>
        <v>6300</v>
      </c>
      <c r="R374" t="s">
        <v>44</v>
      </c>
      <c r="S374" t="s">
        <v>51</v>
      </c>
    </row>
    <row r="375" spans="1:19" ht="18" x14ac:dyDescent="0.5">
      <c r="A375" t="s">
        <v>445</v>
      </c>
      <c r="B375" t="s">
        <v>1444</v>
      </c>
      <c r="C375" s="6">
        <v>45499</v>
      </c>
      <c r="D375" t="s">
        <v>59</v>
      </c>
      <c r="E375" t="s">
        <v>2104</v>
      </c>
      <c r="F375" t="str">
        <f>_xlfn.XLOOKUP(E375,Table8[City],Table8[State])</f>
        <v>Delhi</v>
      </c>
      <c r="G375" t="str">
        <f>_xlfn.XLOOKUP(E375,Table8[City],Table8[Region])</f>
        <v>North</v>
      </c>
      <c r="H375" t="s">
        <v>20</v>
      </c>
      <c r="I375" t="str">
        <f>_xlfn.XLOOKUP(H375,Table6[Product],Table6[Category])</f>
        <v>Accessories</v>
      </c>
      <c r="J375" t="s">
        <v>61</v>
      </c>
      <c r="K375">
        <v>9</v>
      </c>
      <c r="L375">
        <f>_xlfn.XLOOKUP(H375,Table6[Product],Table6[Unit Price])</f>
        <v>3000</v>
      </c>
      <c r="M375">
        <f>_xlfn.XLOOKUP(H375,Table6[Product],Table6[Cost Price])</f>
        <v>1800</v>
      </c>
      <c r="N375" s="7">
        <v>0.17</v>
      </c>
      <c r="O375">
        <f t="shared" si="15"/>
        <v>22410</v>
      </c>
      <c r="P375">
        <f t="shared" si="16"/>
        <v>16200</v>
      </c>
      <c r="Q375">
        <f t="shared" si="17"/>
        <v>6210</v>
      </c>
      <c r="R375" t="s">
        <v>45</v>
      </c>
      <c r="S375" t="s">
        <v>51</v>
      </c>
    </row>
    <row r="376" spans="1:19" ht="18" x14ac:dyDescent="0.5">
      <c r="A376" t="s">
        <v>446</v>
      </c>
      <c r="B376" t="s">
        <v>1445</v>
      </c>
      <c r="C376" s="6">
        <v>45400</v>
      </c>
      <c r="D376" t="s">
        <v>2093</v>
      </c>
      <c r="E376" t="s">
        <v>2079</v>
      </c>
      <c r="F376" t="str">
        <f>_xlfn.XLOOKUP(E376,Table8[City],Table8[State])</f>
        <v>Gujarat</v>
      </c>
      <c r="G376" t="str">
        <f>_xlfn.XLOOKUP(E376,Table8[City],Table8[Region])</f>
        <v>West</v>
      </c>
      <c r="H376" t="s">
        <v>24</v>
      </c>
      <c r="I376" t="str">
        <f>_xlfn.XLOOKUP(H376,Table6[Product],Table6[Category])</f>
        <v>Accessories</v>
      </c>
      <c r="J376" t="s">
        <v>60</v>
      </c>
      <c r="K376">
        <v>4</v>
      </c>
      <c r="L376">
        <f>_xlfn.XLOOKUP(H376,Table6[Product],Table6[Unit Price])</f>
        <v>1500</v>
      </c>
      <c r="M376">
        <f>_xlfn.XLOOKUP(H376,Table6[Product],Table6[Cost Price])</f>
        <v>900</v>
      </c>
      <c r="N376" s="7">
        <v>0.17</v>
      </c>
      <c r="O376">
        <f t="shared" si="15"/>
        <v>4980</v>
      </c>
      <c r="P376">
        <f t="shared" si="16"/>
        <v>3600</v>
      </c>
      <c r="Q376">
        <f t="shared" si="17"/>
        <v>1380</v>
      </c>
      <c r="R376" t="s">
        <v>45</v>
      </c>
      <c r="S376" t="s">
        <v>49</v>
      </c>
    </row>
    <row r="377" spans="1:19" ht="18" x14ac:dyDescent="0.5">
      <c r="A377" t="s">
        <v>447</v>
      </c>
      <c r="B377" t="s">
        <v>1446</v>
      </c>
      <c r="C377" s="6">
        <v>45315</v>
      </c>
      <c r="D377" t="s">
        <v>2090</v>
      </c>
      <c r="E377" t="s">
        <v>2076</v>
      </c>
      <c r="F377" t="str">
        <f>_xlfn.XLOOKUP(E377,Table8[City],Table8[State])</f>
        <v>Tamil Nadu</v>
      </c>
      <c r="G377" t="str">
        <f>_xlfn.XLOOKUP(E377,Table8[City],Table8[Region])</f>
        <v>South</v>
      </c>
      <c r="H377" t="s">
        <v>16</v>
      </c>
      <c r="I377" t="str">
        <f>_xlfn.XLOOKUP(H377,Table6[Product],Table6[Category])</f>
        <v>Electronics</v>
      </c>
      <c r="J377" t="s">
        <v>55</v>
      </c>
      <c r="K377">
        <v>10</v>
      </c>
      <c r="L377">
        <f>_xlfn.XLOOKUP(H377,Table6[Product],Table6[Unit Price])</f>
        <v>65000</v>
      </c>
      <c r="M377">
        <f>_xlfn.XLOOKUP(H377,Table6[Product],Table6[Cost Price])</f>
        <v>52000</v>
      </c>
      <c r="N377" s="7">
        <v>0.18</v>
      </c>
      <c r="O377">
        <f t="shared" si="15"/>
        <v>533000</v>
      </c>
      <c r="P377">
        <f t="shared" si="16"/>
        <v>520000</v>
      </c>
      <c r="Q377">
        <f t="shared" si="17"/>
        <v>13000</v>
      </c>
      <c r="R377" t="s">
        <v>45</v>
      </c>
      <c r="S377" t="s">
        <v>52</v>
      </c>
    </row>
    <row r="378" spans="1:19" ht="18" x14ac:dyDescent="0.5">
      <c r="A378" t="s">
        <v>448</v>
      </c>
      <c r="B378" t="s">
        <v>1447</v>
      </c>
      <c r="C378" s="6">
        <v>45517</v>
      </c>
      <c r="D378" t="s">
        <v>2099</v>
      </c>
      <c r="E378" t="s">
        <v>2078</v>
      </c>
      <c r="F378" t="str">
        <f>_xlfn.XLOOKUP(E378,Table8[City],Table8[State])</f>
        <v>Telangana</v>
      </c>
      <c r="G378" t="str">
        <f>_xlfn.XLOOKUP(E378,Table8[City],Table8[Region])</f>
        <v>South</v>
      </c>
      <c r="H378" t="s">
        <v>29</v>
      </c>
      <c r="I378" t="str">
        <f>_xlfn.XLOOKUP(H378,Table6[Product],Table6[Category])</f>
        <v>Electronics</v>
      </c>
      <c r="J378" t="s">
        <v>62</v>
      </c>
      <c r="K378">
        <v>6</v>
      </c>
      <c r="L378">
        <f>_xlfn.XLOOKUP(H378,Table6[Product],Table6[Unit Price])</f>
        <v>5000</v>
      </c>
      <c r="M378">
        <f>_xlfn.XLOOKUP(H378,Table6[Product],Table6[Cost Price])</f>
        <v>3200</v>
      </c>
      <c r="N378" s="7">
        <v>0.09</v>
      </c>
      <c r="O378">
        <f t="shared" si="15"/>
        <v>27300</v>
      </c>
      <c r="P378">
        <f t="shared" si="16"/>
        <v>19200</v>
      </c>
      <c r="Q378">
        <f t="shared" si="17"/>
        <v>8100</v>
      </c>
      <c r="R378" t="s">
        <v>47</v>
      </c>
      <c r="S378" t="s">
        <v>49</v>
      </c>
    </row>
    <row r="379" spans="1:19" ht="18" x14ac:dyDescent="0.5">
      <c r="A379" t="s">
        <v>449</v>
      </c>
      <c r="B379" t="s">
        <v>1448</v>
      </c>
      <c r="C379" s="6">
        <v>45596</v>
      </c>
      <c r="D379" t="s">
        <v>2083</v>
      </c>
      <c r="E379" t="s">
        <v>2072</v>
      </c>
      <c r="F379" t="str">
        <f>_xlfn.XLOOKUP(E379,Table8[City],Table8[State])</f>
        <v>Karnataka</v>
      </c>
      <c r="G379" t="str">
        <f>_xlfn.XLOOKUP(E379,Table8[City],Table8[Region])</f>
        <v>South</v>
      </c>
      <c r="H379" t="s">
        <v>19</v>
      </c>
      <c r="I379" t="str">
        <f>_xlfn.XLOOKUP(H379,Table6[Product],Table6[Category])</f>
        <v>Electronics</v>
      </c>
      <c r="J379" t="s">
        <v>60</v>
      </c>
      <c r="K379">
        <v>10</v>
      </c>
      <c r="L379">
        <f>_xlfn.XLOOKUP(H379,Table6[Product],Table6[Unit Price])</f>
        <v>25000</v>
      </c>
      <c r="M379">
        <f>_xlfn.XLOOKUP(H379,Table6[Product],Table6[Cost Price])</f>
        <v>20000</v>
      </c>
      <c r="N379" s="7">
        <v>0.16</v>
      </c>
      <c r="O379">
        <f t="shared" si="15"/>
        <v>210000</v>
      </c>
      <c r="P379">
        <f t="shared" si="16"/>
        <v>200000</v>
      </c>
      <c r="Q379">
        <f t="shared" si="17"/>
        <v>10000</v>
      </c>
      <c r="R379" t="s">
        <v>46</v>
      </c>
      <c r="S379" t="s">
        <v>49</v>
      </c>
    </row>
    <row r="380" spans="1:19" ht="18" x14ac:dyDescent="0.5">
      <c r="A380" t="s">
        <v>450</v>
      </c>
      <c r="B380" t="s">
        <v>1449</v>
      </c>
      <c r="C380" s="6">
        <v>45518</v>
      </c>
      <c r="D380" t="s">
        <v>2092</v>
      </c>
      <c r="E380" t="s">
        <v>2072</v>
      </c>
      <c r="F380" t="str">
        <f>_xlfn.XLOOKUP(E380,Table8[City],Table8[State])</f>
        <v>Karnataka</v>
      </c>
      <c r="G380" t="str">
        <f>_xlfn.XLOOKUP(E380,Table8[City],Table8[Region])</f>
        <v>South</v>
      </c>
      <c r="H380" t="s">
        <v>26</v>
      </c>
      <c r="I380" t="str">
        <f>_xlfn.XLOOKUP(H380,Table6[Product],Table6[Category])</f>
        <v>Office</v>
      </c>
      <c r="J380" t="s">
        <v>61</v>
      </c>
      <c r="K380">
        <v>4</v>
      </c>
      <c r="L380">
        <f>_xlfn.XLOOKUP(H380,Table6[Product],Table6[Unit Price])</f>
        <v>15000</v>
      </c>
      <c r="M380">
        <f>_xlfn.XLOOKUP(H380,Table6[Product],Table6[Cost Price])</f>
        <v>11500</v>
      </c>
      <c r="N380" s="7">
        <v>0.22</v>
      </c>
      <c r="O380">
        <f t="shared" si="15"/>
        <v>46800</v>
      </c>
      <c r="P380">
        <f t="shared" si="16"/>
        <v>46000</v>
      </c>
      <c r="Q380">
        <f t="shared" si="17"/>
        <v>800</v>
      </c>
      <c r="R380" t="s">
        <v>43</v>
      </c>
      <c r="S380" t="s">
        <v>49</v>
      </c>
    </row>
    <row r="381" spans="1:19" ht="18" x14ac:dyDescent="0.5">
      <c r="A381" t="s">
        <v>451</v>
      </c>
      <c r="B381" t="s">
        <v>1450</v>
      </c>
      <c r="C381" s="6">
        <v>45654</v>
      </c>
      <c r="D381" t="s">
        <v>2093</v>
      </c>
      <c r="E381" t="s">
        <v>2105</v>
      </c>
      <c r="F381" t="str">
        <f>_xlfn.XLOOKUP(E381,Table8[City],Table8[State])</f>
        <v>Rajasthan</v>
      </c>
      <c r="G381" t="str">
        <f>_xlfn.XLOOKUP(E381,Table8[City],Table8[Region])</f>
        <v>North</v>
      </c>
      <c r="H381" t="s">
        <v>22</v>
      </c>
      <c r="I381" t="str">
        <f>_xlfn.XLOOKUP(H381,Table6[Product],Table6[Category])</f>
        <v>Wearables</v>
      </c>
      <c r="J381" t="s">
        <v>58</v>
      </c>
      <c r="K381">
        <v>5</v>
      </c>
      <c r="L381">
        <f>_xlfn.XLOOKUP(H381,Table6[Product],Table6[Unit Price])</f>
        <v>12000</v>
      </c>
      <c r="M381">
        <f>_xlfn.XLOOKUP(H381,Table6[Product],Table6[Cost Price])</f>
        <v>8500</v>
      </c>
      <c r="N381" s="7">
        <v>0.3</v>
      </c>
      <c r="O381">
        <f t="shared" si="15"/>
        <v>42000</v>
      </c>
      <c r="P381">
        <f t="shared" si="16"/>
        <v>42500</v>
      </c>
      <c r="Q381">
        <f t="shared" si="17"/>
        <v>-500</v>
      </c>
      <c r="R381" t="s">
        <v>44</v>
      </c>
      <c r="S381" t="s">
        <v>49</v>
      </c>
    </row>
    <row r="382" spans="1:19" ht="18" x14ac:dyDescent="0.5">
      <c r="A382" t="s">
        <v>452</v>
      </c>
      <c r="B382" t="s">
        <v>1451</v>
      </c>
      <c r="C382" s="6">
        <v>45805</v>
      </c>
      <c r="D382" t="s">
        <v>2092</v>
      </c>
      <c r="E382" t="s">
        <v>2074</v>
      </c>
      <c r="F382" t="str">
        <f>_xlfn.XLOOKUP(E382,Table8[City],Table8[State])</f>
        <v>Maharashtra</v>
      </c>
      <c r="G382" t="str">
        <f>_xlfn.XLOOKUP(E382,Table8[City],Table8[Region])</f>
        <v>West</v>
      </c>
      <c r="H382" t="s">
        <v>29</v>
      </c>
      <c r="I382" t="str">
        <f>_xlfn.XLOOKUP(H382,Table6[Product],Table6[Category])</f>
        <v>Electronics</v>
      </c>
      <c r="J382" t="s">
        <v>59</v>
      </c>
      <c r="K382">
        <v>7</v>
      </c>
      <c r="L382">
        <f>_xlfn.XLOOKUP(H382,Table6[Product],Table6[Unit Price])</f>
        <v>5000</v>
      </c>
      <c r="M382">
        <f>_xlfn.XLOOKUP(H382,Table6[Product],Table6[Cost Price])</f>
        <v>3200</v>
      </c>
      <c r="N382" s="7">
        <v>0.19</v>
      </c>
      <c r="O382">
        <f t="shared" si="15"/>
        <v>28350.000000000004</v>
      </c>
      <c r="P382">
        <f t="shared" si="16"/>
        <v>22400</v>
      </c>
      <c r="Q382">
        <f t="shared" si="17"/>
        <v>5950.0000000000036</v>
      </c>
      <c r="R382" t="s">
        <v>44</v>
      </c>
      <c r="S382" t="s">
        <v>52</v>
      </c>
    </row>
    <row r="383" spans="1:19" ht="18" x14ac:dyDescent="0.5">
      <c r="A383" t="s">
        <v>453</v>
      </c>
      <c r="B383" t="s">
        <v>1452</v>
      </c>
      <c r="C383" s="6">
        <v>45444</v>
      </c>
      <c r="D383" t="s">
        <v>2090</v>
      </c>
      <c r="E383" t="s">
        <v>2073</v>
      </c>
      <c r="F383" t="str">
        <f>_xlfn.XLOOKUP(E383,Table8[City],Table8[State])</f>
        <v>Maharashtra</v>
      </c>
      <c r="G383" t="str">
        <f>_xlfn.XLOOKUP(E383,Table8[City],Table8[Region])</f>
        <v>West</v>
      </c>
      <c r="H383" t="s">
        <v>28</v>
      </c>
      <c r="I383" t="str">
        <f>_xlfn.XLOOKUP(H383,Table6[Product],Table6[Category])</f>
        <v>Office</v>
      </c>
      <c r="J383" t="s">
        <v>57</v>
      </c>
      <c r="K383">
        <v>4</v>
      </c>
      <c r="L383">
        <f>_xlfn.XLOOKUP(H383,Table6[Product],Table6[Unit Price])</f>
        <v>18000</v>
      </c>
      <c r="M383">
        <f>_xlfn.XLOOKUP(H383,Table6[Product],Table6[Cost Price])</f>
        <v>14000</v>
      </c>
      <c r="N383" s="7">
        <v>7.0000000000000007E-2</v>
      </c>
      <c r="O383">
        <f t="shared" si="15"/>
        <v>66960</v>
      </c>
      <c r="P383">
        <f t="shared" si="16"/>
        <v>56000</v>
      </c>
      <c r="Q383">
        <f t="shared" si="17"/>
        <v>10960</v>
      </c>
      <c r="R383" t="s">
        <v>45</v>
      </c>
      <c r="S383" t="s">
        <v>52</v>
      </c>
    </row>
    <row r="384" spans="1:19" ht="18" x14ac:dyDescent="0.5">
      <c r="A384" t="s">
        <v>454</v>
      </c>
      <c r="B384" t="s">
        <v>1453</v>
      </c>
      <c r="C384" s="6">
        <v>45986</v>
      </c>
      <c r="D384" t="s">
        <v>2086</v>
      </c>
      <c r="E384" t="s">
        <v>2077</v>
      </c>
      <c r="F384" t="str">
        <f>_xlfn.XLOOKUP(E384,Table8[City],Table8[State])</f>
        <v>Telangana</v>
      </c>
      <c r="G384" t="str">
        <f>_xlfn.XLOOKUP(E384,Table8[City],Table8[Region])</f>
        <v>South</v>
      </c>
      <c r="H384" t="s">
        <v>20</v>
      </c>
      <c r="I384" t="str">
        <f>_xlfn.XLOOKUP(H384,Table6[Product],Table6[Category])</f>
        <v>Accessories</v>
      </c>
      <c r="J384" t="s">
        <v>59</v>
      </c>
      <c r="K384">
        <v>6</v>
      </c>
      <c r="L384">
        <f>_xlfn.XLOOKUP(H384,Table6[Product],Table6[Unit Price])</f>
        <v>3000</v>
      </c>
      <c r="M384">
        <f>_xlfn.XLOOKUP(H384,Table6[Product],Table6[Cost Price])</f>
        <v>1800</v>
      </c>
      <c r="N384" s="7">
        <v>0.14000000000000001</v>
      </c>
      <c r="O384">
        <f t="shared" si="15"/>
        <v>15480</v>
      </c>
      <c r="P384">
        <f t="shared" si="16"/>
        <v>10800</v>
      </c>
      <c r="Q384">
        <f t="shared" si="17"/>
        <v>4680</v>
      </c>
      <c r="R384" t="s">
        <v>47</v>
      </c>
      <c r="S384" t="s">
        <v>50</v>
      </c>
    </row>
    <row r="385" spans="1:19" ht="18" x14ac:dyDescent="0.5">
      <c r="A385" t="s">
        <v>455</v>
      </c>
      <c r="B385" t="s">
        <v>1454</v>
      </c>
      <c r="C385" s="6">
        <v>45359</v>
      </c>
      <c r="D385" t="s">
        <v>2083</v>
      </c>
      <c r="E385" t="s">
        <v>2075</v>
      </c>
      <c r="F385" t="str">
        <f>_xlfn.XLOOKUP(E385,Table8[City],Table8[State])</f>
        <v>Tamil Nadu</v>
      </c>
      <c r="G385" t="str">
        <f>_xlfn.XLOOKUP(E385,Table8[City],Table8[Region])</f>
        <v>South</v>
      </c>
      <c r="H385" t="s">
        <v>19</v>
      </c>
      <c r="I385" t="str">
        <f>_xlfn.XLOOKUP(H385,Table6[Product],Table6[Category])</f>
        <v>Electronics</v>
      </c>
      <c r="J385" t="s">
        <v>54</v>
      </c>
      <c r="K385">
        <v>8</v>
      </c>
      <c r="L385">
        <f>_xlfn.XLOOKUP(H385,Table6[Product],Table6[Unit Price])</f>
        <v>25000</v>
      </c>
      <c r="M385">
        <f>_xlfn.XLOOKUP(H385,Table6[Product],Table6[Cost Price])</f>
        <v>20000</v>
      </c>
      <c r="N385" s="7">
        <v>0.12</v>
      </c>
      <c r="O385">
        <f t="shared" si="15"/>
        <v>176000</v>
      </c>
      <c r="P385">
        <f t="shared" si="16"/>
        <v>160000</v>
      </c>
      <c r="Q385">
        <f t="shared" si="17"/>
        <v>16000</v>
      </c>
      <c r="R385" t="s">
        <v>45</v>
      </c>
      <c r="S385" t="s">
        <v>52</v>
      </c>
    </row>
    <row r="386" spans="1:19" ht="18" x14ac:dyDescent="0.5">
      <c r="A386" t="s">
        <v>456</v>
      </c>
      <c r="B386" t="s">
        <v>1455</v>
      </c>
      <c r="C386" s="6">
        <v>45998</v>
      </c>
      <c r="D386" t="s">
        <v>2094</v>
      </c>
      <c r="E386" t="s">
        <v>70</v>
      </c>
      <c r="F386" t="str">
        <f>_xlfn.XLOOKUP(E386,Table8[City],Table8[State])</f>
        <v>Karnataka</v>
      </c>
      <c r="G386" t="str">
        <f>_xlfn.XLOOKUP(E386,Table8[City],Table8[Region])</f>
        <v>South</v>
      </c>
      <c r="H386" t="s">
        <v>26</v>
      </c>
      <c r="I386" t="str">
        <f>_xlfn.XLOOKUP(H386,Table6[Product],Table6[Category])</f>
        <v>Office</v>
      </c>
      <c r="J386" t="s">
        <v>54</v>
      </c>
      <c r="K386">
        <v>1</v>
      </c>
      <c r="L386">
        <f>_xlfn.XLOOKUP(H386,Table6[Product],Table6[Unit Price])</f>
        <v>15000</v>
      </c>
      <c r="M386">
        <f>_xlfn.XLOOKUP(H386,Table6[Product],Table6[Cost Price])</f>
        <v>11500</v>
      </c>
      <c r="N386" s="7">
        <v>0.17</v>
      </c>
      <c r="O386">
        <f t="shared" si="15"/>
        <v>12450</v>
      </c>
      <c r="P386">
        <f t="shared" si="16"/>
        <v>11500</v>
      </c>
      <c r="Q386">
        <f t="shared" si="17"/>
        <v>950</v>
      </c>
      <c r="R386" t="s">
        <v>47</v>
      </c>
      <c r="S386" t="s">
        <v>51</v>
      </c>
    </row>
    <row r="387" spans="1:19" ht="18" x14ac:dyDescent="0.5">
      <c r="A387" t="s">
        <v>457</v>
      </c>
      <c r="B387" t="s">
        <v>1456</v>
      </c>
      <c r="C387" s="6">
        <v>45544</v>
      </c>
      <c r="D387" t="s">
        <v>2092</v>
      </c>
      <c r="E387" t="s">
        <v>2079</v>
      </c>
      <c r="F387" t="str">
        <f>_xlfn.XLOOKUP(E387,Table8[City],Table8[State])</f>
        <v>Gujarat</v>
      </c>
      <c r="G387" t="str">
        <f>_xlfn.XLOOKUP(E387,Table8[City],Table8[Region])</f>
        <v>West</v>
      </c>
      <c r="H387" t="s">
        <v>20</v>
      </c>
      <c r="I387" t="str">
        <f>_xlfn.XLOOKUP(H387,Table6[Product],Table6[Category])</f>
        <v>Accessories</v>
      </c>
      <c r="J387" t="s">
        <v>59</v>
      </c>
      <c r="K387">
        <v>5</v>
      </c>
      <c r="L387">
        <f>_xlfn.XLOOKUP(H387,Table6[Product],Table6[Unit Price])</f>
        <v>3000</v>
      </c>
      <c r="M387">
        <f>_xlfn.XLOOKUP(H387,Table6[Product],Table6[Cost Price])</f>
        <v>1800</v>
      </c>
      <c r="N387" s="7">
        <v>0.2</v>
      </c>
      <c r="O387">
        <f t="shared" ref="O387:O450" si="18">(L387*K387)*(1-N387)</f>
        <v>12000</v>
      </c>
      <c r="P387">
        <f t="shared" ref="P387:P450" si="19">M387*K387</f>
        <v>9000</v>
      </c>
      <c r="Q387">
        <f t="shared" ref="Q387:Q450" si="20">O387-P387</f>
        <v>3000</v>
      </c>
      <c r="R387" t="s">
        <v>43</v>
      </c>
      <c r="S387" t="s">
        <v>49</v>
      </c>
    </row>
    <row r="388" spans="1:19" ht="18" x14ac:dyDescent="0.5">
      <c r="A388" t="s">
        <v>458</v>
      </c>
      <c r="B388" t="s">
        <v>1457</v>
      </c>
      <c r="C388" s="6">
        <v>45711</v>
      </c>
      <c r="D388" t="s">
        <v>2086</v>
      </c>
      <c r="E388" t="s">
        <v>2106</v>
      </c>
      <c r="F388" t="str">
        <f>_xlfn.XLOOKUP(E388,Table8[City],Table8[State])</f>
        <v>West Bengal</v>
      </c>
      <c r="G388" t="str">
        <f>_xlfn.XLOOKUP(E388,Table8[City],Table8[Region])</f>
        <v>East</v>
      </c>
      <c r="H388" t="s">
        <v>18</v>
      </c>
      <c r="I388" t="str">
        <f>_xlfn.XLOOKUP(H388,Table6[Product],Table6[Category])</f>
        <v>Electronics</v>
      </c>
      <c r="J388" t="s">
        <v>58</v>
      </c>
      <c r="K388">
        <v>3</v>
      </c>
      <c r="L388">
        <f>_xlfn.XLOOKUP(H388,Table6[Product],Table6[Unit Price])</f>
        <v>35000</v>
      </c>
      <c r="M388">
        <f>_xlfn.XLOOKUP(H388,Table6[Product],Table6[Cost Price])</f>
        <v>28000</v>
      </c>
      <c r="N388" s="7">
        <v>0.16</v>
      </c>
      <c r="O388">
        <f t="shared" si="18"/>
        <v>88200</v>
      </c>
      <c r="P388">
        <f t="shared" si="19"/>
        <v>84000</v>
      </c>
      <c r="Q388">
        <f t="shared" si="20"/>
        <v>4200</v>
      </c>
      <c r="R388" t="s">
        <v>46</v>
      </c>
      <c r="S388" t="s">
        <v>49</v>
      </c>
    </row>
    <row r="389" spans="1:19" ht="18" x14ac:dyDescent="0.5">
      <c r="A389" t="s">
        <v>459</v>
      </c>
      <c r="B389" t="s">
        <v>1458</v>
      </c>
      <c r="C389" s="6">
        <v>45344</v>
      </c>
      <c r="D389" t="s">
        <v>2095</v>
      </c>
      <c r="E389" t="s">
        <v>2073</v>
      </c>
      <c r="F389" t="str">
        <f>_xlfn.XLOOKUP(E389,Table8[City],Table8[State])</f>
        <v>Maharashtra</v>
      </c>
      <c r="G389" t="str">
        <f>_xlfn.XLOOKUP(E389,Table8[City],Table8[Region])</f>
        <v>West</v>
      </c>
      <c r="H389" t="s">
        <v>28</v>
      </c>
      <c r="I389" t="str">
        <f>_xlfn.XLOOKUP(H389,Table6[Product],Table6[Category])</f>
        <v>Office</v>
      </c>
      <c r="J389" t="s">
        <v>59</v>
      </c>
      <c r="K389">
        <v>4</v>
      </c>
      <c r="L389">
        <f>_xlfn.XLOOKUP(H389,Table6[Product],Table6[Unit Price])</f>
        <v>18000</v>
      </c>
      <c r="M389">
        <f>_xlfn.XLOOKUP(H389,Table6[Product],Table6[Cost Price])</f>
        <v>14000</v>
      </c>
      <c r="N389" s="7">
        <v>0.06</v>
      </c>
      <c r="O389">
        <f t="shared" si="18"/>
        <v>67680</v>
      </c>
      <c r="P389">
        <f t="shared" si="19"/>
        <v>56000</v>
      </c>
      <c r="Q389">
        <f t="shared" si="20"/>
        <v>11680</v>
      </c>
      <c r="R389" t="s">
        <v>46</v>
      </c>
      <c r="S389" t="s">
        <v>50</v>
      </c>
    </row>
    <row r="390" spans="1:19" ht="18" x14ac:dyDescent="0.5">
      <c r="A390" t="s">
        <v>460</v>
      </c>
      <c r="B390" t="s">
        <v>1459</v>
      </c>
      <c r="C390" s="6">
        <v>45732</v>
      </c>
      <c r="D390" t="s">
        <v>2085</v>
      </c>
      <c r="E390" t="s">
        <v>2076</v>
      </c>
      <c r="F390" t="str">
        <f>_xlfn.XLOOKUP(E390,Table8[City],Table8[State])</f>
        <v>Tamil Nadu</v>
      </c>
      <c r="G390" t="str">
        <f>_xlfn.XLOOKUP(E390,Table8[City],Table8[Region])</f>
        <v>South</v>
      </c>
      <c r="H390" t="s">
        <v>29</v>
      </c>
      <c r="I390" t="str">
        <f>_xlfn.XLOOKUP(H390,Table6[Product],Table6[Category])</f>
        <v>Electronics</v>
      </c>
      <c r="J390" t="s">
        <v>60</v>
      </c>
      <c r="K390">
        <v>8</v>
      </c>
      <c r="L390">
        <f>_xlfn.XLOOKUP(H390,Table6[Product],Table6[Unit Price])</f>
        <v>5000</v>
      </c>
      <c r="M390">
        <f>_xlfn.XLOOKUP(H390,Table6[Product],Table6[Cost Price])</f>
        <v>3200</v>
      </c>
      <c r="N390" s="7">
        <v>0.23</v>
      </c>
      <c r="O390">
        <f t="shared" si="18"/>
        <v>30800</v>
      </c>
      <c r="P390">
        <f t="shared" si="19"/>
        <v>25600</v>
      </c>
      <c r="Q390">
        <f t="shared" si="20"/>
        <v>5200</v>
      </c>
      <c r="R390" t="s">
        <v>47</v>
      </c>
      <c r="S390" t="s">
        <v>50</v>
      </c>
    </row>
    <row r="391" spans="1:19" ht="18" x14ac:dyDescent="0.5">
      <c r="A391" t="s">
        <v>461</v>
      </c>
      <c r="B391" t="s">
        <v>1460</v>
      </c>
      <c r="C391" s="6">
        <v>45736</v>
      </c>
      <c r="D391" t="s">
        <v>2095</v>
      </c>
      <c r="E391" t="s">
        <v>2079</v>
      </c>
      <c r="F391" t="str">
        <f>_xlfn.XLOOKUP(E391,Table8[City],Table8[State])</f>
        <v>Gujarat</v>
      </c>
      <c r="G391" t="str">
        <f>_xlfn.XLOOKUP(E391,Table8[City],Table8[Region])</f>
        <v>West</v>
      </c>
      <c r="H391" t="s">
        <v>22</v>
      </c>
      <c r="I391" t="str">
        <f>_xlfn.XLOOKUP(H391,Table6[Product],Table6[Category])</f>
        <v>Wearables</v>
      </c>
      <c r="J391" t="s">
        <v>55</v>
      </c>
      <c r="K391">
        <v>3</v>
      </c>
      <c r="L391">
        <f>_xlfn.XLOOKUP(H391,Table6[Product],Table6[Unit Price])</f>
        <v>12000</v>
      </c>
      <c r="M391">
        <f>_xlfn.XLOOKUP(H391,Table6[Product],Table6[Cost Price])</f>
        <v>8500</v>
      </c>
      <c r="N391" s="7">
        <v>0.28999999999999998</v>
      </c>
      <c r="O391">
        <f t="shared" si="18"/>
        <v>25560</v>
      </c>
      <c r="P391">
        <f t="shared" si="19"/>
        <v>25500</v>
      </c>
      <c r="Q391">
        <f t="shared" si="20"/>
        <v>60</v>
      </c>
      <c r="R391" t="s">
        <v>47</v>
      </c>
      <c r="S391" t="s">
        <v>51</v>
      </c>
    </row>
    <row r="392" spans="1:19" ht="18" x14ac:dyDescent="0.5">
      <c r="A392" t="s">
        <v>462</v>
      </c>
      <c r="B392" t="s">
        <v>1461</v>
      </c>
      <c r="C392" s="6">
        <v>45931</v>
      </c>
      <c r="D392" t="s">
        <v>2087</v>
      </c>
      <c r="E392" t="s">
        <v>70</v>
      </c>
      <c r="F392" t="str">
        <f>_xlfn.XLOOKUP(E392,Table8[City],Table8[State])</f>
        <v>Karnataka</v>
      </c>
      <c r="G392" t="str">
        <f>_xlfn.XLOOKUP(E392,Table8[City],Table8[Region])</f>
        <v>South</v>
      </c>
      <c r="H392" t="s">
        <v>16</v>
      </c>
      <c r="I392" t="str">
        <f>_xlfn.XLOOKUP(H392,Table6[Product],Table6[Category])</f>
        <v>Electronics</v>
      </c>
      <c r="J392" t="s">
        <v>57</v>
      </c>
      <c r="K392">
        <v>1</v>
      </c>
      <c r="L392">
        <f>_xlfn.XLOOKUP(H392,Table6[Product],Table6[Unit Price])</f>
        <v>65000</v>
      </c>
      <c r="M392">
        <f>_xlfn.XLOOKUP(H392,Table6[Product],Table6[Cost Price])</f>
        <v>52000</v>
      </c>
      <c r="N392" s="7">
        <v>0.06</v>
      </c>
      <c r="O392">
        <f t="shared" si="18"/>
        <v>61100</v>
      </c>
      <c r="P392">
        <f t="shared" si="19"/>
        <v>52000</v>
      </c>
      <c r="Q392">
        <f t="shared" si="20"/>
        <v>9100</v>
      </c>
      <c r="R392" t="s">
        <v>47</v>
      </c>
      <c r="S392" t="s">
        <v>49</v>
      </c>
    </row>
    <row r="393" spans="1:19" ht="18" x14ac:dyDescent="0.5">
      <c r="A393" t="s">
        <v>463</v>
      </c>
      <c r="B393" t="s">
        <v>1462</v>
      </c>
      <c r="C393" s="6">
        <v>45467</v>
      </c>
      <c r="D393" t="s">
        <v>59</v>
      </c>
      <c r="E393" t="s">
        <v>2072</v>
      </c>
      <c r="F393" t="str">
        <f>_xlfn.XLOOKUP(E393,Table8[City],Table8[State])</f>
        <v>Karnataka</v>
      </c>
      <c r="G393" t="str">
        <f>_xlfn.XLOOKUP(E393,Table8[City],Table8[Region])</f>
        <v>South</v>
      </c>
      <c r="H393" t="s">
        <v>20</v>
      </c>
      <c r="I393" t="str">
        <f>_xlfn.XLOOKUP(H393,Table6[Product],Table6[Category])</f>
        <v>Accessories</v>
      </c>
      <c r="J393" t="s">
        <v>54</v>
      </c>
      <c r="K393">
        <v>9</v>
      </c>
      <c r="L393">
        <f>_xlfn.XLOOKUP(H393,Table6[Product],Table6[Unit Price])</f>
        <v>3000</v>
      </c>
      <c r="M393">
        <f>_xlfn.XLOOKUP(H393,Table6[Product],Table6[Cost Price])</f>
        <v>1800</v>
      </c>
      <c r="N393" s="7">
        <v>0.24</v>
      </c>
      <c r="O393">
        <f t="shared" si="18"/>
        <v>20520</v>
      </c>
      <c r="P393">
        <f t="shared" si="19"/>
        <v>16200</v>
      </c>
      <c r="Q393">
        <f t="shared" si="20"/>
        <v>4320</v>
      </c>
      <c r="R393" t="s">
        <v>44</v>
      </c>
      <c r="S393" t="s">
        <v>49</v>
      </c>
    </row>
    <row r="394" spans="1:19" ht="18" x14ac:dyDescent="0.5">
      <c r="A394" t="s">
        <v>464</v>
      </c>
      <c r="B394" t="s">
        <v>1463</v>
      </c>
      <c r="C394" s="6">
        <v>45675</v>
      </c>
      <c r="D394" t="s">
        <v>59</v>
      </c>
      <c r="E394" t="s">
        <v>2072</v>
      </c>
      <c r="F394" t="str">
        <f>_xlfn.XLOOKUP(E394,Table8[City],Table8[State])</f>
        <v>Karnataka</v>
      </c>
      <c r="G394" t="str">
        <f>_xlfn.XLOOKUP(E394,Table8[City],Table8[Region])</f>
        <v>South</v>
      </c>
      <c r="H394" t="s">
        <v>19</v>
      </c>
      <c r="I394" t="str">
        <f>_xlfn.XLOOKUP(H394,Table6[Product],Table6[Category])</f>
        <v>Electronics</v>
      </c>
      <c r="J394" t="s">
        <v>63</v>
      </c>
      <c r="K394">
        <v>1</v>
      </c>
      <c r="L394">
        <f>_xlfn.XLOOKUP(H394,Table6[Product],Table6[Unit Price])</f>
        <v>25000</v>
      </c>
      <c r="M394">
        <f>_xlfn.XLOOKUP(H394,Table6[Product],Table6[Cost Price])</f>
        <v>20000</v>
      </c>
      <c r="N394" s="7">
        <v>0.2</v>
      </c>
      <c r="O394">
        <f t="shared" si="18"/>
        <v>20000</v>
      </c>
      <c r="P394">
        <f t="shared" si="19"/>
        <v>20000</v>
      </c>
      <c r="Q394">
        <f t="shared" si="20"/>
        <v>0</v>
      </c>
      <c r="R394" t="s">
        <v>44</v>
      </c>
      <c r="S394" t="s">
        <v>49</v>
      </c>
    </row>
    <row r="395" spans="1:19" ht="18" x14ac:dyDescent="0.5">
      <c r="A395" t="s">
        <v>465</v>
      </c>
      <c r="B395" t="s">
        <v>1464</v>
      </c>
      <c r="C395" s="6">
        <v>45424</v>
      </c>
      <c r="D395" t="s">
        <v>2088</v>
      </c>
      <c r="E395" t="s">
        <v>2104</v>
      </c>
      <c r="F395" t="str">
        <f>_xlfn.XLOOKUP(E395,Table8[City],Table8[State])</f>
        <v>Delhi</v>
      </c>
      <c r="G395" t="str">
        <f>_xlfn.XLOOKUP(E395,Table8[City],Table8[Region])</f>
        <v>North</v>
      </c>
      <c r="H395" t="s">
        <v>19</v>
      </c>
      <c r="I395" t="str">
        <f>_xlfn.XLOOKUP(H395,Table6[Product],Table6[Category])</f>
        <v>Electronics</v>
      </c>
      <c r="J395" t="s">
        <v>57</v>
      </c>
      <c r="K395">
        <v>8</v>
      </c>
      <c r="L395">
        <f>_xlfn.XLOOKUP(H395,Table6[Product],Table6[Unit Price])</f>
        <v>25000</v>
      </c>
      <c r="M395">
        <f>_xlfn.XLOOKUP(H395,Table6[Product],Table6[Cost Price])</f>
        <v>20000</v>
      </c>
      <c r="N395" s="7">
        <v>0.3</v>
      </c>
      <c r="O395">
        <f t="shared" si="18"/>
        <v>140000</v>
      </c>
      <c r="P395">
        <f t="shared" si="19"/>
        <v>160000</v>
      </c>
      <c r="Q395">
        <f t="shared" si="20"/>
        <v>-20000</v>
      </c>
      <c r="R395" t="s">
        <v>46</v>
      </c>
      <c r="S395" t="s">
        <v>52</v>
      </c>
    </row>
    <row r="396" spans="1:19" ht="18" x14ac:dyDescent="0.5">
      <c r="A396" t="s">
        <v>466</v>
      </c>
      <c r="B396" t="s">
        <v>1465</v>
      </c>
      <c r="C396" s="6">
        <v>45824</v>
      </c>
      <c r="D396" t="s">
        <v>2096</v>
      </c>
      <c r="E396" t="s">
        <v>2080</v>
      </c>
      <c r="F396" t="str">
        <f>_xlfn.XLOOKUP(E396,Table8[City],Table8[State])</f>
        <v>Gujarat</v>
      </c>
      <c r="G396" t="str">
        <f>_xlfn.XLOOKUP(E396,Table8[City],Table8[Region])</f>
        <v>West</v>
      </c>
      <c r="H396" t="s">
        <v>29</v>
      </c>
      <c r="I396" t="str">
        <f>_xlfn.XLOOKUP(H396,Table6[Product],Table6[Category])</f>
        <v>Electronics</v>
      </c>
      <c r="J396" t="s">
        <v>54</v>
      </c>
      <c r="K396">
        <v>10</v>
      </c>
      <c r="L396">
        <f>_xlfn.XLOOKUP(H396,Table6[Product],Table6[Unit Price])</f>
        <v>5000</v>
      </c>
      <c r="M396">
        <f>_xlfn.XLOOKUP(H396,Table6[Product],Table6[Cost Price])</f>
        <v>3200</v>
      </c>
      <c r="N396" s="7">
        <v>0.24</v>
      </c>
      <c r="O396">
        <f t="shared" si="18"/>
        <v>38000</v>
      </c>
      <c r="P396">
        <f t="shared" si="19"/>
        <v>32000</v>
      </c>
      <c r="Q396">
        <f t="shared" si="20"/>
        <v>6000</v>
      </c>
      <c r="R396" t="s">
        <v>44</v>
      </c>
      <c r="S396" t="s">
        <v>50</v>
      </c>
    </row>
    <row r="397" spans="1:19" ht="18" x14ac:dyDescent="0.5">
      <c r="A397" t="s">
        <v>467</v>
      </c>
      <c r="B397" t="s">
        <v>1466</v>
      </c>
      <c r="C397" s="6">
        <v>45382</v>
      </c>
      <c r="D397" t="s">
        <v>2089</v>
      </c>
      <c r="E397" t="s">
        <v>70</v>
      </c>
      <c r="F397" t="str">
        <f>_xlfn.XLOOKUP(E397,Table8[City],Table8[State])</f>
        <v>Karnataka</v>
      </c>
      <c r="G397" t="str">
        <f>_xlfn.XLOOKUP(E397,Table8[City],Table8[Region])</f>
        <v>South</v>
      </c>
      <c r="H397" t="s">
        <v>18</v>
      </c>
      <c r="I397" t="str">
        <f>_xlfn.XLOOKUP(H397,Table6[Product],Table6[Category])</f>
        <v>Electronics</v>
      </c>
      <c r="J397" t="s">
        <v>62</v>
      </c>
      <c r="K397">
        <v>9</v>
      </c>
      <c r="L397">
        <f>_xlfn.XLOOKUP(H397,Table6[Product],Table6[Unit Price])</f>
        <v>35000</v>
      </c>
      <c r="M397">
        <f>_xlfn.XLOOKUP(H397,Table6[Product],Table6[Cost Price])</f>
        <v>28000</v>
      </c>
      <c r="N397" s="7">
        <v>0.04</v>
      </c>
      <c r="O397">
        <f t="shared" si="18"/>
        <v>302400</v>
      </c>
      <c r="P397">
        <f t="shared" si="19"/>
        <v>252000</v>
      </c>
      <c r="Q397">
        <f t="shared" si="20"/>
        <v>50400</v>
      </c>
      <c r="R397" t="s">
        <v>45</v>
      </c>
      <c r="S397" t="s">
        <v>49</v>
      </c>
    </row>
    <row r="398" spans="1:19" ht="18" x14ac:dyDescent="0.5">
      <c r="A398" t="s">
        <v>468</v>
      </c>
      <c r="B398" t="s">
        <v>1467</v>
      </c>
      <c r="C398" s="6">
        <v>45754</v>
      </c>
      <c r="D398" t="s">
        <v>2095</v>
      </c>
      <c r="E398" t="s">
        <v>2077</v>
      </c>
      <c r="F398" t="str">
        <f>_xlfn.XLOOKUP(E398,Table8[City],Table8[State])</f>
        <v>Telangana</v>
      </c>
      <c r="G398" t="str">
        <f>_xlfn.XLOOKUP(E398,Table8[City],Table8[Region])</f>
        <v>South</v>
      </c>
      <c r="H398" t="s">
        <v>25</v>
      </c>
      <c r="I398" t="str">
        <f>_xlfn.XLOOKUP(H398,Table6[Product],Table6[Category])</f>
        <v>Accessories</v>
      </c>
      <c r="J398" t="s">
        <v>57</v>
      </c>
      <c r="K398">
        <v>7</v>
      </c>
      <c r="L398">
        <f>_xlfn.XLOOKUP(H398,Table6[Product],Table6[Unit Price])</f>
        <v>800</v>
      </c>
      <c r="M398">
        <f>_xlfn.XLOOKUP(H398,Table6[Product],Table6[Cost Price])</f>
        <v>450</v>
      </c>
      <c r="N398" s="7">
        <v>0.24</v>
      </c>
      <c r="O398">
        <f t="shared" si="18"/>
        <v>4256</v>
      </c>
      <c r="P398">
        <f t="shared" si="19"/>
        <v>3150</v>
      </c>
      <c r="Q398">
        <f t="shared" si="20"/>
        <v>1106</v>
      </c>
      <c r="R398" t="s">
        <v>43</v>
      </c>
      <c r="S398" t="s">
        <v>50</v>
      </c>
    </row>
    <row r="399" spans="1:19" ht="18" x14ac:dyDescent="0.5">
      <c r="A399" t="s">
        <v>469</v>
      </c>
      <c r="B399" t="s">
        <v>1468</v>
      </c>
      <c r="C399" s="6">
        <v>45825</v>
      </c>
      <c r="D399" t="s">
        <v>2085</v>
      </c>
      <c r="E399" t="s">
        <v>70</v>
      </c>
      <c r="F399" t="str">
        <f>_xlfn.XLOOKUP(E399,Table8[City],Table8[State])</f>
        <v>Karnataka</v>
      </c>
      <c r="G399" t="str">
        <f>_xlfn.XLOOKUP(E399,Table8[City],Table8[Region])</f>
        <v>South</v>
      </c>
      <c r="H399" t="s">
        <v>18</v>
      </c>
      <c r="I399" t="str">
        <f>_xlfn.XLOOKUP(H399,Table6[Product],Table6[Category])</f>
        <v>Electronics</v>
      </c>
      <c r="J399" t="s">
        <v>59</v>
      </c>
      <c r="K399">
        <v>2</v>
      </c>
      <c r="L399">
        <f>_xlfn.XLOOKUP(H399,Table6[Product],Table6[Unit Price])</f>
        <v>35000</v>
      </c>
      <c r="M399">
        <f>_xlfn.XLOOKUP(H399,Table6[Product],Table6[Cost Price])</f>
        <v>28000</v>
      </c>
      <c r="N399" s="7">
        <v>0.14000000000000001</v>
      </c>
      <c r="O399">
        <f t="shared" si="18"/>
        <v>60200</v>
      </c>
      <c r="P399">
        <f t="shared" si="19"/>
        <v>56000</v>
      </c>
      <c r="Q399">
        <f t="shared" si="20"/>
        <v>4200</v>
      </c>
      <c r="R399" t="s">
        <v>46</v>
      </c>
      <c r="S399" t="s">
        <v>49</v>
      </c>
    </row>
    <row r="400" spans="1:19" ht="18" x14ac:dyDescent="0.5">
      <c r="A400" t="s">
        <v>470</v>
      </c>
      <c r="B400" t="s">
        <v>1469</v>
      </c>
      <c r="C400" s="6">
        <v>45802</v>
      </c>
      <c r="D400" t="s">
        <v>2083</v>
      </c>
      <c r="E400" t="s">
        <v>2106</v>
      </c>
      <c r="F400" t="str">
        <f>_xlfn.XLOOKUP(E400,Table8[City],Table8[State])</f>
        <v>West Bengal</v>
      </c>
      <c r="G400" t="str">
        <f>_xlfn.XLOOKUP(E400,Table8[City],Table8[Region])</f>
        <v>East</v>
      </c>
      <c r="H400" t="s">
        <v>19</v>
      </c>
      <c r="I400" t="str">
        <f>_xlfn.XLOOKUP(H400,Table6[Product],Table6[Category])</f>
        <v>Electronics</v>
      </c>
      <c r="J400" t="s">
        <v>56</v>
      </c>
      <c r="K400">
        <v>1</v>
      </c>
      <c r="L400">
        <f>_xlfn.XLOOKUP(H400,Table6[Product],Table6[Unit Price])</f>
        <v>25000</v>
      </c>
      <c r="M400">
        <f>_xlfn.XLOOKUP(H400,Table6[Product],Table6[Cost Price])</f>
        <v>20000</v>
      </c>
      <c r="N400" s="7">
        <v>7.0000000000000007E-2</v>
      </c>
      <c r="O400">
        <f t="shared" si="18"/>
        <v>23250</v>
      </c>
      <c r="P400">
        <f t="shared" si="19"/>
        <v>20000</v>
      </c>
      <c r="Q400">
        <f t="shared" si="20"/>
        <v>3250</v>
      </c>
      <c r="R400" t="s">
        <v>44</v>
      </c>
      <c r="S400" t="s">
        <v>51</v>
      </c>
    </row>
    <row r="401" spans="1:19" ht="18" x14ac:dyDescent="0.5">
      <c r="A401" t="s">
        <v>471</v>
      </c>
      <c r="B401" t="s">
        <v>1470</v>
      </c>
      <c r="C401" s="6">
        <v>45639</v>
      </c>
      <c r="D401" t="s">
        <v>63</v>
      </c>
      <c r="E401" t="s">
        <v>2077</v>
      </c>
      <c r="F401" t="str">
        <f>_xlfn.XLOOKUP(E401,Table8[City],Table8[State])</f>
        <v>Telangana</v>
      </c>
      <c r="G401" t="str">
        <f>_xlfn.XLOOKUP(E401,Table8[City],Table8[Region])</f>
        <v>South</v>
      </c>
      <c r="H401" t="s">
        <v>25</v>
      </c>
      <c r="I401" t="str">
        <f>_xlfn.XLOOKUP(H401,Table6[Product],Table6[Category])</f>
        <v>Accessories</v>
      </c>
      <c r="J401" t="s">
        <v>62</v>
      </c>
      <c r="K401">
        <v>3</v>
      </c>
      <c r="L401">
        <f>_xlfn.XLOOKUP(H401,Table6[Product],Table6[Unit Price])</f>
        <v>800</v>
      </c>
      <c r="M401">
        <f>_xlfn.XLOOKUP(H401,Table6[Product],Table6[Cost Price])</f>
        <v>450</v>
      </c>
      <c r="N401" s="7">
        <v>0.15</v>
      </c>
      <c r="O401">
        <f t="shared" si="18"/>
        <v>2040</v>
      </c>
      <c r="P401">
        <f t="shared" si="19"/>
        <v>1350</v>
      </c>
      <c r="Q401">
        <f t="shared" si="20"/>
        <v>690</v>
      </c>
      <c r="R401" t="s">
        <v>43</v>
      </c>
      <c r="S401" t="s">
        <v>49</v>
      </c>
    </row>
    <row r="402" spans="1:19" ht="18" x14ac:dyDescent="0.5">
      <c r="A402" t="s">
        <v>472</v>
      </c>
      <c r="B402" t="s">
        <v>1471</v>
      </c>
      <c r="C402" s="6">
        <v>45756</v>
      </c>
      <c r="D402" t="s">
        <v>2084</v>
      </c>
      <c r="E402" t="s">
        <v>2104</v>
      </c>
      <c r="F402" t="str">
        <f>_xlfn.XLOOKUP(E402,Table8[City],Table8[State])</f>
        <v>Delhi</v>
      </c>
      <c r="G402" t="str">
        <f>_xlfn.XLOOKUP(E402,Table8[City],Table8[Region])</f>
        <v>North</v>
      </c>
      <c r="H402" t="s">
        <v>29</v>
      </c>
      <c r="I402" t="str">
        <f>_xlfn.XLOOKUP(H402,Table6[Product],Table6[Category])</f>
        <v>Electronics</v>
      </c>
      <c r="J402" t="s">
        <v>58</v>
      </c>
      <c r="K402">
        <v>3</v>
      </c>
      <c r="L402">
        <f>_xlfn.XLOOKUP(H402,Table6[Product],Table6[Unit Price])</f>
        <v>5000</v>
      </c>
      <c r="M402">
        <f>_xlfn.XLOOKUP(H402,Table6[Product],Table6[Cost Price])</f>
        <v>3200</v>
      </c>
      <c r="N402" s="7">
        <v>0.22</v>
      </c>
      <c r="O402">
        <f t="shared" si="18"/>
        <v>11700</v>
      </c>
      <c r="P402">
        <f t="shared" si="19"/>
        <v>9600</v>
      </c>
      <c r="Q402">
        <f t="shared" si="20"/>
        <v>2100</v>
      </c>
      <c r="R402" t="s">
        <v>43</v>
      </c>
      <c r="S402" t="s">
        <v>51</v>
      </c>
    </row>
    <row r="403" spans="1:19" ht="18" x14ac:dyDescent="0.5">
      <c r="A403" t="s">
        <v>473</v>
      </c>
      <c r="B403" t="s">
        <v>1472</v>
      </c>
      <c r="C403" s="6">
        <v>45825</v>
      </c>
      <c r="D403" t="s">
        <v>2094</v>
      </c>
      <c r="E403" t="s">
        <v>70</v>
      </c>
      <c r="F403" t="str">
        <f>_xlfn.XLOOKUP(E403,Table8[City],Table8[State])</f>
        <v>Karnataka</v>
      </c>
      <c r="G403" t="str">
        <f>_xlfn.XLOOKUP(E403,Table8[City],Table8[Region])</f>
        <v>South</v>
      </c>
      <c r="H403" t="s">
        <v>24</v>
      </c>
      <c r="I403" t="str">
        <f>_xlfn.XLOOKUP(H403,Table6[Product],Table6[Category])</f>
        <v>Accessories</v>
      </c>
      <c r="J403" t="s">
        <v>62</v>
      </c>
      <c r="K403">
        <v>9</v>
      </c>
      <c r="L403">
        <f>_xlfn.XLOOKUP(H403,Table6[Product],Table6[Unit Price])</f>
        <v>1500</v>
      </c>
      <c r="M403">
        <f>_xlfn.XLOOKUP(H403,Table6[Product],Table6[Cost Price])</f>
        <v>900</v>
      </c>
      <c r="N403" s="7">
        <v>0.1</v>
      </c>
      <c r="O403">
        <f t="shared" si="18"/>
        <v>12150</v>
      </c>
      <c r="P403">
        <f t="shared" si="19"/>
        <v>8100</v>
      </c>
      <c r="Q403">
        <f t="shared" si="20"/>
        <v>4050</v>
      </c>
      <c r="R403" t="s">
        <v>44</v>
      </c>
      <c r="S403" t="s">
        <v>51</v>
      </c>
    </row>
    <row r="404" spans="1:19" ht="18" x14ac:dyDescent="0.5">
      <c r="A404" t="s">
        <v>474</v>
      </c>
      <c r="B404" t="s">
        <v>1473</v>
      </c>
      <c r="C404" s="6">
        <v>45950</v>
      </c>
      <c r="D404" t="s">
        <v>2084</v>
      </c>
      <c r="E404" t="s">
        <v>2076</v>
      </c>
      <c r="F404" t="str">
        <f>_xlfn.XLOOKUP(E404,Table8[City],Table8[State])</f>
        <v>Tamil Nadu</v>
      </c>
      <c r="G404" t="str">
        <f>_xlfn.XLOOKUP(E404,Table8[City],Table8[Region])</f>
        <v>South</v>
      </c>
      <c r="H404" t="s">
        <v>28</v>
      </c>
      <c r="I404" t="str">
        <f>_xlfn.XLOOKUP(H404,Table6[Product],Table6[Category])</f>
        <v>Office</v>
      </c>
      <c r="J404" t="s">
        <v>59</v>
      </c>
      <c r="K404">
        <v>7</v>
      </c>
      <c r="L404">
        <f>_xlfn.XLOOKUP(H404,Table6[Product],Table6[Unit Price])</f>
        <v>18000</v>
      </c>
      <c r="M404">
        <f>_xlfn.XLOOKUP(H404,Table6[Product],Table6[Cost Price])</f>
        <v>14000</v>
      </c>
      <c r="N404" s="7">
        <v>0.02</v>
      </c>
      <c r="O404">
        <f t="shared" si="18"/>
        <v>123480</v>
      </c>
      <c r="P404">
        <f t="shared" si="19"/>
        <v>98000</v>
      </c>
      <c r="Q404">
        <f t="shared" si="20"/>
        <v>25480</v>
      </c>
      <c r="R404" t="s">
        <v>43</v>
      </c>
      <c r="S404" t="s">
        <v>50</v>
      </c>
    </row>
    <row r="405" spans="1:19" ht="18" x14ac:dyDescent="0.5">
      <c r="A405" t="s">
        <v>475</v>
      </c>
      <c r="B405" t="s">
        <v>1474</v>
      </c>
      <c r="C405" s="6">
        <v>45450</v>
      </c>
      <c r="D405" t="s">
        <v>2089</v>
      </c>
      <c r="E405" t="s">
        <v>2080</v>
      </c>
      <c r="F405" t="str">
        <f>_xlfn.XLOOKUP(E405,Table8[City],Table8[State])</f>
        <v>Gujarat</v>
      </c>
      <c r="G405" t="str">
        <f>_xlfn.XLOOKUP(E405,Table8[City],Table8[Region])</f>
        <v>West</v>
      </c>
      <c r="H405" t="s">
        <v>24</v>
      </c>
      <c r="I405" t="str">
        <f>_xlfn.XLOOKUP(H405,Table6[Product],Table6[Category])</f>
        <v>Accessories</v>
      </c>
      <c r="J405" t="s">
        <v>61</v>
      </c>
      <c r="K405">
        <v>7</v>
      </c>
      <c r="L405">
        <f>_xlfn.XLOOKUP(H405,Table6[Product],Table6[Unit Price])</f>
        <v>1500</v>
      </c>
      <c r="M405">
        <f>_xlfn.XLOOKUP(H405,Table6[Product],Table6[Cost Price])</f>
        <v>900</v>
      </c>
      <c r="N405" s="7">
        <v>0.06</v>
      </c>
      <c r="O405">
        <f t="shared" si="18"/>
        <v>9870</v>
      </c>
      <c r="P405">
        <f t="shared" si="19"/>
        <v>6300</v>
      </c>
      <c r="Q405">
        <f t="shared" si="20"/>
        <v>3570</v>
      </c>
      <c r="R405" t="s">
        <v>46</v>
      </c>
      <c r="S405" t="s">
        <v>52</v>
      </c>
    </row>
    <row r="406" spans="1:19" ht="18" x14ac:dyDescent="0.5">
      <c r="A406" t="s">
        <v>476</v>
      </c>
      <c r="B406" t="s">
        <v>1475</v>
      </c>
      <c r="C406" s="6">
        <v>45473</v>
      </c>
      <c r="D406" t="s">
        <v>2098</v>
      </c>
      <c r="E406" t="s">
        <v>2077</v>
      </c>
      <c r="F406" t="str">
        <f>_xlfn.XLOOKUP(E406,Table8[City],Table8[State])</f>
        <v>Telangana</v>
      </c>
      <c r="G406" t="str">
        <f>_xlfn.XLOOKUP(E406,Table8[City],Table8[Region])</f>
        <v>South</v>
      </c>
      <c r="H406" t="s">
        <v>25</v>
      </c>
      <c r="I406" t="str">
        <f>_xlfn.XLOOKUP(H406,Table6[Product],Table6[Category])</f>
        <v>Accessories</v>
      </c>
      <c r="J406" t="s">
        <v>59</v>
      </c>
      <c r="K406">
        <v>2</v>
      </c>
      <c r="L406">
        <f>_xlfn.XLOOKUP(H406,Table6[Product],Table6[Unit Price])</f>
        <v>800</v>
      </c>
      <c r="M406">
        <f>_xlfn.XLOOKUP(H406,Table6[Product],Table6[Cost Price])</f>
        <v>450</v>
      </c>
      <c r="N406" s="7">
        <v>0.08</v>
      </c>
      <c r="O406">
        <f t="shared" si="18"/>
        <v>1472</v>
      </c>
      <c r="P406">
        <f t="shared" si="19"/>
        <v>900</v>
      </c>
      <c r="Q406">
        <f t="shared" si="20"/>
        <v>572</v>
      </c>
      <c r="R406" t="s">
        <v>43</v>
      </c>
      <c r="S406" t="s">
        <v>51</v>
      </c>
    </row>
    <row r="407" spans="1:19" ht="18" x14ac:dyDescent="0.5">
      <c r="A407" t="s">
        <v>477</v>
      </c>
      <c r="B407" t="s">
        <v>1476</v>
      </c>
      <c r="C407" s="6">
        <v>45321</v>
      </c>
      <c r="D407" t="s">
        <v>2084</v>
      </c>
      <c r="E407" t="s">
        <v>2073</v>
      </c>
      <c r="F407" t="str">
        <f>_xlfn.XLOOKUP(E407,Table8[City],Table8[State])</f>
        <v>Maharashtra</v>
      </c>
      <c r="G407" t="str">
        <f>_xlfn.XLOOKUP(E407,Table8[City],Table8[Region])</f>
        <v>West</v>
      </c>
      <c r="H407" t="s">
        <v>20</v>
      </c>
      <c r="I407" t="str">
        <f>_xlfn.XLOOKUP(H407,Table6[Product],Table6[Category])</f>
        <v>Accessories</v>
      </c>
      <c r="J407" t="s">
        <v>57</v>
      </c>
      <c r="K407">
        <v>8</v>
      </c>
      <c r="L407">
        <f>_xlfn.XLOOKUP(H407,Table6[Product],Table6[Unit Price])</f>
        <v>3000</v>
      </c>
      <c r="M407">
        <f>_xlfn.XLOOKUP(H407,Table6[Product],Table6[Cost Price])</f>
        <v>1800</v>
      </c>
      <c r="N407" s="7">
        <v>0.26</v>
      </c>
      <c r="O407">
        <f t="shared" si="18"/>
        <v>17760</v>
      </c>
      <c r="P407">
        <f t="shared" si="19"/>
        <v>14400</v>
      </c>
      <c r="Q407">
        <f t="shared" si="20"/>
        <v>3360</v>
      </c>
      <c r="R407" t="s">
        <v>44</v>
      </c>
      <c r="S407" t="s">
        <v>52</v>
      </c>
    </row>
    <row r="408" spans="1:19" ht="18" x14ac:dyDescent="0.5">
      <c r="A408" t="s">
        <v>478</v>
      </c>
      <c r="B408" t="s">
        <v>1477</v>
      </c>
      <c r="C408" s="6">
        <v>45807</v>
      </c>
      <c r="D408" t="s">
        <v>2094</v>
      </c>
      <c r="E408" t="s">
        <v>2079</v>
      </c>
      <c r="F408" t="str">
        <f>_xlfn.XLOOKUP(E408,Table8[City],Table8[State])</f>
        <v>Gujarat</v>
      </c>
      <c r="G408" t="str">
        <f>_xlfn.XLOOKUP(E408,Table8[City],Table8[Region])</f>
        <v>West</v>
      </c>
      <c r="H408" t="s">
        <v>16</v>
      </c>
      <c r="I408" t="str">
        <f>_xlfn.XLOOKUP(H408,Table6[Product],Table6[Category])</f>
        <v>Electronics</v>
      </c>
      <c r="J408" t="s">
        <v>56</v>
      </c>
      <c r="K408">
        <v>1</v>
      </c>
      <c r="L408">
        <f>_xlfn.XLOOKUP(H408,Table6[Product],Table6[Unit Price])</f>
        <v>65000</v>
      </c>
      <c r="M408">
        <f>_xlfn.XLOOKUP(H408,Table6[Product],Table6[Cost Price])</f>
        <v>52000</v>
      </c>
      <c r="N408" s="7">
        <v>0.28000000000000003</v>
      </c>
      <c r="O408">
        <f t="shared" si="18"/>
        <v>46800</v>
      </c>
      <c r="P408">
        <f t="shared" si="19"/>
        <v>52000</v>
      </c>
      <c r="Q408">
        <f t="shared" si="20"/>
        <v>-5200</v>
      </c>
      <c r="R408" t="s">
        <v>44</v>
      </c>
      <c r="S408" t="s">
        <v>49</v>
      </c>
    </row>
    <row r="409" spans="1:19" ht="18" x14ac:dyDescent="0.5">
      <c r="A409" t="s">
        <v>479</v>
      </c>
      <c r="B409" t="s">
        <v>1478</v>
      </c>
      <c r="C409" s="6">
        <v>45951</v>
      </c>
      <c r="D409" t="s">
        <v>2084</v>
      </c>
      <c r="E409" t="s">
        <v>2105</v>
      </c>
      <c r="F409" t="str">
        <f>_xlfn.XLOOKUP(E409,Table8[City],Table8[State])</f>
        <v>Rajasthan</v>
      </c>
      <c r="G409" t="str">
        <f>_xlfn.XLOOKUP(E409,Table8[City],Table8[Region])</f>
        <v>North</v>
      </c>
      <c r="H409" t="s">
        <v>16</v>
      </c>
      <c r="I409" t="str">
        <f>_xlfn.XLOOKUP(H409,Table6[Product],Table6[Category])</f>
        <v>Electronics</v>
      </c>
      <c r="J409" t="s">
        <v>55</v>
      </c>
      <c r="K409">
        <v>5</v>
      </c>
      <c r="L409">
        <f>_xlfn.XLOOKUP(H409,Table6[Product],Table6[Unit Price])</f>
        <v>65000</v>
      </c>
      <c r="M409">
        <f>_xlfn.XLOOKUP(H409,Table6[Product],Table6[Cost Price])</f>
        <v>52000</v>
      </c>
      <c r="N409" s="7">
        <v>0.18</v>
      </c>
      <c r="O409">
        <f t="shared" si="18"/>
        <v>266500</v>
      </c>
      <c r="P409">
        <f t="shared" si="19"/>
        <v>260000</v>
      </c>
      <c r="Q409">
        <f t="shared" si="20"/>
        <v>6500</v>
      </c>
      <c r="R409" t="s">
        <v>47</v>
      </c>
      <c r="S409" t="s">
        <v>51</v>
      </c>
    </row>
    <row r="410" spans="1:19" ht="18" x14ac:dyDescent="0.5">
      <c r="A410" t="s">
        <v>480</v>
      </c>
      <c r="B410" t="s">
        <v>1479</v>
      </c>
      <c r="C410" s="6">
        <v>46003</v>
      </c>
      <c r="D410" t="s">
        <v>2095</v>
      </c>
      <c r="E410" t="s">
        <v>2080</v>
      </c>
      <c r="F410" t="str">
        <f>_xlfn.XLOOKUP(E410,Table8[City],Table8[State])</f>
        <v>Gujarat</v>
      </c>
      <c r="G410" t="str">
        <f>_xlfn.XLOOKUP(E410,Table8[City],Table8[Region])</f>
        <v>West</v>
      </c>
      <c r="H410" t="s">
        <v>20</v>
      </c>
      <c r="I410" t="str">
        <f>_xlfn.XLOOKUP(H410,Table6[Product],Table6[Category])</f>
        <v>Accessories</v>
      </c>
      <c r="J410" t="s">
        <v>57</v>
      </c>
      <c r="K410">
        <v>6</v>
      </c>
      <c r="L410">
        <f>_xlfn.XLOOKUP(H410,Table6[Product],Table6[Unit Price])</f>
        <v>3000</v>
      </c>
      <c r="M410">
        <f>_xlfn.XLOOKUP(H410,Table6[Product],Table6[Cost Price])</f>
        <v>1800</v>
      </c>
      <c r="N410" s="7">
        <v>0.1</v>
      </c>
      <c r="O410">
        <f t="shared" si="18"/>
        <v>16200</v>
      </c>
      <c r="P410">
        <f t="shared" si="19"/>
        <v>10800</v>
      </c>
      <c r="Q410">
        <f t="shared" si="20"/>
        <v>5400</v>
      </c>
      <c r="R410" t="s">
        <v>43</v>
      </c>
      <c r="S410" t="s">
        <v>52</v>
      </c>
    </row>
    <row r="411" spans="1:19" ht="18" x14ac:dyDescent="0.5">
      <c r="A411" t="s">
        <v>481</v>
      </c>
      <c r="B411" t="s">
        <v>1480</v>
      </c>
      <c r="C411" s="6">
        <v>45948</v>
      </c>
      <c r="D411" t="s">
        <v>2092</v>
      </c>
      <c r="E411" t="s">
        <v>2074</v>
      </c>
      <c r="F411" t="str">
        <f>_xlfn.XLOOKUP(E411,Table8[City],Table8[State])</f>
        <v>Maharashtra</v>
      </c>
      <c r="G411" t="str">
        <f>_xlfn.XLOOKUP(E411,Table8[City],Table8[Region])</f>
        <v>West</v>
      </c>
      <c r="H411" t="s">
        <v>16</v>
      </c>
      <c r="I411" t="str">
        <f>_xlfn.XLOOKUP(H411,Table6[Product],Table6[Category])</f>
        <v>Electronics</v>
      </c>
      <c r="J411" t="s">
        <v>59</v>
      </c>
      <c r="K411">
        <v>5</v>
      </c>
      <c r="L411">
        <f>_xlfn.XLOOKUP(H411,Table6[Product],Table6[Unit Price])</f>
        <v>65000</v>
      </c>
      <c r="M411">
        <f>_xlfn.XLOOKUP(H411,Table6[Product],Table6[Cost Price])</f>
        <v>52000</v>
      </c>
      <c r="N411" s="7">
        <v>0.01</v>
      </c>
      <c r="O411">
        <f t="shared" si="18"/>
        <v>321750</v>
      </c>
      <c r="P411">
        <f t="shared" si="19"/>
        <v>260000</v>
      </c>
      <c r="Q411">
        <f t="shared" si="20"/>
        <v>61750</v>
      </c>
      <c r="R411" t="s">
        <v>47</v>
      </c>
      <c r="S411" t="s">
        <v>51</v>
      </c>
    </row>
    <row r="412" spans="1:19" ht="18" x14ac:dyDescent="0.5">
      <c r="A412" t="s">
        <v>482</v>
      </c>
      <c r="B412" t="s">
        <v>1481</v>
      </c>
      <c r="C412" s="6">
        <v>45679</v>
      </c>
      <c r="D412" t="s">
        <v>2091</v>
      </c>
      <c r="E412" t="s">
        <v>2077</v>
      </c>
      <c r="F412" t="str">
        <f>_xlfn.XLOOKUP(E412,Table8[City],Table8[State])</f>
        <v>Telangana</v>
      </c>
      <c r="G412" t="str">
        <f>_xlfn.XLOOKUP(E412,Table8[City],Table8[Region])</f>
        <v>South</v>
      </c>
      <c r="H412" t="s">
        <v>25</v>
      </c>
      <c r="I412" t="str">
        <f>_xlfn.XLOOKUP(H412,Table6[Product],Table6[Category])</f>
        <v>Accessories</v>
      </c>
      <c r="J412" t="s">
        <v>60</v>
      </c>
      <c r="K412">
        <v>5</v>
      </c>
      <c r="L412">
        <f>_xlfn.XLOOKUP(H412,Table6[Product],Table6[Unit Price])</f>
        <v>800</v>
      </c>
      <c r="M412">
        <f>_xlfn.XLOOKUP(H412,Table6[Product],Table6[Cost Price])</f>
        <v>450</v>
      </c>
      <c r="N412" s="7">
        <v>0.23</v>
      </c>
      <c r="O412">
        <f t="shared" si="18"/>
        <v>3080</v>
      </c>
      <c r="P412">
        <f t="shared" si="19"/>
        <v>2250</v>
      </c>
      <c r="Q412">
        <f t="shared" si="20"/>
        <v>830</v>
      </c>
      <c r="R412" t="s">
        <v>44</v>
      </c>
      <c r="S412" t="s">
        <v>49</v>
      </c>
    </row>
    <row r="413" spans="1:19" ht="18" x14ac:dyDescent="0.5">
      <c r="A413" t="s">
        <v>483</v>
      </c>
      <c r="B413" t="s">
        <v>1482</v>
      </c>
      <c r="C413" s="6">
        <v>45641</v>
      </c>
      <c r="D413" t="s">
        <v>2093</v>
      </c>
      <c r="E413" t="s">
        <v>2073</v>
      </c>
      <c r="F413" t="str">
        <f>_xlfn.XLOOKUP(E413,Table8[City],Table8[State])</f>
        <v>Maharashtra</v>
      </c>
      <c r="G413" t="str">
        <f>_xlfn.XLOOKUP(E413,Table8[City],Table8[Region])</f>
        <v>West</v>
      </c>
      <c r="H413" t="s">
        <v>28</v>
      </c>
      <c r="I413" t="str">
        <f>_xlfn.XLOOKUP(H413,Table6[Product],Table6[Category])</f>
        <v>Office</v>
      </c>
      <c r="J413" t="s">
        <v>59</v>
      </c>
      <c r="K413">
        <v>10</v>
      </c>
      <c r="L413">
        <f>_xlfn.XLOOKUP(H413,Table6[Product],Table6[Unit Price])</f>
        <v>18000</v>
      </c>
      <c r="M413">
        <f>_xlfn.XLOOKUP(H413,Table6[Product],Table6[Cost Price])</f>
        <v>14000</v>
      </c>
      <c r="N413" s="7">
        <v>0.03</v>
      </c>
      <c r="O413">
        <f t="shared" si="18"/>
        <v>174600</v>
      </c>
      <c r="P413">
        <f t="shared" si="19"/>
        <v>140000</v>
      </c>
      <c r="Q413">
        <f t="shared" si="20"/>
        <v>34600</v>
      </c>
      <c r="R413" t="s">
        <v>47</v>
      </c>
      <c r="S413" t="s">
        <v>50</v>
      </c>
    </row>
    <row r="414" spans="1:19" ht="18" x14ac:dyDescent="0.5">
      <c r="A414" t="s">
        <v>484</v>
      </c>
      <c r="B414" t="s">
        <v>1483</v>
      </c>
      <c r="C414" s="6">
        <v>45314</v>
      </c>
      <c r="D414" t="s">
        <v>2093</v>
      </c>
      <c r="E414" t="s">
        <v>70</v>
      </c>
      <c r="F414" t="str">
        <f>_xlfn.XLOOKUP(E414,Table8[City],Table8[State])</f>
        <v>Karnataka</v>
      </c>
      <c r="G414" t="str">
        <f>_xlfn.XLOOKUP(E414,Table8[City],Table8[Region])</f>
        <v>South</v>
      </c>
      <c r="H414" t="s">
        <v>24</v>
      </c>
      <c r="I414" t="str">
        <f>_xlfn.XLOOKUP(H414,Table6[Product],Table6[Category])</f>
        <v>Accessories</v>
      </c>
      <c r="J414" t="s">
        <v>56</v>
      </c>
      <c r="K414">
        <v>9</v>
      </c>
      <c r="L414">
        <f>_xlfn.XLOOKUP(H414,Table6[Product],Table6[Unit Price])</f>
        <v>1500</v>
      </c>
      <c r="M414">
        <f>_xlfn.XLOOKUP(H414,Table6[Product],Table6[Cost Price])</f>
        <v>900</v>
      </c>
      <c r="N414" s="7">
        <v>0.03</v>
      </c>
      <c r="O414">
        <f t="shared" si="18"/>
        <v>13095</v>
      </c>
      <c r="P414">
        <f t="shared" si="19"/>
        <v>8100</v>
      </c>
      <c r="Q414">
        <f t="shared" si="20"/>
        <v>4995</v>
      </c>
      <c r="R414" t="s">
        <v>45</v>
      </c>
      <c r="S414" t="s">
        <v>50</v>
      </c>
    </row>
    <row r="415" spans="1:19" ht="18" x14ac:dyDescent="0.5">
      <c r="A415" t="s">
        <v>485</v>
      </c>
      <c r="B415" t="s">
        <v>1484</v>
      </c>
      <c r="C415" s="6">
        <v>45412</v>
      </c>
      <c r="D415" t="s">
        <v>69</v>
      </c>
      <c r="E415" t="s">
        <v>2080</v>
      </c>
      <c r="F415" t="str">
        <f>_xlfn.XLOOKUP(E415,Table8[City],Table8[State])</f>
        <v>Gujarat</v>
      </c>
      <c r="G415" t="str">
        <f>_xlfn.XLOOKUP(E415,Table8[City],Table8[Region])</f>
        <v>West</v>
      </c>
      <c r="H415" t="s">
        <v>26</v>
      </c>
      <c r="I415" t="str">
        <f>_xlfn.XLOOKUP(H415,Table6[Product],Table6[Category])</f>
        <v>Office</v>
      </c>
      <c r="J415" t="s">
        <v>63</v>
      </c>
      <c r="K415">
        <v>1</v>
      </c>
      <c r="L415">
        <f>_xlfn.XLOOKUP(H415,Table6[Product],Table6[Unit Price])</f>
        <v>15000</v>
      </c>
      <c r="M415">
        <f>_xlfn.XLOOKUP(H415,Table6[Product],Table6[Cost Price])</f>
        <v>11500</v>
      </c>
      <c r="N415" s="7">
        <v>0.1</v>
      </c>
      <c r="O415">
        <f t="shared" si="18"/>
        <v>13500</v>
      </c>
      <c r="P415">
        <f t="shared" si="19"/>
        <v>11500</v>
      </c>
      <c r="Q415">
        <f t="shared" si="20"/>
        <v>2000</v>
      </c>
      <c r="R415" t="s">
        <v>46</v>
      </c>
      <c r="S415" t="s">
        <v>52</v>
      </c>
    </row>
    <row r="416" spans="1:19" ht="18" x14ac:dyDescent="0.5">
      <c r="A416" t="s">
        <v>486</v>
      </c>
      <c r="B416" t="s">
        <v>1485</v>
      </c>
      <c r="C416" s="6">
        <v>45823</v>
      </c>
      <c r="D416" t="s">
        <v>2096</v>
      </c>
      <c r="E416" t="s">
        <v>2078</v>
      </c>
      <c r="F416" t="str">
        <f>_xlfn.XLOOKUP(E416,Table8[City],Table8[State])</f>
        <v>Telangana</v>
      </c>
      <c r="G416" t="str">
        <f>_xlfn.XLOOKUP(E416,Table8[City],Table8[Region])</f>
        <v>South</v>
      </c>
      <c r="H416" t="s">
        <v>18</v>
      </c>
      <c r="I416" t="str">
        <f>_xlfn.XLOOKUP(H416,Table6[Product],Table6[Category])</f>
        <v>Electronics</v>
      </c>
      <c r="J416" t="s">
        <v>57</v>
      </c>
      <c r="K416">
        <v>3</v>
      </c>
      <c r="L416">
        <f>_xlfn.XLOOKUP(H416,Table6[Product],Table6[Unit Price])</f>
        <v>35000</v>
      </c>
      <c r="M416">
        <f>_xlfn.XLOOKUP(H416,Table6[Product],Table6[Cost Price])</f>
        <v>28000</v>
      </c>
      <c r="N416" s="7">
        <v>0.3</v>
      </c>
      <c r="O416">
        <f t="shared" si="18"/>
        <v>73500</v>
      </c>
      <c r="P416">
        <f t="shared" si="19"/>
        <v>84000</v>
      </c>
      <c r="Q416">
        <f t="shared" si="20"/>
        <v>-10500</v>
      </c>
      <c r="R416" t="s">
        <v>45</v>
      </c>
      <c r="S416" t="s">
        <v>50</v>
      </c>
    </row>
    <row r="417" spans="1:19" ht="18" x14ac:dyDescent="0.5">
      <c r="A417" t="s">
        <v>487</v>
      </c>
      <c r="B417" t="s">
        <v>1486</v>
      </c>
      <c r="C417" s="6">
        <v>45808</v>
      </c>
      <c r="D417" t="s">
        <v>2090</v>
      </c>
      <c r="E417" t="s">
        <v>70</v>
      </c>
      <c r="F417" t="str">
        <f>_xlfn.XLOOKUP(E417,Table8[City],Table8[State])</f>
        <v>Karnataka</v>
      </c>
      <c r="G417" t="str">
        <f>_xlfn.XLOOKUP(E417,Table8[City],Table8[Region])</f>
        <v>South</v>
      </c>
      <c r="H417" t="s">
        <v>16</v>
      </c>
      <c r="I417" t="str">
        <f>_xlfn.XLOOKUP(H417,Table6[Product],Table6[Category])</f>
        <v>Electronics</v>
      </c>
      <c r="J417" t="s">
        <v>58</v>
      </c>
      <c r="K417">
        <v>3</v>
      </c>
      <c r="L417">
        <f>_xlfn.XLOOKUP(H417,Table6[Product],Table6[Unit Price])</f>
        <v>65000</v>
      </c>
      <c r="M417">
        <f>_xlfn.XLOOKUP(H417,Table6[Product],Table6[Cost Price])</f>
        <v>52000</v>
      </c>
      <c r="N417" s="7">
        <v>0.24</v>
      </c>
      <c r="O417">
        <f t="shared" si="18"/>
        <v>148200</v>
      </c>
      <c r="P417">
        <f t="shared" si="19"/>
        <v>156000</v>
      </c>
      <c r="Q417">
        <f t="shared" si="20"/>
        <v>-7800</v>
      </c>
      <c r="R417" t="s">
        <v>47</v>
      </c>
      <c r="S417" t="s">
        <v>50</v>
      </c>
    </row>
    <row r="418" spans="1:19" ht="18" x14ac:dyDescent="0.5">
      <c r="A418" t="s">
        <v>488</v>
      </c>
      <c r="B418" t="s">
        <v>1487</v>
      </c>
      <c r="C418" s="6">
        <v>45860</v>
      </c>
      <c r="D418" t="s">
        <v>2094</v>
      </c>
      <c r="E418" t="s">
        <v>2105</v>
      </c>
      <c r="F418" t="str">
        <f>_xlfn.XLOOKUP(E418,Table8[City],Table8[State])</f>
        <v>Rajasthan</v>
      </c>
      <c r="G418" t="str">
        <f>_xlfn.XLOOKUP(E418,Table8[City],Table8[Region])</f>
        <v>North</v>
      </c>
      <c r="H418" t="s">
        <v>28</v>
      </c>
      <c r="I418" t="str">
        <f>_xlfn.XLOOKUP(H418,Table6[Product],Table6[Category])</f>
        <v>Office</v>
      </c>
      <c r="J418" t="s">
        <v>63</v>
      </c>
      <c r="K418">
        <v>5</v>
      </c>
      <c r="L418">
        <f>_xlfn.XLOOKUP(H418,Table6[Product],Table6[Unit Price])</f>
        <v>18000</v>
      </c>
      <c r="M418">
        <f>_xlfn.XLOOKUP(H418,Table6[Product],Table6[Cost Price])</f>
        <v>14000</v>
      </c>
      <c r="N418" s="7">
        <v>0.05</v>
      </c>
      <c r="O418">
        <f t="shared" si="18"/>
        <v>85500</v>
      </c>
      <c r="P418">
        <f t="shared" si="19"/>
        <v>70000</v>
      </c>
      <c r="Q418">
        <f t="shared" si="20"/>
        <v>15500</v>
      </c>
      <c r="R418" t="s">
        <v>46</v>
      </c>
      <c r="S418" t="s">
        <v>52</v>
      </c>
    </row>
    <row r="419" spans="1:19" ht="18" x14ac:dyDescent="0.5">
      <c r="A419" t="s">
        <v>489</v>
      </c>
      <c r="B419" t="s">
        <v>1488</v>
      </c>
      <c r="C419" s="6">
        <v>45347</v>
      </c>
      <c r="D419" t="s">
        <v>2096</v>
      </c>
      <c r="E419" t="s">
        <v>2073</v>
      </c>
      <c r="F419" t="str">
        <f>_xlfn.XLOOKUP(E419,Table8[City],Table8[State])</f>
        <v>Maharashtra</v>
      </c>
      <c r="G419" t="str">
        <f>_xlfn.XLOOKUP(E419,Table8[City],Table8[Region])</f>
        <v>West</v>
      </c>
      <c r="H419" t="s">
        <v>20</v>
      </c>
      <c r="I419" t="str">
        <f>_xlfn.XLOOKUP(H419,Table6[Product],Table6[Category])</f>
        <v>Accessories</v>
      </c>
      <c r="J419" t="s">
        <v>61</v>
      </c>
      <c r="K419">
        <v>2</v>
      </c>
      <c r="L419">
        <f>_xlfn.XLOOKUP(H419,Table6[Product],Table6[Unit Price])</f>
        <v>3000</v>
      </c>
      <c r="M419">
        <f>_xlfn.XLOOKUP(H419,Table6[Product],Table6[Cost Price])</f>
        <v>1800</v>
      </c>
      <c r="N419" s="7">
        <v>0.19</v>
      </c>
      <c r="O419">
        <f t="shared" si="18"/>
        <v>4860</v>
      </c>
      <c r="P419">
        <f t="shared" si="19"/>
        <v>3600</v>
      </c>
      <c r="Q419">
        <f t="shared" si="20"/>
        <v>1260</v>
      </c>
      <c r="R419" t="s">
        <v>47</v>
      </c>
      <c r="S419" t="s">
        <v>50</v>
      </c>
    </row>
    <row r="420" spans="1:19" ht="18" x14ac:dyDescent="0.5">
      <c r="A420" t="s">
        <v>490</v>
      </c>
      <c r="B420" t="s">
        <v>1489</v>
      </c>
      <c r="C420" s="6">
        <v>45427</v>
      </c>
      <c r="D420" t="s">
        <v>2098</v>
      </c>
      <c r="E420" t="s">
        <v>2105</v>
      </c>
      <c r="F420" t="str">
        <f>_xlfn.XLOOKUP(E420,Table8[City],Table8[State])</f>
        <v>Rajasthan</v>
      </c>
      <c r="G420" t="str">
        <f>_xlfn.XLOOKUP(E420,Table8[City],Table8[Region])</f>
        <v>North</v>
      </c>
      <c r="H420" t="s">
        <v>22</v>
      </c>
      <c r="I420" t="str">
        <f>_xlfn.XLOOKUP(H420,Table6[Product],Table6[Category])</f>
        <v>Wearables</v>
      </c>
      <c r="J420" t="s">
        <v>56</v>
      </c>
      <c r="K420">
        <v>3</v>
      </c>
      <c r="L420">
        <f>_xlfn.XLOOKUP(H420,Table6[Product],Table6[Unit Price])</f>
        <v>12000</v>
      </c>
      <c r="M420">
        <f>_xlfn.XLOOKUP(H420,Table6[Product],Table6[Cost Price])</f>
        <v>8500</v>
      </c>
      <c r="N420" s="7">
        <v>0.28999999999999998</v>
      </c>
      <c r="O420">
        <f t="shared" si="18"/>
        <v>25560</v>
      </c>
      <c r="P420">
        <f t="shared" si="19"/>
        <v>25500</v>
      </c>
      <c r="Q420">
        <f t="shared" si="20"/>
        <v>60</v>
      </c>
      <c r="R420" t="s">
        <v>44</v>
      </c>
      <c r="S420" t="s">
        <v>51</v>
      </c>
    </row>
    <row r="421" spans="1:19" ht="18" x14ac:dyDescent="0.5">
      <c r="A421" t="s">
        <v>491</v>
      </c>
      <c r="B421" t="s">
        <v>1490</v>
      </c>
      <c r="C421" s="6">
        <v>45582</v>
      </c>
      <c r="D421" t="s">
        <v>2083</v>
      </c>
      <c r="E421" t="s">
        <v>2106</v>
      </c>
      <c r="F421" t="str">
        <f>_xlfn.XLOOKUP(E421,Table8[City],Table8[State])</f>
        <v>West Bengal</v>
      </c>
      <c r="G421" t="str">
        <f>_xlfn.XLOOKUP(E421,Table8[City],Table8[Region])</f>
        <v>East</v>
      </c>
      <c r="H421" t="s">
        <v>25</v>
      </c>
      <c r="I421" t="str">
        <f>_xlfn.XLOOKUP(H421,Table6[Product],Table6[Category])</f>
        <v>Accessories</v>
      </c>
      <c r="J421" t="s">
        <v>54</v>
      </c>
      <c r="K421">
        <v>5</v>
      </c>
      <c r="L421">
        <f>_xlfn.XLOOKUP(H421,Table6[Product],Table6[Unit Price])</f>
        <v>800</v>
      </c>
      <c r="M421">
        <f>_xlfn.XLOOKUP(H421,Table6[Product],Table6[Cost Price])</f>
        <v>450</v>
      </c>
      <c r="N421" s="7">
        <v>0.24</v>
      </c>
      <c r="O421">
        <f t="shared" si="18"/>
        <v>3040</v>
      </c>
      <c r="P421">
        <f t="shared" si="19"/>
        <v>2250</v>
      </c>
      <c r="Q421">
        <f t="shared" si="20"/>
        <v>790</v>
      </c>
      <c r="R421" t="s">
        <v>43</v>
      </c>
      <c r="S421" t="s">
        <v>50</v>
      </c>
    </row>
    <row r="422" spans="1:19" ht="18" x14ac:dyDescent="0.5">
      <c r="A422" t="s">
        <v>492</v>
      </c>
      <c r="B422" t="s">
        <v>1491</v>
      </c>
      <c r="C422" s="6">
        <v>45783</v>
      </c>
      <c r="D422" t="s">
        <v>63</v>
      </c>
      <c r="E422" t="s">
        <v>70</v>
      </c>
      <c r="F422" t="str">
        <f>_xlfn.XLOOKUP(E422,Table8[City],Table8[State])</f>
        <v>Karnataka</v>
      </c>
      <c r="G422" t="str">
        <f>_xlfn.XLOOKUP(E422,Table8[City],Table8[Region])</f>
        <v>South</v>
      </c>
      <c r="H422" t="s">
        <v>20</v>
      </c>
      <c r="I422" t="str">
        <f>_xlfn.XLOOKUP(H422,Table6[Product],Table6[Category])</f>
        <v>Accessories</v>
      </c>
      <c r="J422" t="s">
        <v>59</v>
      </c>
      <c r="K422">
        <v>7</v>
      </c>
      <c r="L422">
        <f>_xlfn.XLOOKUP(H422,Table6[Product],Table6[Unit Price])</f>
        <v>3000</v>
      </c>
      <c r="M422">
        <f>_xlfn.XLOOKUP(H422,Table6[Product],Table6[Cost Price])</f>
        <v>1800</v>
      </c>
      <c r="N422" s="7">
        <v>0.22</v>
      </c>
      <c r="O422">
        <f t="shared" si="18"/>
        <v>16380</v>
      </c>
      <c r="P422">
        <f t="shared" si="19"/>
        <v>12600</v>
      </c>
      <c r="Q422">
        <f t="shared" si="20"/>
        <v>3780</v>
      </c>
      <c r="R422" t="s">
        <v>43</v>
      </c>
      <c r="S422" t="s">
        <v>50</v>
      </c>
    </row>
    <row r="423" spans="1:19" ht="18" x14ac:dyDescent="0.5">
      <c r="A423" t="s">
        <v>493</v>
      </c>
      <c r="B423" t="s">
        <v>1492</v>
      </c>
      <c r="C423" s="6">
        <v>45879</v>
      </c>
      <c r="D423" t="s">
        <v>2087</v>
      </c>
      <c r="E423" t="s">
        <v>2073</v>
      </c>
      <c r="F423" t="str">
        <f>_xlfn.XLOOKUP(E423,Table8[City],Table8[State])</f>
        <v>Maharashtra</v>
      </c>
      <c r="G423" t="str">
        <f>_xlfn.XLOOKUP(E423,Table8[City],Table8[Region])</f>
        <v>West</v>
      </c>
      <c r="H423" t="s">
        <v>16</v>
      </c>
      <c r="I423" t="str">
        <f>_xlfn.XLOOKUP(H423,Table6[Product],Table6[Category])</f>
        <v>Electronics</v>
      </c>
      <c r="J423" t="s">
        <v>56</v>
      </c>
      <c r="K423">
        <v>2</v>
      </c>
      <c r="L423">
        <f>_xlfn.XLOOKUP(H423,Table6[Product],Table6[Unit Price])</f>
        <v>65000</v>
      </c>
      <c r="M423">
        <f>_xlfn.XLOOKUP(H423,Table6[Product],Table6[Cost Price])</f>
        <v>52000</v>
      </c>
      <c r="N423" s="7">
        <v>0.05</v>
      </c>
      <c r="O423">
        <f t="shared" si="18"/>
        <v>123500</v>
      </c>
      <c r="P423">
        <f t="shared" si="19"/>
        <v>104000</v>
      </c>
      <c r="Q423">
        <f t="shared" si="20"/>
        <v>19500</v>
      </c>
      <c r="R423" t="s">
        <v>43</v>
      </c>
      <c r="S423" t="s">
        <v>50</v>
      </c>
    </row>
    <row r="424" spans="1:19" ht="18" x14ac:dyDescent="0.5">
      <c r="A424" t="s">
        <v>494</v>
      </c>
      <c r="B424" t="s">
        <v>1493</v>
      </c>
      <c r="C424" s="6">
        <v>45500</v>
      </c>
      <c r="D424" t="s">
        <v>2097</v>
      </c>
      <c r="E424" t="s">
        <v>2104</v>
      </c>
      <c r="F424" t="str">
        <f>_xlfn.XLOOKUP(E424,Table8[City],Table8[State])</f>
        <v>Delhi</v>
      </c>
      <c r="G424" t="str">
        <f>_xlfn.XLOOKUP(E424,Table8[City],Table8[Region])</f>
        <v>North</v>
      </c>
      <c r="H424" t="s">
        <v>24</v>
      </c>
      <c r="I424" t="str">
        <f>_xlfn.XLOOKUP(H424,Table6[Product],Table6[Category])</f>
        <v>Accessories</v>
      </c>
      <c r="J424" t="s">
        <v>60</v>
      </c>
      <c r="K424">
        <v>3</v>
      </c>
      <c r="L424">
        <f>_xlfn.XLOOKUP(H424,Table6[Product],Table6[Unit Price])</f>
        <v>1500</v>
      </c>
      <c r="M424">
        <f>_xlfn.XLOOKUP(H424,Table6[Product],Table6[Cost Price])</f>
        <v>900</v>
      </c>
      <c r="N424" s="7">
        <v>0.25</v>
      </c>
      <c r="O424">
        <f t="shared" si="18"/>
        <v>3375</v>
      </c>
      <c r="P424">
        <f t="shared" si="19"/>
        <v>2700</v>
      </c>
      <c r="Q424">
        <f t="shared" si="20"/>
        <v>675</v>
      </c>
      <c r="R424" t="s">
        <v>47</v>
      </c>
      <c r="S424" t="s">
        <v>50</v>
      </c>
    </row>
    <row r="425" spans="1:19" ht="18" x14ac:dyDescent="0.5">
      <c r="A425" t="s">
        <v>495</v>
      </c>
      <c r="B425" t="s">
        <v>1494</v>
      </c>
      <c r="C425" s="6">
        <v>45871</v>
      </c>
      <c r="D425" t="s">
        <v>2084</v>
      </c>
      <c r="E425" t="s">
        <v>2076</v>
      </c>
      <c r="F425" t="str">
        <f>_xlfn.XLOOKUP(E425,Table8[City],Table8[State])</f>
        <v>Tamil Nadu</v>
      </c>
      <c r="G425" t="str">
        <f>_xlfn.XLOOKUP(E425,Table8[City],Table8[Region])</f>
        <v>South</v>
      </c>
      <c r="H425" t="s">
        <v>20</v>
      </c>
      <c r="I425" t="str">
        <f>_xlfn.XLOOKUP(H425,Table6[Product],Table6[Category])</f>
        <v>Accessories</v>
      </c>
      <c r="J425" t="s">
        <v>63</v>
      </c>
      <c r="K425">
        <v>4</v>
      </c>
      <c r="L425">
        <f>_xlfn.XLOOKUP(H425,Table6[Product],Table6[Unit Price])</f>
        <v>3000</v>
      </c>
      <c r="M425">
        <f>_xlfn.XLOOKUP(H425,Table6[Product],Table6[Cost Price])</f>
        <v>1800</v>
      </c>
      <c r="N425" s="7">
        <v>0.01</v>
      </c>
      <c r="O425">
        <f t="shared" si="18"/>
        <v>11880</v>
      </c>
      <c r="P425">
        <f t="shared" si="19"/>
        <v>7200</v>
      </c>
      <c r="Q425">
        <f t="shared" si="20"/>
        <v>4680</v>
      </c>
      <c r="R425" t="s">
        <v>47</v>
      </c>
      <c r="S425" t="s">
        <v>51</v>
      </c>
    </row>
    <row r="426" spans="1:19" ht="18" x14ac:dyDescent="0.5">
      <c r="A426" t="s">
        <v>496</v>
      </c>
      <c r="B426" t="s">
        <v>1495</v>
      </c>
      <c r="C426" s="6">
        <v>45561</v>
      </c>
      <c r="D426" t="s">
        <v>2098</v>
      </c>
      <c r="E426" t="s">
        <v>2106</v>
      </c>
      <c r="F426" t="str">
        <f>_xlfn.XLOOKUP(E426,Table8[City],Table8[State])</f>
        <v>West Bengal</v>
      </c>
      <c r="G426" t="str">
        <f>_xlfn.XLOOKUP(E426,Table8[City],Table8[Region])</f>
        <v>East</v>
      </c>
      <c r="H426" t="s">
        <v>18</v>
      </c>
      <c r="I426" t="str">
        <f>_xlfn.XLOOKUP(H426,Table6[Product],Table6[Category])</f>
        <v>Electronics</v>
      </c>
      <c r="J426" t="s">
        <v>63</v>
      </c>
      <c r="K426">
        <v>5</v>
      </c>
      <c r="L426">
        <f>_xlfn.XLOOKUP(H426,Table6[Product],Table6[Unit Price])</f>
        <v>35000</v>
      </c>
      <c r="M426">
        <f>_xlfn.XLOOKUP(H426,Table6[Product],Table6[Cost Price])</f>
        <v>28000</v>
      </c>
      <c r="N426" s="7">
        <v>0</v>
      </c>
      <c r="O426">
        <f t="shared" si="18"/>
        <v>175000</v>
      </c>
      <c r="P426">
        <f t="shared" si="19"/>
        <v>140000</v>
      </c>
      <c r="Q426">
        <f t="shared" si="20"/>
        <v>35000</v>
      </c>
      <c r="R426" t="s">
        <v>43</v>
      </c>
      <c r="S426" t="s">
        <v>49</v>
      </c>
    </row>
    <row r="427" spans="1:19" ht="18" x14ac:dyDescent="0.5">
      <c r="A427" t="s">
        <v>497</v>
      </c>
      <c r="B427" t="s">
        <v>1496</v>
      </c>
      <c r="C427" s="6">
        <v>45295</v>
      </c>
      <c r="D427" t="s">
        <v>2083</v>
      </c>
      <c r="E427" t="s">
        <v>2072</v>
      </c>
      <c r="F427" t="str">
        <f>_xlfn.XLOOKUP(E427,Table8[City],Table8[State])</f>
        <v>Karnataka</v>
      </c>
      <c r="G427" t="str">
        <f>_xlfn.XLOOKUP(E427,Table8[City],Table8[Region])</f>
        <v>South</v>
      </c>
      <c r="H427" t="s">
        <v>16</v>
      </c>
      <c r="I427" t="str">
        <f>_xlfn.XLOOKUP(H427,Table6[Product],Table6[Category])</f>
        <v>Electronics</v>
      </c>
      <c r="J427" t="s">
        <v>55</v>
      </c>
      <c r="K427">
        <v>6</v>
      </c>
      <c r="L427">
        <f>_xlfn.XLOOKUP(H427,Table6[Product],Table6[Unit Price])</f>
        <v>65000</v>
      </c>
      <c r="M427">
        <f>_xlfn.XLOOKUP(H427,Table6[Product],Table6[Cost Price])</f>
        <v>52000</v>
      </c>
      <c r="N427" s="7">
        <v>0.22</v>
      </c>
      <c r="O427">
        <f t="shared" si="18"/>
        <v>304200</v>
      </c>
      <c r="P427">
        <f t="shared" si="19"/>
        <v>312000</v>
      </c>
      <c r="Q427">
        <f t="shared" si="20"/>
        <v>-7800</v>
      </c>
      <c r="R427" t="s">
        <v>47</v>
      </c>
      <c r="S427" t="s">
        <v>52</v>
      </c>
    </row>
    <row r="428" spans="1:19" ht="18" x14ac:dyDescent="0.5">
      <c r="A428" t="s">
        <v>498</v>
      </c>
      <c r="B428" t="s">
        <v>1497</v>
      </c>
      <c r="C428" s="6">
        <v>45809</v>
      </c>
      <c r="D428" t="s">
        <v>69</v>
      </c>
      <c r="E428" t="s">
        <v>2074</v>
      </c>
      <c r="F428" t="str">
        <f>_xlfn.XLOOKUP(E428,Table8[City],Table8[State])</f>
        <v>Maharashtra</v>
      </c>
      <c r="G428" t="str">
        <f>_xlfn.XLOOKUP(E428,Table8[City],Table8[Region])</f>
        <v>West</v>
      </c>
      <c r="H428" t="s">
        <v>22</v>
      </c>
      <c r="I428" t="str">
        <f>_xlfn.XLOOKUP(H428,Table6[Product],Table6[Category])</f>
        <v>Wearables</v>
      </c>
      <c r="J428" t="s">
        <v>59</v>
      </c>
      <c r="K428">
        <v>10</v>
      </c>
      <c r="L428">
        <f>_xlfn.XLOOKUP(H428,Table6[Product],Table6[Unit Price])</f>
        <v>12000</v>
      </c>
      <c r="M428">
        <f>_xlfn.XLOOKUP(H428,Table6[Product],Table6[Cost Price])</f>
        <v>8500</v>
      </c>
      <c r="N428" s="7">
        <v>0.23</v>
      </c>
      <c r="O428">
        <f t="shared" si="18"/>
        <v>92400</v>
      </c>
      <c r="P428">
        <f t="shared" si="19"/>
        <v>85000</v>
      </c>
      <c r="Q428">
        <f t="shared" si="20"/>
        <v>7400</v>
      </c>
      <c r="R428" t="s">
        <v>43</v>
      </c>
      <c r="S428" t="s">
        <v>51</v>
      </c>
    </row>
    <row r="429" spans="1:19" ht="18" x14ac:dyDescent="0.5">
      <c r="A429" t="s">
        <v>499</v>
      </c>
      <c r="B429" t="s">
        <v>1498</v>
      </c>
      <c r="C429" s="6">
        <v>45765</v>
      </c>
      <c r="D429" t="s">
        <v>2099</v>
      </c>
      <c r="E429" t="s">
        <v>2076</v>
      </c>
      <c r="F429" t="str">
        <f>_xlfn.XLOOKUP(E429,Table8[City],Table8[State])</f>
        <v>Tamil Nadu</v>
      </c>
      <c r="G429" t="str">
        <f>_xlfn.XLOOKUP(E429,Table8[City],Table8[Region])</f>
        <v>South</v>
      </c>
      <c r="H429" t="s">
        <v>19</v>
      </c>
      <c r="I429" t="str">
        <f>_xlfn.XLOOKUP(H429,Table6[Product],Table6[Category])</f>
        <v>Electronics</v>
      </c>
      <c r="J429" t="s">
        <v>55</v>
      </c>
      <c r="K429">
        <v>8</v>
      </c>
      <c r="L429">
        <f>_xlfn.XLOOKUP(H429,Table6[Product],Table6[Unit Price])</f>
        <v>25000</v>
      </c>
      <c r="M429">
        <f>_xlfn.XLOOKUP(H429,Table6[Product],Table6[Cost Price])</f>
        <v>20000</v>
      </c>
      <c r="N429" s="7">
        <v>0.1</v>
      </c>
      <c r="O429">
        <f t="shared" si="18"/>
        <v>180000</v>
      </c>
      <c r="P429">
        <f t="shared" si="19"/>
        <v>160000</v>
      </c>
      <c r="Q429">
        <f t="shared" si="20"/>
        <v>20000</v>
      </c>
      <c r="R429" t="s">
        <v>43</v>
      </c>
      <c r="S429" t="s">
        <v>52</v>
      </c>
    </row>
    <row r="430" spans="1:19" ht="18" x14ac:dyDescent="0.5">
      <c r="A430" t="s">
        <v>500</v>
      </c>
      <c r="B430" t="s">
        <v>1499</v>
      </c>
      <c r="C430" s="6">
        <v>46013</v>
      </c>
      <c r="D430" t="s">
        <v>2093</v>
      </c>
      <c r="E430" t="s">
        <v>2075</v>
      </c>
      <c r="F430" t="str">
        <f>_xlfn.XLOOKUP(E430,Table8[City],Table8[State])</f>
        <v>Tamil Nadu</v>
      </c>
      <c r="G430" t="str">
        <f>_xlfn.XLOOKUP(E430,Table8[City],Table8[Region])</f>
        <v>South</v>
      </c>
      <c r="H430" t="s">
        <v>26</v>
      </c>
      <c r="I430" t="str">
        <f>_xlfn.XLOOKUP(H430,Table6[Product],Table6[Category])</f>
        <v>Office</v>
      </c>
      <c r="J430" t="s">
        <v>61</v>
      </c>
      <c r="K430">
        <v>7</v>
      </c>
      <c r="L430">
        <f>_xlfn.XLOOKUP(H430,Table6[Product],Table6[Unit Price])</f>
        <v>15000</v>
      </c>
      <c r="M430">
        <f>_xlfn.XLOOKUP(H430,Table6[Product],Table6[Cost Price])</f>
        <v>11500</v>
      </c>
      <c r="N430" s="7">
        <v>0.02</v>
      </c>
      <c r="O430">
        <f t="shared" si="18"/>
        <v>102900</v>
      </c>
      <c r="P430">
        <f t="shared" si="19"/>
        <v>80500</v>
      </c>
      <c r="Q430">
        <f t="shared" si="20"/>
        <v>22400</v>
      </c>
      <c r="R430" t="s">
        <v>45</v>
      </c>
      <c r="S430" t="s">
        <v>50</v>
      </c>
    </row>
    <row r="431" spans="1:19" ht="18" x14ac:dyDescent="0.5">
      <c r="A431" t="s">
        <v>501</v>
      </c>
      <c r="B431" t="s">
        <v>1500</v>
      </c>
      <c r="C431" s="6">
        <v>45699</v>
      </c>
      <c r="D431" t="s">
        <v>2089</v>
      </c>
      <c r="E431" t="s">
        <v>70</v>
      </c>
      <c r="F431" t="str">
        <f>_xlfn.XLOOKUP(E431,Table8[City],Table8[State])</f>
        <v>Karnataka</v>
      </c>
      <c r="G431" t="str">
        <f>_xlfn.XLOOKUP(E431,Table8[City],Table8[Region])</f>
        <v>South</v>
      </c>
      <c r="H431" t="s">
        <v>28</v>
      </c>
      <c r="I431" t="str">
        <f>_xlfn.XLOOKUP(H431,Table6[Product],Table6[Category])</f>
        <v>Office</v>
      </c>
      <c r="J431" t="s">
        <v>57</v>
      </c>
      <c r="K431">
        <v>8</v>
      </c>
      <c r="L431">
        <f>_xlfn.XLOOKUP(H431,Table6[Product],Table6[Unit Price])</f>
        <v>18000</v>
      </c>
      <c r="M431">
        <f>_xlfn.XLOOKUP(H431,Table6[Product],Table6[Cost Price])</f>
        <v>14000</v>
      </c>
      <c r="N431" s="7">
        <v>0.25</v>
      </c>
      <c r="O431">
        <f t="shared" si="18"/>
        <v>108000</v>
      </c>
      <c r="P431">
        <f t="shared" si="19"/>
        <v>112000</v>
      </c>
      <c r="Q431">
        <f t="shared" si="20"/>
        <v>-4000</v>
      </c>
      <c r="R431" t="s">
        <v>44</v>
      </c>
      <c r="S431" t="s">
        <v>50</v>
      </c>
    </row>
    <row r="432" spans="1:19" ht="18" x14ac:dyDescent="0.5">
      <c r="A432" t="s">
        <v>502</v>
      </c>
      <c r="B432" t="s">
        <v>1501</v>
      </c>
      <c r="C432" s="6">
        <v>45426</v>
      </c>
      <c r="D432" t="s">
        <v>2085</v>
      </c>
      <c r="E432" t="s">
        <v>2074</v>
      </c>
      <c r="F432" t="str">
        <f>_xlfn.XLOOKUP(E432,Table8[City],Table8[State])</f>
        <v>Maharashtra</v>
      </c>
      <c r="G432" t="str">
        <f>_xlfn.XLOOKUP(E432,Table8[City],Table8[Region])</f>
        <v>West</v>
      </c>
      <c r="H432" t="s">
        <v>29</v>
      </c>
      <c r="I432" t="str">
        <f>_xlfn.XLOOKUP(H432,Table6[Product],Table6[Category])</f>
        <v>Electronics</v>
      </c>
      <c r="J432" t="s">
        <v>58</v>
      </c>
      <c r="K432">
        <v>5</v>
      </c>
      <c r="L432">
        <f>_xlfn.XLOOKUP(H432,Table6[Product],Table6[Unit Price])</f>
        <v>5000</v>
      </c>
      <c r="M432">
        <f>_xlfn.XLOOKUP(H432,Table6[Product],Table6[Cost Price])</f>
        <v>3200</v>
      </c>
      <c r="N432" s="7">
        <v>0.25</v>
      </c>
      <c r="O432">
        <f t="shared" si="18"/>
        <v>18750</v>
      </c>
      <c r="P432">
        <f t="shared" si="19"/>
        <v>16000</v>
      </c>
      <c r="Q432">
        <f t="shared" si="20"/>
        <v>2750</v>
      </c>
      <c r="R432" t="s">
        <v>47</v>
      </c>
      <c r="S432" t="s">
        <v>52</v>
      </c>
    </row>
    <row r="433" spans="1:19" ht="18" x14ac:dyDescent="0.5">
      <c r="A433" t="s">
        <v>503</v>
      </c>
      <c r="B433" t="s">
        <v>1502</v>
      </c>
      <c r="C433" s="6">
        <v>45853</v>
      </c>
      <c r="D433" t="s">
        <v>2087</v>
      </c>
      <c r="E433" t="s">
        <v>2076</v>
      </c>
      <c r="F433" t="str">
        <f>_xlfn.XLOOKUP(E433,Table8[City],Table8[State])</f>
        <v>Tamil Nadu</v>
      </c>
      <c r="G433" t="str">
        <f>_xlfn.XLOOKUP(E433,Table8[City],Table8[Region])</f>
        <v>South</v>
      </c>
      <c r="H433" t="s">
        <v>26</v>
      </c>
      <c r="I433" t="str">
        <f>_xlfn.XLOOKUP(H433,Table6[Product],Table6[Category])</f>
        <v>Office</v>
      </c>
      <c r="J433" t="s">
        <v>55</v>
      </c>
      <c r="K433">
        <v>10</v>
      </c>
      <c r="L433">
        <f>_xlfn.XLOOKUP(H433,Table6[Product],Table6[Unit Price])</f>
        <v>15000</v>
      </c>
      <c r="M433">
        <f>_xlfn.XLOOKUP(H433,Table6[Product],Table6[Cost Price])</f>
        <v>11500</v>
      </c>
      <c r="N433" s="7">
        <v>0.3</v>
      </c>
      <c r="O433">
        <f t="shared" si="18"/>
        <v>105000</v>
      </c>
      <c r="P433">
        <f t="shared" si="19"/>
        <v>115000</v>
      </c>
      <c r="Q433">
        <f t="shared" si="20"/>
        <v>-10000</v>
      </c>
      <c r="R433" t="s">
        <v>47</v>
      </c>
      <c r="S433" t="s">
        <v>50</v>
      </c>
    </row>
    <row r="434" spans="1:19" ht="18" x14ac:dyDescent="0.5">
      <c r="A434" t="s">
        <v>504</v>
      </c>
      <c r="B434" t="s">
        <v>1503</v>
      </c>
      <c r="C434" s="6">
        <v>45369</v>
      </c>
      <c r="D434" t="s">
        <v>2097</v>
      </c>
      <c r="E434" t="s">
        <v>2104</v>
      </c>
      <c r="F434" t="str">
        <f>_xlfn.XLOOKUP(E434,Table8[City],Table8[State])</f>
        <v>Delhi</v>
      </c>
      <c r="G434" t="str">
        <f>_xlfn.XLOOKUP(E434,Table8[City],Table8[Region])</f>
        <v>North</v>
      </c>
      <c r="H434" t="s">
        <v>18</v>
      </c>
      <c r="I434" t="str">
        <f>_xlfn.XLOOKUP(H434,Table6[Product],Table6[Category])</f>
        <v>Electronics</v>
      </c>
      <c r="J434" t="s">
        <v>54</v>
      </c>
      <c r="K434">
        <v>7</v>
      </c>
      <c r="L434">
        <f>_xlfn.XLOOKUP(H434,Table6[Product],Table6[Unit Price])</f>
        <v>35000</v>
      </c>
      <c r="M434">
        <f>_xlfn.XLOOKUP(H434,Table6[Product],Table6[Cost Price])</f>
        <v>28000</v>
      </c>
      <c r="N434" s="7">
        <v>0.03</v>
      </c>
      <c r="O434">
        <f t="shared" si="18"/>
        <v>237650</v>
      </c>
      <c r="P434">
        <f t="shared" si="19"/>
        <v>196000</v>
      </c>
      <c r="Q434">
        <f t="shared" si="20"/>
        <v>41650</v>
      </c>
      <c r="R434" t="s">
        <v>45</v>
      </c>
      <c r="S434" t="s">
        <v>50</v>
      </c>
    </row>
    <row r="435" spans="1:19" ht="18" x14ac:dyDescent="0.5">
      <c r="A435" t="s">
        <v>505</v>
      </c>
      <c r="B435" t="s">
        <v>1504</v>
      </c>
      <c r="C435" s="6">
        <v>45371</v>
      </c>
      <c r="D435" t="s">
        <v>2096</v>
      </c>
      <c r="E435" t="s">
        <v>2104</v>
      </c>
      <c r="F435" t="str">
        <f>_xlfn.XLOOKUP(E435,Table8[City],Table8[State])</f>
        <v>Delhi</v>
      </c>
      <c r="G435" t="str">
        <f>_xlfn.XLOOKUP(E435,Table8[City],Table8[Region])</f>
        <v>North</v>
      </c>
      <c r="H435" t="s">
        <v>20</v>
      </c>
      <c r="I435" t="str">
        <f>_xlfn.XLOOKUP(H435,Table6[Product],Table6[Category])</f>
        <v>Accessories</v>
      </c>
      <c r="J435" t="s">
        <v>57</v>
      </c>
      <c r="K435">
        <v>6</v>
      </c>
      <c r="L435">
        <f>_xlfn.XLOOKUP(H435,Table6[Product],Table6[Unit Price])</f>
        <v>3000</v>
      </c>
      <c r="M435">
        <f>_xlfn.XLOOKUP(H435,Table6[Product],Table6[Cost Price])</f>
        <v>1800</v>
      </c>
      <c r="N435" s="7">
        <v>0.12</v>
      </c>
      <c r="O435">
        <f t="shared" si="18"/>
        <v>15840</v>
      </c>
      <c r="P435">
        <f t="shared" si="19"/>
        <v>10800</v>
      </c>
      <c r="Q435">
        <f t="shared" si="20"/>
        <v>5040</v>
      </c>
      <c r="R435" t="s">
        <v>44</v>
      </c>
      <c r="S435" t="s">
        <v>51</v>
      </c>
    </row>
    <row r="436" spans="1:19" ht="18" x14ac:dyDescent="0.5">
      <c r="A436" t="s">
        <v>506</v>
      </c>
      <c r="B436" t="s">
        <v>1505</v>
      </c>
      <c r="C436" s="6">
        <v>45640</v>
      </c>
      <c r="D436" t="s">
        <v>2084</v>
      </c>
      <c r="E436" t="s">
        <v>2077</v>
      </c>
      <c r="F436" t="str">
        <f>_xlfn.XLOOKUP(E436,Table8[City],Table8[State])</f>
        <v>Telangana</v>
      </c>
      <c r="G436" t="str">
        <f>_xlfn.XLOOKUP(E436,Table8[City],Table8[Region])</f>
        <v>South</v>
      </c>
      <c r="H436" t="s">
        <v>16</v>
      </c>
      <c r="I436" t="str">
        <f>_xlfn.XLOOKUP(H436,Table6[Product],Table6[Category])</f>
        <v>Electronics</v>
      </c>
      <c r="J436" t="s">
        <v>63</v>
      </c>
      <c r="K436">
        <v>2</v>
      </c>
      <c r="L436">
        <f>_xlfn.XLOOKUP(H436,Table6[Product],Table6[Unit Price])</f>
        <v>65000</v>
      </c>
      <c r="M436">
        <f>_xlfn.XLOOKUP(H436,Table6[Product],Table6[Cost Price])</f>
        <v>52000</v>
      </c>
      <c r="N436" s="7">
        <v>0.15</v>
      </c>
      <c r="O436">
        <f t="shared" si="18"/>
        <v>110500</v>
      </c>
      <c r="P436">
        <f t="shared" si="19"/>
        <v>104000</v>
      </c>
      <c r="Q436">
        <f t="shared" si="20"/>
        <v>6500</v>
      </c>
      <c r="R436" t="s">
        <v>44</v>
      </c>
      <c r="S436" t="s">
        <v>50</v>
      </c>
    </row>
    <row r="437" spans="1:19" ht="18" x14ac:dyDescent="0.5">
      <c r="A437" t="s">
        <v>507</v>
      </c>
      <c r="B437" t="s">
        <v>1506</v>
      </c>
      <c r="C437" s="6">
        <v>45305</v>
      </c>
      <c r="D437" t="s">
        <v>2085</v>
      </c>
      <c r="E437" t="s">
        <v>2106</v>
      </c>
      <c r="F437" t="str">
        <f>_xlfn.XLOOKUP(E437,Table8[City],Table8[State])</f>
        <v>West Bengal</v>
      </c>
      <c r="G437" t="str">
        <f>_xlfn.XLOOKUP(E437,Table8[City],Table8[Region])</f>
        <v>East</v>
      </c>
      <c r="H437" t="s">
        <v>16</v>
      </c>
      <c r="I437" t="str">
        <f>_xlfn.XLOOKUP(H437,Table6[Product],Table6[Category])</f>
        <v>Electronics</v>
      </c>
      <c r="J437" t="s">
        <v>56</v>
      </c>
      <c r="K437">
        <v>4</v>
      </c>
      <c r="L437">
        <f>_xlfn.XLOOKUP(H437,Table6[Product],Table6[Unit Price])</f>
        <v>65000</v>
      </c>
      <c r="M437">
        <f>_xlfn.XLOOKUP(H437,Table6[Product],Table6[Cost Price])</f>
        <v>52000</v>
      </c>
      <c r="N437" s="7">
        <v>0.02</v>
      </c>
      <c r="O437">
        <f t="shared" si="18"/>
        <v>254800</v>
      </c>
      <c r="P437">
        <f t="shared" si="19"/>
        <v>208000</v>
      </c>
      <c r="Q437">
        <f t="shared" si="20"/>
        <v>46800</v>
      </c>
      <c r="R437" t="s">
        <v>44</v>
      </c>
      <c r="S437" t="s">
        <v>49</v>
      </c>
    </row>
    <row r="438" spans="1:19" ht="18" x14ac:dyDescent="0.5">
      <c r="A438" t="s">
        <v>508</v>
      </c>
      <c r="B438" t="s">
        <v>1507</v>
      </c>
      <c r="C438" s="6">
        <v>45307</v>
      </c>
      <c r="D438" t="s">
        <v>2092</v>
      </c>
      <c r="E438" t="s">
        <v>2076</v>
      </c>
      <c r="F438" t="str">
        <f>_xlfn.XLOOKUP(E438,Table8[City],Table8[State])</f>
        <v>Tamil Nadu</v>
      </c>
      <c r="G438" t="str">
        <f>_xlfn.XLOOKUP(E438,Table8[City],Table8[Region])</f>
        <v>South</v>
      </c>
      <c r="H438" t="s">
        <v>26</v>
      </c>
      <c r="I438" t="str">
        <f>_xlfn.XLOOKUP(H438,Table6[Product],Table6[Category])</f>
        <v>Office</v>
      </c>
      <c r="J438" t="s">
        <v>63</v>
      </c>
      <c r="K438">
        <v>7</v>
      </c>
      <c r="L438">
        <f>_xlfn.XLOOKUP(H438,Table6[Product],Table6[Unit Price])</f>
        <v>15000</v>
      </c>
      <c r="M438">
        <f>_xlfn.XLOOKUP(H438,Table6[Product],Table6[Cost Price])</f>
        <v>11500</v>
      </c>
      <c r="N438" s="7">
        <v>0.13</v>
      </c>
      <c r="O438">
        <f t="shared" si="18"/>
        <v>91350</v>
      </c>
      <c r="P438">
        <f t="shared" si="19"/>
        <v>80500</v>
      </c>
      <c r="Q438">
        <f t="shared" si="20"/>
        <v>10850</v>
      </c>
      <c r="R438" t="s">
        <v>43</v>
      </c>
      <c r="S438" t="s">
        <v>51</v>
      </c>
    </row>
    <row r="439" spans="1:19" ht="18" x14ac:dyDescent="0.5">
      <c r="A439" t="s">
        <v>509</v>
      </c>
      <c r="B439" t="s">
        <v>1508</v>
      </c>
      <c r="C439" s="6">
        <v>45546</v>
      </c>
      <c r="D439" t="s">
        <v>2093</v>
      </c>
      <c r="E439" t="s">
        <v>2106</v>
      </c>
      <c r="F439" t="str">
        <f>_xlfn.XLOOKUP(E439,Table8[City],Table8[State])</f>
        <v>West Bengal</v>
      </c>
      <c r="G439" t="str">
        <f>_xlfn.XLOOKUP(E439,Table8[City],Table8[Region])</f>
        <v>East</v>
      </c>
      <c r="H439" t="s">
        <v>22</v>
      </c>
      <c r="I439" t="str">
        <f>_xlfn.XLOOKUP(H439,Table6[Product],Table6[Category])</f>
        <v>Wearables</v>
      </c>
      <c r="J439" t="s">
        <v>57</v>
      </c>
      <c r="K439">
        <v>3</v>
      </c>
      <c r="L439">
        <f>_xlfn.XLOOKUP(H439,Table6[Product],Table6[Unit Price])</f>
        <v>12000</v>
      </c>
      <c r="M439">
        <f>_xlfn.XLOOKUP(H439,Table6[Product],Table6[Cost Price])</f>
        <v>8500</v>
      </c>
      <c r="N439" s="7">
        <v>0.15</v>
      </c>
      <c r="O439">
        <f t="shared" si="18"/>
        <v>30600</v>
      </c>
      <c r="P439">
        <f t="shared" si="19"/>
        <v>25500</v>
      </c>
      <c r="Q439">
        <f t="shared" si="20"/>
        <v>5100</v>
      </c>
      <c r="R439" t="s">
        <v>45</v>
      </c>
      <c r="S439" t="s">
        <v>49</v>
      </c>
    </row>
    <row r="440" spans="1:19" ht="18" x14ac:dyDescent="0.5">
      <c r="A440" t="s">
        <v>510</v>
      </c>
      <c r="B440" t="s">
        <v>1509</v>
      </c>
      <c r="C440" s="6">
        <v>45875</v>
      </c>
      <c r="D440" t="s">
        <v>2091</v>
      </c>
      <c r="E440" t="s">
        <v>2106</v>
      </c>
      <c r="F440" t="str">
        <f>_xlfn.XLOOKUP(E440,Table8[City],Table8[State])</f>
        <v>West Bengal</v>
      </c>
      <c r="G440" t="str">
        <f>_xlfn.XLOOKUP(E440,Table8[City],Table8[Region])</f>
        <v>East</v>
      </c>
      <c r="H440" t="s">
        <v>24</v>
      </c>
      <c r="I440" t="str">
        <f>_xlfn.XLOOKUP(H440,Table6[Product],Table6[Category])</f>
        <v>Accessories</v>
      </c>
      <c r="J440" t="s">
        <v>63</v>
      </c>
      <c r="K440">
        <v>5</v>
      </c>
      <c r="L440">
        <f>_xlfn.XLOOKUP(H440,Table6[Product],Table6[Unit Price])</f>
        <v>1500</v>
      </c>
      <c r="M440">
        <f>_xlfn.XLOOKUP(H440,Table6[Product],Table6[Cost Price])</f>
        <v>900</v>
      </c>
      <c r="N440" s="7">
        <v>0.09</v>
      </c>
      <c r="O440">
        <f t="shared" si="18"/>
        <v>6825</v>
      </c>
      <c r="P440">
        <f t="shared" si="19"/>
        <v>4500</v>
      </c>
      <c r="Q440">
        <f t="shared" si="20"/>
        <v>2325</v>
      </c>
      <c r="R440" t="s">
        <v>43</v>
      </c>
      <c r="S440" t="s">
        <v>51</v>
      </c>
    </row>
    <row r="441" spans="1:19" ht="18" x14ac:dyDescent="0.5">
      <c r="A441" t="s">
        <v>511</v>
      </c>
      <c r="B441" t="s">
        <v>1510</v>
      </c>
      <c r="C441" s="6">
        <v>45409</v>
      </c>
      <c r="D441" t="s">
        <v>2086</v>
      </c>
      <c r="E441" t="s">
        <v>2074</v>
      </c>
      <c r="F441" t="str">
        <f>_xlfn.XLOOKUP(E441,Table8[City],Table8[State])</f>
        <v>Maharashtra</v>
      </c>
      <c r="G441" t="str">
        <f>_xlfn.XLOOKUP(E441,Table8[City],Table8[Region])</f>
        <v>West</v>
      </c>
      <c r="H441" t="s">
        <v>18</v>
      </c>
      <c r="I441" t="str">
        <f>_xlfn.XLOOKUP(H441,Table6[Product],Table6[Category])</f>
        <v>Electronics</v>
      </c>
      <c r="J441" t="s">
        <v>58</v>
      </c>
      <c r="K441">
        <v>1</v>
      </c>
      <c r="L441">
        <f>_xlfn.XLOOKUP(H441,Table6[Product],Table6[Unit Price])</f>
        <v>35000</v>
      </c>
      <c r="M441">
        <f>_xlfn.XLOOKUP(H441,Table6[Product],Table6[Cost Price])</f>
        <v>28000</v>
      </c>
      <c r="N441" s="7">
        <v>7.0000000000000007E-2</v>
      </c>
      <c r="O441">
        <f t="shared" si="18"/>
        <v>32549.999999999996</v>
      </c>
      <c r="P441">
        <f t="shared" si="19"/>
        <v>28000</v>
      </c>
      <c r="Q441">
        <f t="shared" si="20"/>
        <v>4549.9999999999964</v>
      </c>
      <c r="R441" t="s">
        <v>46</v>
      </c>
      <c r="S441" t="s">
        <v>51</v>
      </c>
    </row>
    <row r="442" spans="1:19" ht="18" x14ac:dyDescent="0.5">
      <c r="A442" t="s">
        <v>512</v>
      </c>
      <c r="B442" t="s">
        <v>1511</v>
      </c>
      <c r="C442" s="6">
        <v>45376</v>
      </c>
      <c r="D442" t="s">
        <v>69</v>
      </c>
      <c r="E442" t="s">
        <v>2075</v>
      </c>
      <c r="F442" t="str">
        <f>_xlfn.XLOOKUP(E442,Table8[City],Table8[State])</f>
        <v>Tamil Nadu</v>
      </c>
      <c r="G442" t="str">
        <f>_xlfn.XLOOKUP(E442,Table8[City],Table8[Region])</f>
        <v>South</v>
      </c>
      <c r="H442" t="s">
        <v>29</v>
      </c>
      <c r="I442" t="str">
        <f>_xlfn.XLOOKUP(H442,Table6[Product],Table6[Category])</f>
        <v>Electronics</v>
      </c>
      <c r="J442" t="s">
        <v>62</v>
      </c>
      <c r="K442">
        <v>10</v>
      </c>
      <c r="L442">
        <f>_xlfn.XLOOKUP(H442,Table6[Product],Table6[Unit Price])</f>
        <v>5000</v>
      </c>
      <c r="M442">
        <f>_xlfn.XLOOKUP(H442,Table6[Product],Table6[Cost Price])</f>
        <v>3200</v>
      </c>
      <c r="N442" s="7">
        <v>0.09</v>
      </c>
      <c r="O442">
        <f t="shared" si="18"/>
        <v>45500</v>
      </c>
      <c r="P442">
        <f t="shared" si="19"/>
        <v>32000</v>
      </c>
      <c r="Q442">
        <f t="shared" si="20"/>
        <v>13500</v>
      </c>
      <c r="R442" t="s">
        <v>47</v>
      </c>
      <c r="S442" t="s">
        <v>50</v>
      </c>
    </row>
    <row r="443" spans="1:19" ht="18" x14ac:dyDescent="0.5">
      <c r="A443" t="s">
        <v>513</v>
      </c>
      <c r="B443" t="s">
        <v>1512</v>
      </c>
      <c r="C443" s="6">
        <v>45495</v>
      </c>
      <c r="D443" t="s">
        <v>2086</v>
      </c>
      <c r="E443" t="s">
        <v>70</v>
      </c>
      <c r="F443" t="str">
        <f>_xlfn.XLOOKUP(E443,Table8[City],Table8[State])</f>
        <v>Karnataka</v>
      </c>
      <c r="G443" t="str">
        <f>_xlfn.XLOOKUP(E443,Table8[City],Table8[Region])</f>
        <v>South</v>
      </c>
      <c r="H443" t="s">
        <v>29</v>
      </c>
      <c r="I443" t="str">
        <f>_xlfn.XLOOKUP(H443,Table6[Product],Table6[Category])</f>
        <v>Electronics</v>
      </c>
      <c r="J443" t="s">
        <v>56</v>
      </c>
      <c r="K443">
        <v>2</v>
      </c>
      <c r="L443">
        <f>_xlfn.XLOOKUP(H443,Table6[Product],Table6[Unit Price])</f>
        <v>5000</v>
      </c>
      <c r="M443">
        <f>_xlfn.XLOOKUP(H443,Table6[Product],Table6[Cost Price])</f>
        <v>3200</v>
      </c>
      <c r="N443" s="7">
        <v>0.19</v>
      </c>
      <c r="O443">
        <f t="shared" si="18"/>
        <v>8100.0000000000009</v>
      </c>
      <c r="P443">
        <f t="shared" si="19"/>
        <v>6400</v>
      </c>
      <c r="Q443">
        <f t="shared" si="20"/>
        <v>1700.0000000000009</v>
      </c>
      <c r="R443" t="s">
        <v>43</v>
      </c>
      <c r="S443" t="s">
        <v>49</v>
      </c>
    </row>
    <row r="444" spans="1:19" ht="18" x14ac:dyDescent="0.5">
      <c r="A444" t="s">
        <v>514</v>
      </c>
      <c r="B444" t="s">
        <v>1513</v>
      </c>
      <c r="C444" s="6">
        <v>45381</v>
      </c>
      <c r="D444" t="s">
        <v>2096</v>
      </c>
      <c r="E444" t="s">
        <v>70</v>
      </c>
      <c r="F444" t="str">
        <f>_xlfn.XLOOKUP(E444,Table8[City],Table8[State])</f>
        <v>Karnataka</v>
      </c>
      <c r="G444" t="str">
        <f>_xlfn.XLOOKUP(E444,Table8[City],Table8[Region])</f>
        <v>South</v>
      </c>
      <c r="H444" t="s">
        <v>28</v>
      </c>
      <c r="I444" t="str">
        <f>_xlfn.XLOOKUP(H444,Table6[Product],Table6[Category])</f>
        <v>Office</v>
      </c>
      <c r="J444" t="s">
        <v>60</v>
      </c>
      <c r="K444">
        <v>5</v>
      </c>
      <c r="L444">
        <f>_xlfn.XLOOKUP(H444,Table6[Product],Table6[Unit Price])</f>
        <v>18000</v>
      </c>
      <c r="M444">
        <f>_xlfn.XLOOKUP(H444,Table6[Product],Table6[Cost Price])</f>
        <v>14000</v>
      </c>
      <c r="N444" s="7">
        <v>0.3</v>
      </c>
      <c r="O444">
        <f t="shared" si="18"/>
        <v>62999.999999999993</v>
      </c>
      <c r="P444">
        <f t="shared" si="19"/>
        <v>70000</v>
      </c>
      <c r="Q444">
        <f t="shared" si="20"/>
        <v>-7000.0000000000073</v>
      </c>
      <c r="R444" t="s">
        <v>47</v>
      </c>
      <c r="S444" t="s">
        <v>49</v>
      </c>
    </row>
    <row r="445" spans="1:19" ht="18" x14ac:dyDescent="0.5">
      <c r="A445" t="s">
        <v>515</v>
      </c>
      <c r="B445" t="s">
        <v>1514</v>
      </c>
      <c r="C445" s="6">
        <v>45842</v>
      </c>
      <c r="D445" t="s">
        <v>2086</v>
      </c>
      <c r="E445" t="s">
        <v>70</v>
      </c>
      <c r="F445" t="str">
        <f>_xlfn.XLOOKUP(E445,Table8[City],Table8[State])</f>
        <v>Karnataka</v>
      </c>
      <c r="G445" t="str">
        <f>_xlfn.XLOOKUP(E445,Table8[City],Table8[Region])</f>
        <v>South</v>
      </c>
      <c r="H445" t="s">
        <v>26</v>
      </c>
      <c r="I445" t="str">
        <f>_xlfn.XLOOKUP(H445,Table6[Product],Table6[Category])</f>
        <v>Office</v>
      </c>
      <c r="J445" t="s">
        <v>63</v>
      </c>
      <c r="K445">
        <v>1</v>
      </c>
      <c r="L445">
        <f>_xlfn.XLOOKUP(H445,Table6[Product],Table6[Unit Price])</f>
        <v>15000</v>
      </c>
      <c r="M445">
        <f>_xlfn.XLOOKUP(H445,Table6[Product],Table6[Cost Price])</f>
        <v>11500</v>
      </c>
      <c r="N445" s="7">
        <v>0.1</v>
      </c>
      <c r="O445">
        <f t="shared" si="18"/>
        <v>13500</v>
      </c>
      <c r="P445">
        <f t="shared" si="19"/>
        <v>11500</v>
      </c>
      <c r="Q445">
        <f t="shared" si="20"/>
        <v>2000</v>
      </c>
      <c r="R445" t="s">
        <v>45</v>
      </c>
      <c r="S445" t="s">
        <v>50</v>
      </c>
    </row>
    <row r="446" spans="1:19" ht="18" x14ac:dyDescent="0.5">
      <c r="A446" t="s">
        <v>516</v>
      </c>
      <c r="B446" t="s">
        <v>1515</v>
      </c>
      <c r="C446" s="6">
        <v>45654</v>
      </c>
      <c r="D446" t="s">
        <v>2097</v>
      </c>
      <c r="E446" t="s">
        <v>2074</v>
      </c>
      <c r="F446" t="str">
        <f>_xlfn.XLOOKUP(E446,Table8[City],Table8[State])</f>
        <v>Maharashtra</v>
      </c>
      <c r="G446" t="str">
        <f>_xlfn.XLOOKUP(E446,Table8[City],Table8[Region])</f>
        <v>West</v>
      </c>
      <c r="H446" t="s">
        <v>26</v>
      </c>
      <c r="I446" t="str">
        <f>_xlfn.XLOOKUP(H446,Table6[Product],Table6[Category])</f>
        <v>Office</v>
      </c>
      <c r="J446" t="s">
        <v>57</v>
      </c>
      <c r="K446">
        <v>8</v>
      </c>
      <c r="L446">
        <f>_xlfn.XLOOKUP(H446,Table6[Product],Table6[Unit Price])</f>
        <v>15000</v>
      </c>
      <c r="M446">
        <f>_xlfn.XLOOKUP(H446,Table6[Product],Table6[Cost Price])</f>
        <v>11500</v>
      </c>
      <c r="N446" s="7">
        <v>0.23</v>
      </c>
      <c r="O446">
        <f t="shared" si="18"/>
        <v>92400</v>
      </c>
      <c r="P446">
        <f t="shared" si="19"/>
        <v>92000</v>
      </c>
      <c r="Q446">
        <f t="shared" si="20"/>
        <v>400</v>
      </c>
      <c r="R446" t="s">
        <v>46</v>
      </c>
      <c r="S446" t="s">
        <v>52</v>
      </c>
    </row>
    <row r="447" spans="1:19" ht="18" x14ac:dyDescent="0.5">
      <c r="A447" t="s">
        <v>517</v>
      </c>
      <c r="B447" t="s">
        <v>1516</v>
      </c>
      <c r="C447" s="6">
        <v>45396</v>
      </c>
      <c r="D447" t="s">
        <v>2091</v>
      </c>
      <c r="E447" t="s">
        <v>2073</v>
      </c>
      <c r="F447" t="str">
        <f>_xlfn.XLOOKUP(E447,Table8[City],Table8[State])</f>
        <v>Maharashtra</v>
      </c>
      <c r="G447" t="str">
        <f>_xlfn.XLOOKUP(E447,Table8[City],Table8[Region])</f>
        <v>West</v>
      </c>
      <c r="H447" t="s">
        <v>16</v>
      </c>
      <c r="I447" t="str">
        <f>_xlfn.XLOOKUP(H447,Table6[Product],Table6[Category])</f>
        <v>Electronics</v>
      </c>
      <c r="J447" t="s">
        <v>60</v>
      </c>
      <c r="K447">
        <v>3</v>
      </c>
      <c r="L447">
        <f>_xlfn.XLOOKUP(H447,Table6[Product],Table6[Unit Price])</f>
        <v>65000</v>
      </c>
      <c r="M447">
        <f>_xlfn.XLOOKUP(H447,Table6[Product],Table6[Cost Price])</f>
        <v>52000</v>
      </c>
      <c r="N447" s="7">
        <v>0.2</v>
      </c>
      <c r="O447">
        <f t="shared" si="18"/>
        <v>156000</v>
      </c>
      <c r="P447">
        <f t="shared" si="19"/>
        <v>156000</v>
      </c>
      <c r="Q447">
        <f t="shared" si="20"/>
        <v>0</v>
      </c>
      <c r="R447" t="s">
        <v>45</v>
      </c>
      <c r="S447" t="s">
        <v>52</v>
      </c>
    </row>
    <row r="448" spans="1:19" ht="18" x14ac:dyDescent="0.5">
      <c r="A448" t="s">
        <v>518</v>
      </c>
      <c r="B448" t="s">
        <v>1517</v>
      </c>
      <c r="C448" s="6">
        <v>45547</v>
      </c>
      <c r="D448" t="s">
        <v>2085</v>
      </c>
      <c r="E448" t="s">
        <v>2106</v>
      </c>
      <c r="F448" t="str">
        <f>_xlfn.XLOOKUP(E448,Table8[City],Table8[State])</f>
        <v>West Bengal</v>
      </c>
      <c r="G448" t="str">
        <f>_xlfn.XLOOKUP(E448,Table8[City],Table8[Region])</f>
        <v>East</v>
      </c>
      <c r="H448" t="s">
        <v>19</v>
      </c>
      <c r="I448" t="str">
        <f>_xlfn.XLOOKUP(H448,Table6[Product],Table6[Category])</f>
        <v>Electronics</v>
      </c>
      <c r="J448" t="s">
        <v>62</v>
      </c>
      <c r="K448">
        <v>6</v>
      </c>
      <c r="L448">
        <f>_xlfn.XLOOKUP(H448,Table6[Product],Table6[Unit Price])</f>
        <v>25000</v>
      </c>
      <c r="M448">
        <f>_xlfn.XLOOKUP(H448,Table6[Product],Table6[Cost Price])</f>
        <v>20000</v>
      </c>
      <c r="N448" s="7">
        <v>0.19</v>
      </c>
      <c r="O448">
        <f t="shared" si="18"/>
        <v>121500.00000000001</v>
      </c>
      <c r="P448">
        <f t="shared" si="19"/>
        <v>120000</v>
      </c>
      <c r="Q448">
        <f t="shared" si="20"/>
        <v>1500.0000000000146</v>
      </c>
      <c r="R448" t="s">
        <v>45</v>
      </c>
      <c r="S448" t="s">
        <v>49</v>
      </c>
    </row>
    <row r="449" spans="1:19" ht="18" x14ac:dyDescent="0.5">
      <c r="A449" t="s">
        <v>519</v>
      </c>
      <c r="B449" t="s">
        <v>1518</v>
      </c>
      <c r="C449" s="6">
        <v>45747</v>
      </c>
      <c r="D449" t="s">
        <v>2099</v>
      </c>
      <c r="E449" t="s">
        <v>2077</v>
      </c>
      <c r="F449" t="str">
        <f>_xlfn.XLOOKUP(E449,Table8[City],Table8[State])</f>
        <v>Telangana</v>
      </c>
      <c r="G449" t="str">
        <f>_xlfn.XLOOKUP(E449,Table8[City],Table8[Region])</f>
        <v>South</v>
      </c>
      <c r="H449" t="s">
        <v>18</v>
      </c>
      <c r="I449" t="str">
        <f>_xlfn.XLOOKUP(H449,Table6[Product],Table6[Category])</f>
        <v>Electronics</v>
      </c>
      <c r="J449" t="s">
        <v>63</v>
      </c>
      <c r="K449">
        <v>9</v>
      </c>
      <c r="L449">
        <f>_xlfn.XLOOKUP(H449,Table6[Product],Table6[Unit Price])</f>
        <v>35000</v>
      </c>
      <c r="M449">
        <f>_xlfn.XLOOKUP(H449,Table6[Product],Table6[Cost Price])</f>
        <v>28000</v>
      </c>
      <c r="N449" s="7">
        <v>0.11</v>
      </c>
      <c r="O449">
        <f t="shared" si="18"/>
        <v>280350</v>
      </c>
      <c r="P449">
        <f t="shared" si="19"/>
        <v>252000</v>
      </c>
      <c r="Q449">
        <f t="shared" si="20"/>
        <v>28350</v>
      </c>
      <c r="R449" t="s">
        <v>46</v>
      </c>
      <c r="S449" t="s">
        <v>52</v>
      </c>
    </row>
    <row r="450" spans="1:19" ht="18" x14ac:dyDescent="0.5">
      <c r="A450" t="s">
        <v>520</v>
      </c>
      <c r="B450" t="s">
        <v>1519</v>
      </c>
      <c r="C450" s="6">
        <v>45512</v>
      </c>
      <c r="D450" t="s">
        <v>69</v>
      </c>
      <c r="E450" t="s">
        <v>2080</v>
      </c>
      <c r="F450" t="str">
        <f>_xlfn.XLOOKUP(E450,Table8[City],Table8[State])</f>
        <v>Gujarat</v>
      </c>
      <c r="G450" t="str">
        <f>_xlfn.XLOOKUP(E450,Table8[City],Table8[Region])</f>
        <v>West</v>
      </c>
      <c r="H450" t="s">
        <v>18</v>
      </c>
      <c r="I450" t="str">
        <f>_xlfn.XLOOKUP(H450,Table6[Product],Table6[Category])</f>
        <v>Electronics</v>
      </c>
      <c r="J450" t="s">
        <v>63</v>
      </c>
      <c r="K450">
        <v>3</v>
      </c>
      <c r="L450">
        <f>_xlfn.XLOOKUP(H450,Table6[Product],Table6[Unit Price])</f>
        <v>35000</v>
      </c>
      <c r="M450">
        <f>_xlfn.XLOOKUP(H450,Table6[Product],Table6[Cost Price])</f>
        <v>28000</v>
      </c>
      <c r="N450" s="7">
        <v>0.24</v>
      </c>
      <c r="O450">
        <f t="shared" si="18"/>
        <v>79800</v>
      </c>
      <c r="P450">
        <f t="shared" si="19"/>
        <v>84000</v>
      </c>
      <c r="Q450">
        <f t="shared" si="20"/>
        <v>-4200</v>
      </c>
      <c r="R450" t="s">
        <v>47</v>
      </c>
      <c r="S450" t="s">
        <v>52</v>
      </c>
    </row>
    <row r="451" spans="1:19" ht="18" x14ac:dyDescent="0.5">
      <c r="A451" t="s">
        <v>521</v>
      </c>
      <c r="B451" t="s">
        <v>1520</v>
      </c>
      <c r="C451" s="6">
        <v>45371</v>
      </c>
      <c r="D451" t="s">
        <v>2091</v>
      </c>
      <c r="E451" t="s">
        <v>2075</v>
      </c>
      <c r="F451" t="str">
        <f>_xlfn.XLOOKUP(E451,Table8[City],Table8[State])</f>
        <v>Tamil Nadu</v>
      </c>
      <c r="G451" t="str">
        <f>_xlfn.XLOOKUP(E451,Table8[City],Table8[Region])</f>
        <v>South</v>
      </c>
      <c r="H451" t="s">
        <v>24</v>
      </c>
      <c r="I451" t="str">
        <f>_xlfn.XLOOKUP(H451,Table6[Product],Table6[Category])</f>
        <v>Accessories</v>
      </c>
      <c r="J451" t="s">
        <v>59</v>
      </c>
      <c r="K451">
        <v>5</v>
      </c>
      <c r="L451">
        <f>_xlfn.XLOOKUP(H451,Table6[Product],Table6[Unit Price])</f>
        <v>1500</v>
      </c>
      <c r="M451">
        <f>_xlfn.XLOOKUP(H451,Table6[Product],Table6[Cost Price])</f>
        <v>900</v>
      </c>
      <c r="N451" s="7">
        <v>0.1</v>
      </c>
      <c r="O451">
        <f t="shared" ref="O451:O514" si="21">(L451*K451)*(1-N451)</f>
        <v>6750</v>
      </c>
      <c r="P451">
        <f t="shared" ref="P451:P514" si="22">M451*K451</f>
        <v>4500</v>
      </c>
      <c r="Q451">
        <f t="shared" ref="Q451:Q514" si="23">O451-P451</f>
        <v>2250</v>
      </c>
      <c r="R451" t="s">
        <v>43</v>
      </c>
      <c r="S451" t="s">
        <v>49</v>
      </c>
    </row>
    <row r="452" spans="1:19" ht="18" x14ac:dyDescent="0.5">
      <c r="A452" t="s">
        <v>522</v>
      </c>
      <c r="B452" t="s">
        <v>1521</v>
      </c>
      <c r="C452" s="6">
        <v>45753</v>
      </c>
      <c r="D452" t="s">
        <v>2097</v>
      </c>
      <c r="E452" t="s">
        <v>70</v>
      </c>
      <c r="F452" t="str">
        <f>_xlfn.XLOOKUP(E452,Table8[City],Table8[State])</f>
        <v>Karnataka</v>
      </c>
      <c r="G452" t="str">
        <f>_xlfn.XLOOKUP(E452,Table8[City],Table8[Region])</f>
        <v>South</v>
      </c>
      <c r="H452" t="s">
        <v>16</v>
      </c>
      <c r="I452" t="str">
        <f>_xlfn.XLOOKUP(H452,Table6[Product],Table6[Category])</f>
        <v>Electronics</v>
      </c>
      <c r="J452" t="s">
        <v>63</v>
      </c>
      <c r="K452">
        <v>9</v>
      </c>
      <c r="L452">
        <f>_xlfn.XLOOKUP(H452,Table6[Product],Table6[Unit Price])</f>
        <v>65000</v>
      </c>
      <c r="M452">
        <f>_xlfn.XLOOKUP(H452,Table6[Product],Table6[Cost Price])</f>
        <v>52000</v>
      </c>
      <c r="N452" s="7">
        <v>0.02</v>
      </c>
      <c r="O452">
        <f t="shared" si="21"/>
        <v>573300</v>
      </c>
      <c r="P452">
        <f t="shared" si="22"/>
        <v>468000</v>
      </c>
      <c r="Q452">
        <f t="shared" si="23"/>
        <v>105300</v>
      </c>
      <c r="R452" t="s">
        <v>44</v>
      </c>
      <c r="S452" t="s">
        <v>51</v>
      </c>
    </row>
    <row r="453" spans="1:19" ht="18" x14ac:dyDescent="0.5">
      <c r="A453" t="s">
        <v>523</v>
      </c>
      <c r="B453" t="s">
        <v>1522</v>
      </c>
      <c r="C453" s="6">
        <v>45833</v>
      </c>
      <c r="D453" t="s">
        <v>2085</v>
      </c>
      <c r="E453" t="s">
        <v>2106</v>
      </c>
      <c r="F453" t="str">
        <f>_xlfn.XLOOKUP(E453,Table8[City],Table8[State])</f>
        <v>West Bengal</v>
      </c>
      <c r="G453" t="str">
        <f>_xlfn.XLOOKUP(E453,Table8[City],Table8[Region])</f>
        <v>East</v>
      </c>
      <c r="H453" t="s">
        <v>18</v>
      </c>
      <c r="I453" t="str">
        <f>_xlfn.XLOOKUP(H453,Table6[Product],Table6[Category])</f>
        <v>Electronics</v>
      </c>
      <c r="J453" t="s">
        <v>54</v>
      </c>
      <c r="K453">
        <v>10</v>
      </c>
      <c r="L453">
        <f>_xlfn.XLOOKUP(H453,Table6[Product],Table6[Unit Price])</f>
        <v>35000</v>
      </c>
      <c r="M453">
        <f>_xlfn.XLOOKUP(H453,Table6[Product],Table6[Cost Price])</f>
        <v>28000</v>
      </c>
      <c r="N453" s="7">
        <v>0.28000000000000003</v>
      </c>
      <c r="O453">
        <f t="shared" si="21"/>
        <v>252000</v>
      </c>
      <c r="P453">
        <f t="shared" si="22"/>
        <v>280000</v>
      </c>
      <c r="Q453">
        <f t="shared" si="23"/>
        <v>-28000</v>
      </c>
      <c r="R453" t="s">
        <v>45</v>
      </c>
      <c r="S453" t="s">
        <v>51</v>
      </c>
    </row>
    <row r="454" spans="1:19" ht="18" x14ac:dyDescent="0.5">
      <c r="A454" t="s">
        <v>524</v>
      </c>
      <c r="B454" t="s">
        <v>1523</v>
      </c>
      <c r="C454" s="6">
        <v>45871</v>
      </c>
      <c r="D454" t="s">
        <v>2087</v>
      </c>
      <c r="E454" t="s">
        <v>2072</v>
      </c>
      <c r="F454" t="str">
        <f>_xlfn.XLOOKUP(E454,Table8[City],Table8[State])</f>
        <v>Karnataka</v>
      </c>
      <c r="G454" t="str">
        <f>_xlfn.XLOOKUP(E454,Table8[City],Table8[Region])</f>
        <v>South</v>
      </c>
      <c r="H454" t="s">
        <v>20</v>
      </c>
      <c r="I454" t="str">
        <f>_xlfn.XLOOKUP(H454,Table6[Product],Table6[Category])</f>
        <v>Accessories</v>
      </c>
      <c r="J454" t="s">
        <v>61</v>
      </c>
      <c r="K454">
        <v>9</v>
      </c>
      <c r="L454">
        <f>_xlfn.XLOOKUP(H454,Table6[Product],Table6[Unit Price])</f>
        <v>3000</v>
      </c>
      <c r="M454">
        <f>_xlfn.XLOOKUP(H454,Table6[Product],Table6[Cost Price])</f>
        <v>1800</v>
      </c>
      <c r="N454" s="7">
        <v>0.27</v>
      </c>
      <c r="O454">
        <f t="shared" si="21"/>
        <v>19710</v>
      </c>
      <c r="P454">
        <f t="shared" si="22"/>
        <v>16200</v>
      </c>
      <c r="Q454">
        <f t="shared" si="23"/>
        <v>3510</v>
      </c>
      <c r="R454" t="s">
        <v>45</v>
      </c>
      <c r="S454" t="s">
        <v>50</v>
      </c>
    </row>
    <row r="455" spans="1:19" ht="18" x14ac:dyDescent="0.5">
      <c r="A455" t="s">
        <v>525</v>
      </c>
      <c r="B455" t="s">
        <v>1524</v>
      </c>
      <c r="C455" s="6">
        <v>45751</v>
      </c>
      <c r="D455" t="s">
        <v>2083</v>
      </c>
      <c r="E455" t="s">
        <v>2080</v>
      </c>
      <c r="F455" t="str">
        <f>_xlfn.XLOOKUP(E455,Table8[City],Table8[State])</f>
        <v>Gujarat</v>
      </c>
      <c r="G455" t="str">
        <f>_xlfn.XLOOKUP(E455,Table8[City],Table8[Region])</f>
        <v>West</v>
      </c>
      <c r="H455" t="s">
        <v>18</v>
      </c>
      <c r="I455" t="str">
        <f>_xlfn.XLOOKUP(H455,Table6[Product],Table6[Category])</f>
        <v>Electronics</v>
      </c>
      <c r="J455" t="s">
        <v>60</v>
      </c>
      <c r="K455">
        <v>6</v>
      </c>
      <c r="L455">
        <f>_xlfn.XLOOKUP(H455,Table6[Product],Table6[Unit Price])</f>
        <v>35000</v>
      </c>
      <c r="M455">
        <f>_xlfn.XLOOKUP(H455,Table6[Product],Table6[Cost Price])</f>
        <v>28000</v>
      </c>
      <c r="N455" s="7">
        <v>0.08</v>
      </c>
      <c r="O455">
        <f t="shared" si="21"/>
        <v>193200</v>
      </c>
      <c r="P455">
        <f t="shared" si="22"/>
        <v>168000</v>
      </c>
      <c r="Q455">
        <f t="shared" si="23"/>
        <v>25200</v>
      </c>
      <c r="R455" t="s">
        <v>43</v>
      </c>
      <c r="S455" t="s">
        <v>50</v>
      </c>
    </row>
    <row r="456" spans="1:19" ht="18" x14ac:dyDescent="0.5">
      <c r="A456" t="s">
        <v>526</v>
      </c>
      <c r="B456" t="s">
        <v>1525</v>
      </c>
      <c r="C456" s="6">
        <v>45327</v>
      </c>
      <c r="D456" t="s">
        <v>2090</v>
      </c>
      <c r="E456" t="s">
        <v>2072</v>
      </c>
      <c r="F456" t="str">
        <f>_xlfn.XLOOKUP(E456,Table8[City],Table8[State])</f>
        <v>Karnataka</v>
      </c>
      <c r="G456" t="str">
        <f>_xlfn.XLOOKUP(E456,Table8[City],Table8[Region])</f>
        <v>South</v>
      </c>
      <c r="H456" t="s">
        <v>28</v>
      </c>
      <c r="I456" t="str">
        <f>_xlfn.XLOOKUP(H456,Table6[Product],Table6[Category])</f>
        <v>Office</v>
      </c>
      <c r="J456" t="s">
        <v>58</v>
      </c>
      <c r="K456">
        <v>1</v>
      </c>
      <c r="L456">
        <f>_xlfn.XLOOKUP(H456,Table6[Product],Table6[Unit Price])</f>
        <v>18000</v>
      </c>
      <c r="M456">
        <f>_xlfn.XLOOKUP(H456,Table6[Product],Table6[Cost Price])</f>
        <v>14000</v>
      </c>
      <c r="N456" s="7">
        <v>0.06</v>
      </c>
      <c r="O456">
        <f t="shared" si="21"/>
        <v>16920</v>
      </c>
      <c r="P456">
        <f t="shared" si="22"/>
        <v>14000</v>
      </c>
      <c r="Q456">
        <f t="shared" si="23"/>
        <v>2920</v>
      </c>
      <c r="R456" t="s">
        <v>44</v>
      </c>
      <c r="S456" t="s">
        <v>49</v>
      </c>
    </row>
    <row r="457" spans="1:19" ht="18" x14ac:dyDescent="0.5">
      <c r="A457" t="s">
        <v>527</v>
      </c>
      <c r="B457" t="s">
        <v>1526</v>
      </c>
      <c r="C457" s="6">
        <v>45456</v>
      </c>
      <c r="D457" t="s">
        <v>2098</v>
      </c>
      <c r="E457" t="s">
        <v>2106</v>
      </c>
      <c r="F457" t="str">
        <f>_xlfn.XLOOKUP(E457,Table8[City],Table8[State])</f>
        <v>West Bengal</v>
      </c>
      <c r="G457" t="str">
        <f>_xlfn.XLOOKUP(E457,Table8[City],Table8[Region])</f>
        <v>East</v>
      </c>
      <c r="H457" t="s">
        <v>22</v>
      </c>
      <c r="I457" t="str">
        <f>_xlfn.XLOOKUP(H457,Table6[Product],Table6[Category])</f>
        <v>Wearables</v>
      </c>
      <c r="J457" t="s">
        <v>63</v>
      </c>
      <c r="K457">
        <v>4</v>
      </c>
      <c r="L457">
        <f>_xlfn.XLOOKUP(H457,Table6[Product],Table6[Unit Price])</f>
        <v>12000</v>
      </c>
      <c r="M457">
        <f>_xlfn.XLOOKUP(H457,Table6[Product],Table6[Cost Price])</f>
        <v>8500</v>
      </c>
      <c r="N457" s="7">
        <v>0.26</v>
      </c>
      <c r="O457">
        <f t="shared" si="21"/>
        <v>35520</v>
      </c>
      <c r="P457">
        <f t="shared" si="22"/>
        <v>34000</v>
      </c>
      <c r="Q457">
        <f t="shared" si="23"/>
        <v>1520</v>
      </c>
      <c r="R457" t="s">
        <v>46</v>
      </c>
      <c r="S457" t="s">
        <v>52</v>
      </c>
    </row>
    <row r="458" spans="1:19" ht="18" x14ac:dyDescent="0.5">
      <c r="A458" t="s">
        <v>528</v>
      </c>
      <c r="B458" t="s">
        <v>1527</v>
      </c>
      <c r="C458" s="6">
        <v>45672</v>
      </c>
      <c r="D458" t="s">
        <v>2085</v>
      </c>
      <c r="E458" t="s">
        <v>2073</v>
      </c>
      <c r="F458" t="str">
        <f>_xlfn.XLOOKUP(E458,Table8[City],Table8[State])</f>
        <v>Maharashtra</v>
      </c>
      <c r="G458" t="str">
        <f>_xlfn.XLOOKUP(E458,Table8[City],Table8[Region])</f>
        <v>West</v>
      </c>
      <c r="H458" t="s">
        <v>20</v>
      </c>
      <c r="I458" t="str">
        <f>_xlfn.XLOOKUP(H458,Table6[Product],Table6[Category])</f>
        <v>Accessories</v>
      </c>
      <c r="J458" t="s">
        <v>57</v>
      </c>
      <c r="K458">
        <v>6</v>
      </c>
      <c r="L458">
        <f>_xlfn.XLOOKUP(H458,Table6[Product],Table6[Unit Price])</f>
        <v>3000</v>
      </c>
      <c r="M458">
        <f>_xlfn.XLOOKUP(H458,Table6[Product],Table6[Cost Price])</f>
        <v>1800</v>
      </c>
      <c r="N458" s="7">
        <v>0.16</v>
      </c>
      <c r="O458">
        <f t="shared" si="21"/>
        <v>15120</v>
      </c>
      <c r="P458">
        <f t="shared" si="22"/>
        <v>10800</v>
      </c>
      <c r="Q458">
        <f t="shared" si="23"/>
        <v>4320</v>
      </c>
      <c r="R458" t="s">
        <v>45</v>
      </c>
      <c r="S458" t="s">
        <v>52</v>
      </c>
    </row>
    <row r="459" spans="1:19" ht="18" x14ac:dyDescent="0.5">
      <c r="A459" t="s">
        <v>529</v>
      </c>
      <c r="B459" t="s">
        <v>1528</v>
      </c>
      <c r="C459" s="6">
        <v>45757</v>
      </c>
      <c r="D459" t="s">
        <v>59</v>
      </c>
      <c r="E459" t="s">
        <v>2077</v>
      </c>
      <c r="F459" t="str">
        <f>_xlfn.XLOOKUP(E459,Table8[City],Table8[State])</f>
        <v>Telangana</v>
      </c>
      <c r="G459" t="str">
        <f>_xlfn.XLOOKUP(E459,Table8[City],Table8[Region])</f>
        <v>South</v>
      </c>
      <c r="H459" t="s">
        <v>26</v>
      </c>
      <c r="I459" t="str">
        <f>_xlfn.XLOOKUP(H459,Table6[Product],Table6[Category])</f>
        <v>Office</v>
      </c>
      <c r="J459" t="s">
        <v>55</v>
      </c>
      <c r="K459">
        <v>3</v>
      </c>
      <c r="L459">
        <f>_xlfn.XLOOKUP(H459,Table6[Product],Table6[Unit Price])</f>
        <v>15000</v>
      </c>
      <c r="M459">
        <f>_xlfn.XLOOKUP(H459,Table6[Product],Table6[Cost Price])</f>
        <v>11500</v>
      </c>
      <c r="N459" s="7">
        <v>0.15</v>
      </c>
      <c r="O459">
        <f t="shared" si="21"/>
        <v>38250</v>
      </c>
      <c r="P459">
        <f t="shared" si="22"/>
        <v>34500</v>
      </c>
      <c r="Q459">
        <f t="shared" si="23"/>
        <v>3750</v>
      </c>
      <c r="R459" t="s">
        <v>45</v>
      </c>
      <c r="S459" t="s">
        <v>49</v>
      </c>
    </row>
    <row r="460" spans="1:19" ht="18" x14ac:dyDescent="0.5">
      <c r="A460" t="s">
        <v>530</v>
      </c>
      <c r="B460" t="s">
        <v>1529</v>
      </c>
      <c r="C460" s="6">
        <v>45825</v>
      </c>
      <c r="D460" t="s">
        <v>2083</v>
      </c>
      <c r="E460" t="s">
        <v>2106</v>
      </c>
      <c r="F460" t="str">
        <f>_xlfn.XLOOKUP(E460,Table8[City],Table8[State])</f>
        <v>West Bengal</v>
      </c>
      <c r="G460" t="str">
        <f>_xlfn.XLOOKUP(E460,Table8[City],Table8[Region])</f>
        <v>East</v>
      </c>
      <c r="H460" t="s">
        <v>16</v>
      </c>
      <c r="I460" t="str">
        <f>_xlfn.XLOOKUP(H460,Table6[Product],Table6[Category])</f>
        <v>Electronics</v>
      </c>
      <c r="J460" t="s">
        <v>57</v>
      </c>
      <c r="K460">
        <v>5</v>
      </c>
      <c r="L460">
        <f>_xlfn.XLOOKUP(H460,Table6[Product],Table6[Unit Price])</f>
        <v>65000</v>
      </c>
      <c r="M460">
        <f>_xlfn.XLOOKUP(H460,Table6[Product],Table6[Cost Price])</f>
        <v>52000</v>
      </c>
      <c r="N460" s="7">
        <v>0.15</v>
      </c>
      <c r="O460">
        <f t="shared" si="21"/>
        <v>276250</v>
      </c>
      <c r="P460">
        <f t="shared" si="22"/>
        <v>260000</v>
      </c>
      <c r="Q460">
        <f t="shared" si="23"/>
        <v>16250</v>
      </c>
      <c r="R460" t="s">
        <v>46</v>
      </c>
      <c r="S460" t="s">
        <v>50</v>
      </c>
    </row>
    <row r="461" spans="1:19" ht="18" x14ac:dyDescent="0.5">
      <c r="A461" t="s">
        <v>531</v>
      </c>
      <c r="B461" t="s">
        <v>1530</v>
      </c>
      <c r="C461" s="6">
        <v>45826</v>
      </c>
      <c r="D461" t="s">
        <v>2085</v>
      </c>
      <c r="E461" t="s">
        <v>2105</v>
      </c>
      <c r="F461" t="str">
        <f>_xlfn.XLOOKUP(E461,Table8[City],Table8[State])</f>
        <v>Rajasthan</v>
      </c>
      <c r="G461" t="str">
        <f>_xlfn.XLOOKUP(E461,Table8[City],Table8[Region])</f>
        <v>North</v>
      </c>
      <c r="H461" t="s">
        <v>16</v>
      </c>
      <c r="I461" t="str">
        <f>_xlfn.XLOOKUP(H461,Table6[Product],Table6[Category])</f>
        <v>Electronics</v>
      </c>
      <c r="J461" t="s">
        <v>63</v>
      </c>
      <c r="K461">
        <v>10</v>
      </c>
      <c r="L461">
        <f>_xlfn.XLOOKUP(H461,Table6[Product],Table6[Unit Price])</f>
        <v>65000</v>
      </c>
      <c r="M461">
        <f>_xlfn.XLOOKUP(H461,Table6[Product],Table6[Cost Price])</f>
        <v>52000</v>
      </c>
      <c r="N461" s="7">
        <v>0.03</v>
      </c>
      <c r="O461">
        <f t="shared" si="21"/>
        <v>630500</v>
      </c>
      <c r="P461">
        <f t="shared" si="22"/>
        <v>520000</v>
      </c>
      <c r="Q461">
        <f t="shared" si="23"/>
        <v>110500</v>
      </c>
      <c r="R461" t="s">
        <v>43</v>
      </c>
      <c r="S461" t="s">
        <v>50</v>
      </c>
    </row>
    <row r="462" spans="1:19" ht="18" x14ac:dyDescent="0.5">
      <c r="A462" t="s">
        <v>532</v>
      </c>
      <c r="B462" t="s">
        <v>1531</v>
      </c>
      <c r="C462" s="6">
        <v>45465</v>
      </c>
      <c r="D462" t="s">
        <v>2098</v>
      </c>
      <c r="E462" t="s">
        <v>2079</v>
      </c>
      <c r="F462" t="str">
        <f>_xlfn.XLOOKUP(E462,Table8[City],Table8[State])</f>
        <v>Gujarat</v>
      </c>
      <c r="G462" t="str">
        <f>_xlfn.XLOOKUP(E462,Table8[City],Table8[Region])</f>
        <v>West</v>
      </c>
      <c r="H462" t="s">
        <v>25</v>
      </c>
      <c r="I462" t="str">
        <f>_xlfn.XLOOKUP(H462,Table6[Product],Table6[Category])</f>
        <v>Accessories</v>
      </c>
      <c r="J462" t="s">
        <v>59</v>
      </c>
      <c r="K462">
        <v>2</v>
      </c>
      <c r="L462">
        <f>_xlfn.XLOOKUP(H462,Table6[Product],Table6[Unit Price])</f>
        <v>800</v>
      </c>
      <c r="M462">
        <f>_xlfn.XLOOKUP(H462,Table6[Product],Table6[Cost Price])</f>
        <v>450</v>
      </c>
      <c r="N462" s="7">
        <v>0.18</v>
      </c>
      <c r="O462">
        <f t="shared" si="21"/>
        <v>1312</v>
      </c>
      <c r="P462">
        <f t="shared" si="22"/>
        <v>900</v>
      </c>
      <c r="Q462">
        <f t="shared" si="23"/>
        <v>412</v>
      </c>
      <c r="R462" t="s">
        <v>47</v>
      </c>
      <c r="S462" t="s">
        <v>50</v>
      </c>
    </row>
    <row r="463" spans="1:19" ht="18" x14ac:dyDescent="0.5">
      <c r="A463" t="s">
        <v>533</v>
      </c>
      <c r="B463" t="s">
        <v>1532</v>
      </c>
      <c r="C463" s="6">
        <v>46019</v>
      </c>
      <c r="D463" t="s">
        <v>2089</v>
      </c>
      <c r="E463" t="s">
        <v>2076</v>
      </c>
      <c r="F463" t="str">
        <f>_xlfn.XLOOKUP(E463,Table8[City],Table8[State])</f>
        <v>Tamil Nadu</v>
      </c>
      <c r="G463" t="str">
        <f>_xlfn.XLOOKUP(E463,Table8[City],Table8[Region])</f>
        <v>South</v>
      </c>
      <c r="H463" t="s">
        <v>25</v>
      </c>
      <c r="I463" t="str">
        <f>_xlfn.XLOOKUP(H463,Table6[Product],Table6[Category])</f>
        <v>Accessories</v>
      </c>
      <c r="J463" t="s">
        <v>57</v>
      </c>
      <c r="K463">
        <v>3</v>
      </c>
      <c r="L463">
        <f>_xlfn.XLOOKUP(H463,Table6[Product],Table6[Unit Price])</f>
        <v>800</v>
      </c>
      <c r="M463">
        <f>_xlfn.XLOOKUP(H463,Table6[Product],Table6[Cost Price])</f>
        <v>450</v>
      </c>
      <c r="N463" s="7">
        <v>0.04</v>
      </c>
      <c r="O463">
        <f t="shared" si="21"/>
        <v>2304</v>
      </c>
      <c r="P463">
        <f t="shared" si="22"/>
        <v>1350</v>
      </c>
      <c r="Q463">
        <f t="shared" si="23"/>
        <v>954</v>
      </c>
      <c r="R463" t="s">
        <v>43</v>
      </c>
      <c r="S463" t="s">
        <v>50</v>
      </c>
    </row>
    <row r="464" spans="1:19" ht="18" x14ac:dyDescent="0.5">
      <c r="A464" t="s">
        <v>534</v>
      </c>
      <c r="B464" t="s">
        <v>1533</v>
      </c>
      <c r="C464" s="6">
        <v>45591</v>
      </c>
      <c r="D464" t="s">
        <v>2083</v>
      </c>
      <c r="E464" t="s">
        <v>2080</v>
      </c>
      <c r="F464" t="str">
        <f>_xlfn.XLOOKUP(E464,Table8[City],Table8[State])</f>
        <v>Gujarat</v>
      </c>
      <c r="G464" t="str">
        <f>_xlfn.XLOOKUP(E464,Table8[City],Table8[Region])</f>
        <v>West</v>
      </c>
      <c r="H464" t="s">
        <v>28</v>
      </c>
      <c r="I464" t="str">
        <f>_xlfn.XLOOKUP(H464,Table6[Product],Table6[Category])</f>
        <v>Office</v>
      </c>
      <c r="J464" t="s">
        <v>54</v>
      </c>
      <c r="K464">
        <v>6</v>
      </c>
      <c r="L464">
        <f>_xlfn.XLOOKUP(H464,Table6[Product],Table6[Unit Price])</f>
        <v>18000</v>
      </c>
      <c r="M464">
        <f>_xlfn.XLOOKUP(H464,Table6[Product],Table6[Cost Price])</f>
        <v>14000</v>
      </c>
      <c r="N464" s="7">
        <v>0.25</v>
      </c>
      <c r="O464">
        <f t="shared" si="21"/>
        <v>81000</v>
      </c>
      <c r="P464">
        <f t="shared" si="22"/>
        <v>84000</v>
      </c>
      <c r="Q464">
        <f t="shared" si="23"/>
        <v>-3000</v>
      </c>
      <c r="R464" t="s">
        <v>46</v>
      </c>
      <c r="S464" t="s">
        <v>52</v>
      </c>
    </row>
    <row r="465" spans="1:19" ht="18" x14ac:dyDescent="0.5">
      <c r="A465" t="s">
        <v>535</v>
      </c>
      <c r="B465" t="s">
        <v>1534</v>
      </c>
      <c r="C465" s="6">
        <v>45295</v>
      </c>
      <c r="D465" t="s">
        <v>2099</v>
      </c>
      <c r="E465" t="s">
        <v>2078</v>
      </c>
      <c r="F465" t="str">
        <f>_xlfn.XLOOKUP(E465,Table8[City],Table8[State])</f>
        <v>Telangana</v>
      </c>
      <c r="G465" t="str">
        <f>_xlfn.XLOOKUP(E465,Table8[City],Table8[Region])</f>
        <v>South</v>
      </c>
      <c r="H465" t="s">
        <v>22</v>
      </c>
      <c r="I465" t="str">
        <f>_xlfn.XLOOKUP(H465,Table6[Product],Table6[Category])</f>
        <v>Wearables</v>
      </c>
      <c r="J465" t="s">
        <v>59</v>
      </c>
      <c r="K465">
        <v>10</v>
      </c>
      <c r="L465">
        <f>_xlfn.XLOOKUP(H465,Table6[Product],Table6[Unit Price])</f>
        <v>12000</v>
      </c>
      <c r="M465">
        <f>_xlfn.XLOOKUP(H465,Table6[Product],Table6[Cost Price])</f>
        <v>8500</v>
      </c>
      <c r="N465" s="7">
        <v>0.06</v>
      </c>
      <c r="O465">
        <f t="shared" si="21"/>
        <v>112800</v>
      </c>
      <c r="P465">
        <f t="shared" si="22"/>
        <v>85000</v>
      </c>
      <c r="Q465">
        <f t="shared" si="23"/>
        <v>27800</v>
      </c>
      <c r="R465" t="s">
        <v>47</v>
      </c>
      <c r="S465" t="s">
        <v>49</v>
      </c>
    </row>
    <row r="466" spans="1:19" ht="18" x14ac:dyDescent="0.5">
      <c r="A466" t="s">
        <v>536</v>
      </c>
      <c r="B466" t="s">
        <v>1535</v>
      </c>
      <c r="C466" s="6">
        <v>45574</v>
      </c>
      <c r="D466" t="s">
        <v>69</v>
      </c>
      <c r="E466" t="s">
        <v>70</v>
      </c>
      <c r="F466" t="str">
        <f>_xlfn.XLOOKUP(E466,Table8[City],Table8[State])</f>
        <v>Karnataka</v>
      </c>
      <c r="G466" t="str">
        <f>_xlfn.XLOOKUP(E466,Table8[City],Table8[Region])</f>
        <v>South</v>
      </c>
      <c r="H466" t="s">
        <v>20</v>
      </c>
      <c r="I466" t="str">
        <f>_xlfn.XLOOKUP(H466,Table6[Product],Table6[Category])</f>
        <v>Accessories</v>
      </c>
      <c r="J466" t="s">
        <v>61</v>
      </c>
      <c r="K466">
        <v>2</v>
      </c>
      <c r="L466">
        <f>_xlfn.XLOOKUP(H466,Table6[Product],Table6[Unit Price])</f>
        <v>3000</v>
      </c>
      <c r="M466">
        <f>_xlfn.XLOOKUP(H466,Table6[Product],Table6[Cost Price])</f>
        <v>1800</v>
      </c>
      <c r="N466" s="7">
        <v>0.22</v>
      </c>
      <c r="O466">
        <f t="shared" si="21"/>
        <v>4680</v>
      </c>
      <c r="P466">
        <f t="shared" si="22"/>
        <v>3600</v>
      </c>
      <c r="Q466">
        <f t="shared" si="23"/>
        <v>1080</v>
      </c>
      <c r="R466" t="s">
        <v>46</v>
      </c>
      <c r="S466" t="s">
        <v>50</v>
      </c>
    </row>
    <row r="467" spans="1:19" ht="18" x14ac:dyDescent="0.5">
      <c r="A467" t="s">
        <v>537</v>
      </c>
      <c r="B467" t="s">
        <v>1536</v>
      </c>
      <c r="C467" s="6">
        <v>45693</v>
      </c>
      <c r="D467" t="s">
        <v>2096</v>
      </c>
      <c r="E467" t="s">
        <v>2105</v>
      </c>
      <c r="F467" t="str">
        <f>_xlfn.XLOOKUP(E467,Table8[City],Table8[State])</f>
        <v>Rajasthan</v>
      </c>
      <c r="G467" t="str">
        <f>_xlfn.XLOOKUP(E467,Table8[City],Table8[Region])</f>
        <v>North</v>
      </c>
      <c r="H467" t="s">
        <v>25</v>
      </c>
      <c r="I467" t="str">
        <f>_xlfn.XLOOKUP(H467,Table6[Product],Table6[Category])</f>
        <v>Accessories</v>
      </c>
      <c r="J467" t="s">
        <v>59</v>
      </c>
      <c r="K467">
        <v>10</v>
      </c>
      <c r="L467">
        <f>_xlfn.XLOOKUP(H467,Table6[Product],Table6[Unit Price])</f>
        <v>800</v>
      </c>
      <c r="M467">
        <f>_xlfn.XLOOKUP(H467,Table6[Product],Table6[Cost Price])</f>
        <v>450</v>
      </c>
      <c r="N467" s="7">
        <v>0.26</v>
      </c>
      <c r="O467">
        <f t="shared" si="21"/>
        <v>5920</v>
      </c>
      <c r="P467">
        <f t="shared" si="22"/>
        <v>4500</v>
      </c>
      <c r="Q467">
        <f t="shared" si="23"/>
        <v>1420</v>
      </c>
      <c r="R467" t="s">
        <v>44</v>
      </c>
      <c r="S467" t="s">
        <v>49</v>
      </c>
    </row>
    <row r="468" spans="1:19" ht="18" x14ac:dyDescent="0.5">
      <c r="A468" t="s">
        <v>538</v>
      </c>
      <c r="B468" t="s">
        <v>1537</v>
      </c>
      <c r="C468" s="6">
        <v>45649</v>
      </c>
      <c r="D468" t="s">
        <v>2091</v>
      </c>
      <c r="E468" t="s">
        <v>2072</v>
      </c>
      <c r="F468" t="str">
        <f>_xlfn.XLOOKUP(E468,Table8[City],Table8[State])</f>
        <v>Karnataka</v>
      </c>
      <c r="G468" t="str">
        <f>_xlfn.XLOOKUP(E468,Table8[City],Table8[Region])</f>
        <v>South</v>
      </c>
      <c r="H468" t="s">
        <v>26</v>
      </c>
      <c r="I468" t="str">
        <f>_xlfn.XLOOKUP(H468,Table6[Product],Table6[Category])</f>
        <v>Office</v>
      </c>
      <c r="J468" t="s">
        <v>55</v>
      </c>
      <c r="K468">
        <v>1</v>
      </c>
      <c r="L468">
        <f>_xlfn.XLOOKUP(H468,Table6[Product],Table6[Unit Price])</f>
        <v>15000</v>
      </c>
      <c r="M468">
        <f>_xlfn.XLOOKUP(H468,Table6[Product],Table6[Cost Price])</f>
        <v>11500</v>
      </c>
      <c r="N468" s="7">
        <v>0.03</v>
      </c>
      <c r="O468">
        <f t="shared" si="21"/>
        <v>14550</v>
      </c>
      <c r="P468">
        <f t="shared" si="22"/>
        <v>11500</v>
      </c>
      <c r="Q468">
        <f t="shared" si="23"/>
        <v>3050</v>
      </c>
      <c r="R468" t="s">
        <v>45</v>
      </c>
      <c r="S468" t="s">
        <v>52</v>
      </c>
    </row>
    <row r="469" spans="1:19" ht="18" x14ac:dyDescent="0.5">
      <c r="A469" t="s">
        <v>539</v>
      </c>
      <c r="B469" t="s">
        <v>1538</v>
      </c>
      <c r="C469" s="6">
        <v>45467</v>
      </c>
      <c r="D469" t="s">
        <v>2096</v>
      </c>
      <c r="E469" t="s">
        <v>2072</v>
      </c>
      <c r="F469" t="str">
        <f>_xlfn.XLOOKUP(E469,Table8[City],Table8[State])</f>
        <v>Karnataka</v>
      </c>
      <c r="G469" t="str">
        <f>_xlfn.XLOOKUP(E469,Table8[City],Table8[Region])</f>
        <v>South</v>
      </c>
      <c r="H469" t="s">
        <v>24</v>
      </c>
      <c r="I469" t="str">
        <f>_xlfn.XLOOKUP(H469,Table6[Product],Table6[Category])</f>
        <v>Accessories</v>
      </c>
      <c r="J469" t="s">
        <v>56</v>
      </c>
      <c r="K469">
        <v>3</v>
      </c>
      <c r="L469">
        <f>_xlfn.XLOOKUP(H469,Table6[Product],Table6[Unit Price])</f>
        <v>1500</v>
      </c>
      <c r="M469">
        <f>_xlfn.XLOOKUP(H469,Table6[Product],Table6[Cost Price])</f>
        <v>900</v>
      </c>
      <c r="N469" s="7">
        <v>0.24</v>
      </c>
      <c r="O469">
        <f t="shared" si="21"/>
        <v>3420</v>
      </c>
      <c r="P469">
        <f t="shared" si="22"/>
        <v>2700</v>
      </c>
      <c r="Q469">
        <f t="shared" si="23"/>
        <v>720</v>
      </c>
      <c r="R469" t="s">
        <v>46</v>
      </c>
      <c r="S469" t="s">
        <v>51</v>
      </c>
    </row>
    <row r="470" spans="1:19" ht="18" x14ac:dyDescent="0.5">
      <c r="A470" t="s">
        <v>540</v>
      </c>
      <c r="B470" t="s">
        <v>1539</v>
      </c>
      <c r="C470" s="6">
        <v>45842</v>
      </c>
      <c r="D470" t="s">
        <v>2091</v>
      </c>
      <c r="E470" t="s">
        <v>2080</v>
      </c>
      <c r="F470" t="str">
        <f>_xlfn.XLOOKUP(E470,Table8[City],Table8[State])</f>
        <v>Gujarat</v>
      </c>
      <c r="G470" t="str">
        <f>_xlfn.XLOOKUP(E470,Table8[City],Table8[Region])</f>
        <v>West</v>
      </c>
      <c r="H470" t="s">
        <v>19</v>
      </c>
      <c r="I470" t="str">
        <f>_xlfn.XLOOKUP(H470,Table6[Product],Table6[Category])</f>
        <v>Electronics</v>
      </c>
      <c r="J470" t="s">
        <v>57</v>
      </c>
      <c r="K470">
        <v>6</v>
      </c>
      <c r="L470">
        <f>_xlfn.XLOOKUP(H470,Table6[Product],Table6[Unit Price])</f>
        <v>25000</v>
      </c>
      <c r="M470">
        <f>_xlfn.XLOOKUP(H470,Table6[Product],Table6[Cost Price])</f>
        <v>20000</v>
      </c>
      <c r="N470" s="7">
        <v>0.18</v>
      </c>
      <c r="O470">
        <f t="shared" si="21"/>
        <v>123000.00000000001</v>
      </c>
      <c r="P470">
        <f t="shared" si="22"/>
        <v>120000</v>
      </c>
      <c r="Q470">
        <f t="shared" si="23"/>
        <v>3000.0000000000146</v>
      </c>
      <c r="R470" t="s">
        <v>43</v>
      </c>
      <c r="S470" t="s">
        <v>50</v>
      </c>
    </row>
    <row r="471" spans="1:19" ht="18" x14ac:dyDescent="0.5">
      <c r="A471" t="s">
        <v>541</v>
      </c>
      <c r="B471" t="s">
        <v>1540</v>
      </c>
      <c r="C471" s="6">
        <v>45951</v>
      </c>
      <c r="D471" t="s">
        <v>2087</v>
      </c>
      <c r="E471" t="s">
        <v>2104</v>
      </c>
      <c r="F471" t="str">
        <f>_xlfn.XLOOKUP(E471,Table8[City],Table8[State])</f>
        <v>Delhi</v>
      </c>
      <c r="G471" t="str">
        <f>_xlfn.XLOOKUP(E471,Table8[City],Table8[Region])</f>
        <v>North</v>
      </c>
      <c r="H471" t="s">
        <v>25</v>
      </c>
      <c r="I471" t="str">
        <f>_xlfn.XLOOKUP(H471,Table6[Product],Table6[Category])</f>
        <v>Accessories</v>
      </c>
      <c r="J471" t="s">
        <v>60</v>
      </c>
      <c r="K471">
        <v>7</v>
      </c>
      <c r="L471">
        <f>_xlfn.XLOOKUP(H471,Table6[Product],Table6[Unit Price])</f>
        <v>800</v>
      </c>
      <c r="M471">
        <f>_xlfn.XLOOKUP(H471,Table6[Product],Table6[Cost Price])</f>
        <v>450</v>
      </c>
      <c r="N471" s="7">
        <v>0.05</v>
      </c>
      <c r="O471">
        <f t="shared" si="21"/>
        <v>5320</v>
      </c>
      <c r="P471">
        <f t="shared" si="22"/>
        <v>3150</v>
      </c>
      <c r="Q471">
        <f t="shared" si="23"/>
        <v>2170</v>
      </c>
      <c r="R471" t="s">
        <v>43</v>
      </c>
      <c r="S471" t="s">
        <v>51</v>
      </c>
    </row>
    <row r="472" spans="1:19" ht="18" x14ac:dyDescent="0.5">
      <c r="A472" t="s">
        <v>542</v>
      </c>
      <c r="B472" t="s">
        <v>1541</v>
      </c>
      <c r="C472" s="6">
        <v>45535</v>
      </c>
      <c r="D472" t="s">
        <v>2094</v>
      </c>
      <c r="E472" t="s">
        <v>70</v>
      </c>
      <c r="F472" t="str">
        <f>_xlfn.XLOOKUP(E472,Table8[City],Table8[State])</f>
        <v>Karnataka</v>
      </c>
      <c r="G472" t="str">
        <f>_xlfn.XLOOKUP(E472,Table8[City],Table8[Region])</f>
        <v>South</v>
      </c>
      <c r="H472" t="s">
        <v>25</v>
      </c>
      <c r="I472" t="str">
        <f>_xlfn.XLOOKUP(H472,Table6[Product],Table6[Category])</f>
        <v>Accessories</v>
      </c>
      <c r="J472" t="s">
        <v>57</v>
      </c>
      <c r="K472">
        <v>1</v>
      </c>
      <c r="L472">
        <f>_xlfn.XLOOKUP(H472,Table6[Product],Table6[Unit Price])</f>
        <v>800</v>
      </c>
      <c r="M472">
        <f>_xlfn.XLOOKUP(H472,Table6[Product],Table6[Cost Price])</f>
        <v>450</v>
      </c>
      <c r="N472" s="7">
        <v>0.19</v>
      </c>
      <c r="O472">
        <f t="shared" si="21"/>
        <v>648</v>
      </c>
      <c r="P472">
        <f t="shared" si="22"/>
        <v>450</v>
      </c>
      <c r="Q472">
        <f t="shared" si="23"/>
        <v>198</v>
      </c>
      <c r="R472" t="s">
        <v>46</v>
      </c>
      <c r="S472" t="s">
        <v>51</v>
      </c>
    </row>
    <row r="473" spans="1:19" ht="18" x14ac:dyDescent="0.5">
      <c r="A473" t="s">
        <v>543</v>
      </c>
      <c r="B473" t="s">
        <v>1542</v>
      </c>
      <c r="C473" s="6">
        <v>45808</v>
      </c>
      <c r="D473" t="s">
        <v>2093</v>
      </c>
      <c r="E473" t="s">
        <v>2078</v>
      </c>
      <c r="F473" t="str">
        <f>_xlfn.XLOOKUP(E473,Table8[City],Table8[State])</f>
        <v>Telangana</v>
      </c>
      <c r="G473" t="str">
        <f>_xlfn.XLOOKUP(E473,Table8[City],Table8[Region])</f>
        <v>South</v>
      </c>
      <c r="H473" t="s">
        <v>26</v>
      </c>
      <c r="I473" t="str">
        <f>_xlfn.XLOOKUP(H473,Table6[Product],Table6[Category])</f>
        <v>Office</v>
      </c>
      <c r="J473" t="s">
        <v>63</v>
      </c>
      <c r="K473">
        <v>7</v>
      </c>
      <c r="L473">
        <f>_xlfn.XLOOKUP(H473,Table6[Product],Table6[Unit Price])</f>
        <v>15000</v>
      </c>
      <c r="M473">
        <f>_xlfn.XLOOKUP(H473,Table6[Product],Table6[Cost Price])</f>
        <v>11500</v>
      </c>
      <c r="N473" s="7">
        <v>0.05</v>
      </c>
      <c r="O473">
        <f t="shared" si="21"/>
        <v>99750</v>
      </c>
      <c r="P473">
        <f t="shared" si="22"/>
        <v>80500</v>
      </c>
      <c r="Q473">
        <f t="shared" si="23"/>
        <v>19250</v>
      </c>
      <c r="R473" t="s">
        <v>44</v>
      </c>
      <c r="S473" t="s">
        <v>49</v>
      </c>
    </row>
    <row r="474" spans="1:19" ht="18" x14ac:dyDescent="0.5">
      <c r="A474" t="s">
        <v>544</v>
      </c>
      <c r="B474" t="s">
        <v>1543</v>
      </c>
      <c r="C474" s="6">
        <v>45421</v>
      </c>
      <c r="D474" t="s">
        <v>59</v>
      </c>
      <c r="E474" t="s">
        <v>2104</v>
      </c>
      <c r="F474" t="str">
        <f>_xlfn.XLOOKUP(E474,Table8[City],Table8[State])</f>
        <v>Delhi</v>
      </c>
      <c r="G474" t="str">
        <f>_xlfn.XLOOKUP(E474,Table8[City],Table8[Region])</f>
        <v>North</v>
      </c>
      <c r="H474" t="s">
        <v>25</v>
      </c>
      <c r="I474" t="str">
        <f>_xlfn.XLOOKUP(H474,Table6[Product],Table6[Category])</f>
        <v>Accessories</v>
      </c>
      <c r="J474" t="s">
        <v>56</v>
      </c>
      <c r="K474">
        <v>2</v>
      </c>
      <c r="L474">
        <f>_xlfn.XLOOKUP(H474,Table6[Product],Table6[Unit Price])</f>
        <v>800</v>
      </c>
      <c r="M474">
        <f>_xlfn.XLOOKUP(H474,Table6[Product],Table6[Cost Price])</f>
        <v>450</v>
      </c>
      <c r="N474" s="7">
        <v>7.0000000000000007E-2</v>
      </c>
      <c r="O474">
        <f t="shared" si="21"/>
        <v>1488</v>
      </c>
      <c r="P474">
        <f t="shared" si="22"/>
        <v>900</v>
      </c>
      <c r="Q474">
        <f t="shared" si="23"/>
        <v>588</v>
      </c>
      <c r="R474" t="s">
        <v>46</v>
      </c>
      <c r="S474" t="s">
        <v>52</v>
      </c>
    </row>
    <row r="475" spans="1:19" ht="18" x14ac:dyDescent="0.5">
      <c r="A475" t="s">
        <v>545</v>
      </c>
      <c r="B475" t="s">
        <v>1544</v>
      </c>
      <c r="C475" s="6">
        <v>45574</v>
      </c>
      <c r="D475" t="s">
        <v>2096</v>
      </c>
      <c r="E475" t="s">
        <v>2105</v>
      </c>
      <c r="F475" t="str">
        <f>_xlfn.XLOOKUP(E475,Table8[City],Table8[State])</f>
        <v>Rajasthan</v>
      </c>
      <c r="G475" t="str">
        <f>_xlfn.XLOOKUP(E475,Table8[City],Table8[Region])</f>
        <v>North</v>
      </c>
      <c r="H475" t="s">
        <v>19</v>
      </c>
      <c r="I475" t="str">
        <f>_xlfn.XLOOKUP(H475,Table6[Product],Table6[Category])</f>
        <v>Electronics</v>
      </c>
      <c r="J475" t="s">
        <v>59</v>
      </c>
      <c r="K475">
        <v>7</v>
      </c>
      <c r="L475">
        <f>_xlfn.XLOOKUP(H475,Table6[Product],Table6[Unit Price])</f>
        <v>25000</v>
      </c>
      <c r="M475">
        <f>_xlfn.XLOOKUP(H475,Table6[Product],Table6[Cost Price])</f>
        <v>20000</v>
      </c>
      <c r="N475" s="7">
        <v>0.18</v>
      </c>
      <c r="O475">
        <f t="shared" si="21"/>
        <v>143500</v>
      </c>
      <c r="P475">
        <f t="shared" si="22"/>
        <v>140000</v>
      </c>
      <c r="Q475">
        <f t="shared" si="23"/>
        <v>3500</v>
      </c>
      <c r="R475" t="s">
        <v>43</v>
      </c>
      <c r="S475" t="s">
        <v>52</v>
      </c>
    </row>
    <row r="476" spans="1:19" ht="18" x14ac:dyDescent="0.5">
      <c r="A476" t="s">
        <v>546</v>
      </c>
      <c r="B476" t="s">
        <v>1545</v>
      </c>
      <c r="C476" s="6">
        <v>45730</v>
      </c>
      <c r="D476" t="s">
        <v>2098</v>
      </c>
      <c r="E476" t="s">
        <v>2072</v>
      </c>
      <c r="F476" t="str">
        <f>_xlfn.XLOOKUP(E476,Table8[City],Table8[State])</f>
        <v>Karnataka</v>
      </c>
      <c r="G476" t="str">
        <f>_xlfn.XLOOKUP(E476,Table8[City],Table8[Region])</f>
        <v>South</v>
      </c>
      <c r="H476" t="s">
        <v>25</v>
      </c>
      <c r="I476" t="str">
        <f>_xlfn.XLOOKUP(H476,Table6[Product],Table6[Category])</f>
        <v>Accessories</v>
      </c>
      <c r="J476" t="s">
        <v>57</v>
      </c>
      <c r="K476">
        <v>7</v>
      </c>
      <c r="L476">
        <f>_xlfn.XLOOKUP(H476,Table6[Product],Table6[Unit Price])</f>
        <v>800</v>
      </c>
      <c r="M476">
        <f>_xlfn.XLOOKUP(H476,Table6[Product],Table6[Cost Price])</f>
        <v>450</v>
      </c>
      <c r="N476" s="7">
        <v>0.18</v>
      </c>
      <c r="O476">
        <f t="shared" si="21"/>
        <v>4592</v>
      </c>
      <c r="P476">
        <f t="shared" si="22"/>
        <v>3150</v>
      </c>
      <c r="Q476">
        <f t="shared" si="23"/>
        <v>1442</v>
      </c>
      <c r="R476" t="s">
        <v>43</v>
      </c>
      <c r="S476" t="s">
        <v>51</v>
      </c>
    </row>
    <row r="477" spans="1:19" ht="18" x14ac:dyDescent="0.5">
      <c r="A477" t="s">
        <v>547</v>
      </c>
      <c r="B477" t="s">
        <v>1546</v>
      </c>
      <c r="C477" s="6">
        <v>45596</v>
      </c>
      <c r="D477" t="s">
        <v>2099</v>
      </c>
      <c r="E477" t="s">
        <v>2077</v>
      </c>
      <c r="F477" t="str">
        <f>_xlfn.XLOOKUP(E477,Table8[City],Table8[State])</f>
        <v>Telangana</v>
      </c>
      <c r="G477" t="str">
        <f>_xlfn.XLOOKUP(E477,Table8[City],Table8[Region])</f>
        <v>South</v>
      </c>
      <c r="H477" t="s">
        <v>24</v>
      </c>
      <c r="I477" t="str">
        <f>_xlfn.XLOOKUP(H477,Table6[Product],Table6[Category])</f>
        <v>Accessories</v>
      </c>
      <c r="J477" t="s">
        <v>58</v>
      </c>
      <c r="K477">
        <v>7</v>
      </c>
      <c r="L477">
        <f>_xlfn.XLOOKUP(H477,Table6[Product],Table6[Unit Price])</f>
        <v>1500</v>
      </c>
      <c r="M477">
        <f>_xlfn.XLOOKUP(H477,Table6[Product],Table6[Cost Price])</f>
        <v>900</v>
      </c>
      <c r="N477" s="7">
        <v>0.09</v>
      </c>
      <c r="O477">
        <f t="shared" si="21"/>
        <v>9555</v>
      </c>
      <c r="P477">
        <f t="shared" si="22"/>
        <v>6300</v>
      </c>
      <c r="Q477">
        <f t="shared" si="23"/>
        <v>3255</v>
      </c>
      <c r="R477" t="s">
        <v>46</v>
      </c>
      <c r="S477" t="s">
        <v>50</v>
      </c>
    </row>
    <row r="478" spans="1:19" ht="18" x14ac:dyDescent="0.5">
      <c r="A478" t="s">
        <v>548</v>
      </c>
      <c r="B478" t="s">
        <v>1547</v>
      </c>
      <c r="C478" s="6">
        <v>45681</v>
      </c>
      <c r="D478" t="s">
        <v>2092</v>
      </c>
      <c r="E478" t="s">
        <v>2074</v>
      </c>
      <c r="F478" t="str">
        <f>_xlfn.XLOOKUP(E478,Table8[City],Table8[State])</f>
        <v>Maharashtra</v>
      </c>
      <c r="G478" t="str">
        <f>_xlfn.XLOOKUP(E478,Table8[City],Table8[Region])</f>
        <v>West</v>
      </c>
      <c r="H478" t="s">
        <v>19</v>
      </c>
      <c r="I478" t="str">
        <f>_xlfn.XLOOKUP(H478,Table6[Product],Table6[Category])</f>
        <v>Electronics</v>
      </c>
      <c r="J478" t="s">
        <v>57</v>
      </c>
      <c r="K478">
        <v>1</v>
      </c>
      <c r="L478">
        <f>_xlfn.XLOOKUP(H478,Table6[Product],Table6[Unit Price])</f>
        <v>25000</v>
      </c>
      <c r="M478">
        <f>_xlfn.XLOOKUP(H478,Table6[Product],Table6[Cost Price])</f>
        <v>20000</v>
      </c>
      <c r="N478" s="7">
        <v>0.21</v>
      </c>
      <c r="O478">
        <f t="shared" si="21"/>
        <v>19750</v>
      </c>
      <c r="P478">
        <f t="shared" si="22"/>
        <v>20000</v>
      </c>
      <c r="Q478">
        <f t="shared" si="23"/>
        <v>-250</v>
      </c>
      <c r="R478" t="s">
        <v>43</v>
      </c>
      <c r="S478" t="s">
        <v>51</v>
      </c>
    </row>
    <row r="479" spans="1:19" ht="18" x14ac:dyDescent="0.5">
      <c r="A479" t="s">
        <v>549</v>
      </c>
      <c r="B479" t="s">
        <v>1548</v>
      </c>
      <c r="C479" s="6">
        <v>45777</v>
      </c>
      <c r="D479" t="s">
        <v>2093</v>
      </c>
      <c r="E479" t="s">
        <v>2073</v>
      </c>
      <c r="F479" t="str">
        <f>_xlfn.XLOOKUP(E479,Table8[City],Table8[State])</f>
        <v>Maharashtra</v>
      </c>
      <c r="G479" t="str">
        <f>_xlfn.XLOOKUP(E479,Table8[City],Table8[Region])</f>
        <v>West</v>
      </c>
      <c r="H479" t="s">
        <v>19</v>
      </c>
      <c r="I479" t="str">
        <f>_xlfn.XLOOKUP(H479,Table6[Product],Table6[Category])</f>
        <v>Electronics</v>
      </c>
      <c r="J479" t="s">
        <v>63</v>
      </c>
      <c r="K479">
        <v>5</v>
      </c>
      <c r="L479">
        <f>_xlfn.XLOOKUP(H479,Table6[Product],Table6[Unit Price])</f>
        <v>25000</v>
      </c>
      <c r="M479">
        <f>_xlfn.XLOOKUP(H479,Table6[Product],Table6[Cost Price])</f>
        <v>20000</v>
      </c>
      <c r="N479" s="7">
        <v>0.05</v>
      </c>
      <c r="O479">
        <f t="shared" si="21"/>
        <v>118750</v>
      </c>
      <c r="P479">
        <f t="shared" si="22"/>
        <v>100000</v>
      </c>
      <c r="Q479">
        <f t="shared" si="23"/>
        <v>18750</v>
      </c>
      <c r="R479" t="s">
        <v>44</v>
      </c>
      <c r="S479" t="s">
        <v>50</v>
      </c>
    </row>
    <row r="480" spans="1:19" ht="18" x14ac:dyDescent="0.5">
      <c r="A480" t="s">
        <v>550</v>
      </c>
      <c r="B480" t="s">
        <v>1549</v>
      </c>
      <c r="C480" s="6">
        <v>45908</v>
      </c>
      <c r="D480" t="s">
        <v>69</v>
      </c>
      <c r="E480" t="s">
        <v>2074</v>
      </c>
      <c r="F480" t="str">
        <f>_xlfn.XLOOKUP(E480,Table8[City],Table8[State])</f>
        <v>Maharashtra</v>
      </c>
      <c r="G480" t="str">
        <f>_xlfn.XLOOKUP(E480,Table8[City],Table8[Region])</f>
        <v>West</v>
      </c>
      <c r="H480" t="s">
        <v>25</v>
      </c>
      <c r="I480" t="str">
        <f>_xlfn.XLOOKUP(H480,Table6[Product],Table6[Category])</f>
        <v>Accessories</v>
      </c>
      <c r="J480" t="s">
        <v>59</v>
      </c>
      <c r="K480">
        <v>2</v>
      </c>
      <c r="L480">
        <f>_xlfn.XLOOKUP(H480,Table6[Product],Table6[Unit Price])</f>
        <v>800</v>
      </c>
      <c r="M480">
        <f>_xlfn.XLOOKUP(H480,Table6[Product],Table6[Cost Price])</f>
        <v>450</v>
      </c>
      <c r="N480" s="7">
        <v>0.13</v>
      </c>
      <c r="O480">
        <f t="shared" si="21"/>
        <v>1392</v>
      </c>
      <c r="P480">
        <f t="shared" si="22"/>
        <v>900</v>
      </c>
      <c r="Q480">
        <f t="shared" si="23"/>
        <v>492</v>
      </c>
      <c r="R480" t="s">
        <v>43</v>
      </c>
      <c r="S480" t="s">
        <v>49</v>
      </c>
    </row>
    <row r="481" spans="1:19" ht="18" x14ac:dyDescent="0.5">
      <c r="A481" t="s">
        <v>551</v>
      </c>
      <c r="B481" t="s">
        <v>1550</v>
      </c>
      <c r="C481" s="6">
        <v>45714</v>
      </c>
      <c r="D481" t="s">
        <v>69</v>
      </c>
      <c r="E481" t="s">
        <v>2080</v>
      </c>
      <c r="F481" t="str">
        <f>_xlfn.XLOOKUP(E481,Table8[City],Table8[State])</f>
        <v>Gujarat</v>
      </c>
      <c r="G481" t="str">
        <f>_xlfn.XLOOKUP(E481,Table8[City],Table8[Region])</f>
        <v>West</v>
      </c>
      <c r="H481" t="s">
        <v>20</v>
      </c>
      <c r="I481" t="str">
        <f>_xlfn.XLOOKUP(H481,Table6[Product],Table6[Category])</f>
        <v>Accessories</v>
      </c>
      <c r="J481" t="s">
        <v>63</v>
      </c>
      <c r="K481">
        <v>4</v>
      </c>
      <c r="L481">
        <f>_xlfn.XLOOKUP(H481,Table6[Product],Table6[Unit Price])</f>
        <v>3000</v>
      </c>
      <c r="M481">
        <f>_xlfn.XLOOKUP(H481,Table6[Product],Table6[Cost Price])</f>
        <v>1800</v>
      </c>
      <c r="N481" s="7">
        <v>0.02</v>
      </c>
      <c r="O481">
        <f t="shared" si="21"/>
        <v>11760</v>
      </c>
      <c r="P481">
        <f t="shared" si="22"/>
        <v>7200</v>
      </c>
      <c r="Q481">
        <f t="shared" si="23"/>
        <v>4560</v>
      </c>
      <c r="R481" t="s">
        <v>44</v>
      </c>
      <c r="S481" t="s">
        <v>50</v>
      </c>
    </row>
    <row r="482" spans="1:19" ht="18" x14ac:dyDescent="0.5">
      <c r="A482" t="s">
        <v>552</v>
      </c>
      <c r="B482" t="s">
        <v>1551</v>
      </c>
      <c r="C482" s="6">
        <v>45873</v>
      </c>
      <c r="D482" t="s">
        <v>2085</v>
      </c>
      <c r="E482" t="s">
        <v>2106</v>
      </c>
      <c r="F482" t="str">
        <f>_xlfn.XLOOKUP(E482,Table8[City],Table8[State])</f>
        <v>West Bengal</v>
      </c>
      <c r="G482" t="str">
        <f>_xlfn.XLOOKUP(E482,Table8[City],Table8[Region])</f>
        <v>East</v>
      </c>
      <c r="H482" t="s">
        <v>16</v>
      </c>
      <c r="I482" t="str">
        <f>_xlfn.XLOOKUP(H482,Table6[Product],Table6[Category])</f>
        <v>Electronics</v>
      </c>
      <c r="J482" t="s">
        <v>56</v>
      </c>
      <c r="K482">
        <v>9</v>
      </c>
      <c r="L482">
        <f>_xlfn.XLOOKUP(H482,Table6[Product],Table6[Unit Price])</f>
        <v>65000</v>
      </c>
      <c r="M482">
        <f>_xlfn.XLOOKUP(H482,Table6[Product],Table6[Cost Price])</f>
        <v>52000</v>
      </c>
      <c r="N482" s="7">
        <v>0.17</v>
      </c>
      <c r="O482">
        <f t="shared" si="21"/>
        <v>485550</v>
      </c>
      <c r="P482">
        <f t="shared" si="22"/>
        <v>468000</v>
      </c>
      <c r="Q482">
        <f t="shared" si="23"/>
        <v>17550</v>
      </c>
      <c r="R482" t="s">
        <v>45</v>
      </c>
      <c r="S482" t="s">
        <v>49</v>
      </c>
    </row>
    <row r="483" spans="1:19" ht="18" x14ac:dyDescent="0.5">
      <c r="A483" t="s">
        <v>553</v>
      </c>
      <c r="B483" t="s">
        <v>1552</v>
      </c>
      <c r="C483" s="6">
        <v>45911</v>
      </c>
      <c r="D483" t="s">
        <v>2088</v>
      </c>
      <c r="E483" t="s">
        <v>2104</v>
      </c>
      <c r="F483" t="str">
        <f>_xlfn.XLOOKUP(E483,Table8[City],Table8[State])</f>
        <v>Delhi</v>
      </c>
      <c r="G483" t="str">
        <f>_xlfn.XLOOKUP(E483,Table8[City],Table8[Region])</f>
        <v>North</v>
      </c>
      <c r="H483" t="s">
        <v>29</v>
      </c>
      <c r="I483" t="str">
        <f>_xlfn.XLOOKUP(H483,Table6[Product],Table6[Category])</f>
        <v>Electronics</v>
      </c>
      <c r="J483" t="s">
        <v>59</v>
      </c>
      <c r="K483">
        <v>7</v>
      </c>
      <c r="L483">
        <f>_xlfn.XLOOKUP(H483,Table6[Product],Table6[Unit Price])</f>
        <v>5000</v>
      </c>
      <c r="M483">
        <f>_xlfn.XLOOKUP(H483,Table6[Product],Table6[Cost Price])</f>
        <v>3200</v>
      </c>
      <c r="N483" s="7">
        <v>0.19</v>
      </c>
      <c r="O483">
        <f t="shared" si="21"/>
        <v>28350.000000000004</v>
      </c>
      <c r="P483">
        <f t="shared" si="22"/>
        <v>22400</v>
      </c>
      <c r="Q483">
        <f t="shared" si="23"/>
        <v>5950.0000000000036</v>
      </c>
      <c r="R483" t="s">
        <v>47</v>
      </c>
      <c r="S483" t="s">
        <v>50</v>
      </c>
    </row>
    <row r="484" spans="1:19" ht="18" x14ac:dyDescent="0.5">
      <c r="A484" t="s">
        <v>554</v>
      </c>
      <c r="B484" t="s">
        <v>1553</v>
      </c>
      <c r="C484" s="6">
        <v>45706</v>
      </c>
      <c r="D484" t="s">
        <v>2093</v>
      </c>
      <c r="E484" t="s">
        <v>2075</v>
      </c>
      <c r="F484" t="str">
        <f>_xlfn.XLOOKUP(E484,Table8[City],Table8[State])</f>
        <v>Tamil Nadu</v>
      </c>
      <c r="G484" t="str">
        <f>_xlfn.XLOOKUP(E484,Table8[City],Table8[Region])</f>
        <v>South</v>
      </c>
      <c r="H484" t="s">
        <v>19</v>
      </c>
      <c r="I484" t="str">
        <f>_xlfn.XLOOKUP(H484,Table6[Product],Table6[Category])</f>
        <v>Electronics</v>
      </c>
      <c r="J484" t="s">
        <v>57</v>
      </c>
      <c r="K484">
        <v>10</v>
      </c>
      <c r="L484">
        <f>_xlfn.XLOOKUP(H484,Table6[Product],Table6[Unit Price])</f>
        <v>25000</v>
      </c>
      <c r="M484">
        <f>_xlfn.XLOOKUP(H484,Table6[Product],Table6[Cost Price])</f>
        <v>20000</v>
      </c>
      <c r="N484" s="7">
        <v>7.0000000000000007E-2</v>
      </c>
      <c r="O484">
        <f t="shared" si="21"/>
        <v>232499.99999999997</v>
      </c>
      <c r="P484">
        <f t="shared" si="22"/>
        <v>200000</v>
      </c>
      <c r="Q484">
        <f t="shared" si="23"/>
        <v>32499.999999999971</v>
      </c>
      <c r="R484" t="s">
        <v>46</v>
      </c>
      <c r="S484" t="s">
        <v>49</v>
      </c>
    </row>
    <row r="485" spans="1:19" ht="18" x14ac:dyDescent="0.5">
      <c r="A485" t="s">
        <v>555</v>
      </c>
      <c r="B485" t="s">
        <v>1554</v>
      </c>
      <c r="C485" s="6">
        <v>45961</v>
      </c>
      <c r="D485" t="s">
        <v>2098</v>
      </c>
      <c r="E485" t="s">
        <v>2105</v>
      </c>
      <c r="F485" t="str">
        <f>_xlfn.XLOOKUP(E485,Table8[City],Table8[State])</f>
        <v>Rajasthan</v>
      </c>
      <c r="G485" t="str">
        <f>_xlfn.XLOOKUP(E485,Table8[City],Table8[Region])</f>
        <v>North</v>
      </c>
      <c r="H485" t="s">
        <v>18</v>
      </c>
      <c r="I485" t="str">
        <f>_xlfn.XLOOKUP(H485,Table6[Product],Table6[Category])</f>
        <v>Electronics</v>
      </c>
      <c r="J485" t="s">
        <v>58</v>
      </c>
      <c r="K485">
        <v>7</v>
      </c>
      <c r="L485">
        <f>_xlfn.XLOOKUP(H485,Table6[Product],Table6[Unit Price])</f>
        <v>35000</v>
      </c>
      <c r="M485">
        <f>_xlfn.XLOOKUP(H485,Table6[Product],Table6[Cost Price])</f>
        <v>28000</v>
      </c>
      <c r="N485" s="7">
        <v>0.12</v>
      </c>
      <c r="O485">
        <f t="shared" si="21"/>
        <v>215600</v>
      </c>
      <c r="P485">
        <f t="shared" si="22"/>
        <v>196000</v>
      </c>
      <c r="Q485">
        <f t="shared" si="23"/>
        <v>19600</v>
      </c>
      <c r="R485" t="s">
        <v>47</v>
      </c>
      <c r="S485" t="s">
        <v>50</v>
      </c>
    </row>
    <row r="486" spans="1:19" ht="18" x14ac:dyDescent="0.5">
      <c r="A486" t="s">
        <v>556</v>
      </c>
      <c r="B486" t="s">
        <v>1555</v>
      </c>
      <c r="C486" s="6">
        <v>45774</v>
      </c>
      <c r="D486" t="s">
        <v>2098</v>
      </c>
      <c r="E486" t="s">
        <v>2076</v>
      </c>
      <c r="F486" t="str">
        <f>_xlfn.XLOOKUP(E486,Table8[City],Table8[State])</f>
        <v>Tamil Nadu</v>
      </c>
      <c r="G486" t="str">
        <f>_xlfn.XLOOKUP(E486,Table8[City],Table8[Region])</f>
        <v>South</v>
      </c>
      <c r="H486" t="s">
        <v>26</v>
      </c>
      <c r="I486" t="str">
        <f>_xlfn.XLOOKUP(H486,Table6[Product],Table6[Category])</f>
        <v>Office</v>
      </c>
      <c r="J486" t="s">
        <v>62</v>
      </c>
      <c r="K486">
        <v>1</v>
      </c>
      <c r="L486">
        <f>_xlfn.XLOOKUP(H486,Table6[Product],Table6[Unit Price])</f>
        <v>15000</v>
      </c>
      <c r="M486">
        <f>_xlfn.XLOOKUP(H486,Table6[Product],Table6[Cost Price])</f>
        <v>11500</v>
      </c>
      <c r="N486" s="7">
        <v>0.04</v>
      </c>
      <c r="O486">
        <f t="shared" si="21"/>
        <v>14400</v>
      </c>
      <c r="P486">
        <f t="shared" si="22"/>
        <v>11500</v>
      </c>
      <c r="Q486">
        <f t="shared" si="23"/>
        <v>2900</v>
      </c>
      <c r="R486" t="s">
        <v>46</v>
      </c>
      <c r="S486" t="s">
        <v>52</v>
      </c>
    </row>
    <row r="487" spans="1:19" ht="18" x14ac:dyDescent="0.5">
      <c r="A487" t="s">
        <v>557</v>
      </c>
      <c r="B487" t="s">
        <v>1556</v>
      </c>
      <c r="C487" s="6">
        <v>45532</v>
      </c>
      <c r="D487" t="s">
        <v>2084</v>
      </c>
      <c r="E487" t="s">
        <v>2076</v>
      </c>
      <c r="F487" t="str">
        <f>_xlfn.XLOOKUP(E487,Table8[City],Table8[State])</f>
        <v>Tamil Nadu</v>
      </c>
      <c r="G487" t="str">
        <f>_xlfn.XLOOKUP(E487,Table8[City],Table8[Region])</f>
        <v>South</v>
      </c>
      <c r="H487" t="s">
        <v>16</v>
      </c>
      <c r="I487" t="str">
        <f>_xlfn.XLOOKUP(H487,Table6[Product],Table6[Category])</f>
        <v>Electronics</v>
      </c>
      <c r="J487" t="s">
        <v>58</v>
      </c>
      <c r="K487">
        <v>4</v>
      </c>
      <c r="L487">
        <f>_xlfn.XLOOKUP(H487,Table6[Product],Table6[Unit Price])</f>
        <v>65000</v>
      </c>
      <c r="M487">
        <f>_xlfn.XLOOKUP(H487,Table6[Product],Table6[Cost Price])</f>
        <v>52000</v>
      </c>
      <c r="N487" s="7">
        <v>0.11</v>
      </c>
      <c r="O487">
        <f t="shared" si="21"/>
        <v>231400</v>
      </c>
      <c r="P487">
        <f t="shared" si="22"/>
        <v>208000</v>
      </c>
      <c r="Q487">
        <f t="shared" si="23"/>
        <v>23400</v>
      </c>
      <c r="R487" t="s">
        <v>44</v>
      </c>
      <c r="S487" t="s">
        <v>52</v>
      </c>
    </row>
    <row r="488" spans="1:19" ht="18" x14ac:dyDescent="0.5">
      <c r="A488" t="s">
        <v>558</v>
      </c>
      <c r="B488" t="s">
        <v>1557</v>
      </c>
      <c r="C488" s="6">
        <v>45544</v>
      </c>
      <c r="D488" t="s">
        <v>2087</v>
      </c>
      <c r="E488" t="s">
        <v>2072</v>
      </c>
      <c r="F488" t="str">
        <f>_xlfn.XLOOKUP(E488,Table8[City],Table8[State])</f>
        <v>Karnataka</v>
      </c>
      <c r="G488" t="str">
        <f>_xlfn.XLOOKUP(E488,Table8[City],Table8[Region])</f>
        <v>South</v>
      </c>
      <c r="H488" t="s">
        <v>25</v>
      </c>
      <c r="I488" t="str">
        <f>_xlfn.XLOOKUP(H488,Table6[Product],Table6[Category])</f>
        <v>Accessories</v>
      </c>
      <c r="J488" t="s">
        <v>63</v>
      </c>
      <c r="K488">
        <v>3</v>
      </c>
      <c r="L488">
        <f>_xlfn.XLOOKUP(H488,Table6[Product],Table6[Unit Price])</f>
        <v>800</v>
      </c>
      <c r="M488">
        <f>_xlfn.XLOOKUP(H488,Table6[Product],Table6[Cost Price])</f>
        <v>450</v>
      </c>
      <c r="N488" s="7">
        <v>0.2</v>
      </c>
      <c r="O488">
        <f t="shared" si="21"/>
        <v>1920</v>
      </c>
      <c r="P488">
        <f t="shared" si="22"/>
        <v>1350</v>
      </c>
      <c r="Q488">
        <f t="shared" si="23"/>
        <v>570</v>
      </c>
      <c r="R488" t="s">
        <v>46</v>
      </c>
      <c r="S488" t="s">
        <v>52</v>
      </c>
    </row>
    <row r="489" spans="1:19" ht="18" x14ac:dyDescent="0.5">
      <c r="A489" t="s">
        <v>559</v>
      </c>
      <c r="B489" t="s">
        <v>1558</v>
      </c>
      <c r="C489" s="6">
        <v>45564</v>
      </c>
      <c r="D489" t="s">
        <v>2084</v>
      </c>
      <c r="E489" t="s">
        <v>2079</v>
      </c>
      <c r="F489" t="str">
        <f>_xlfn.XLOOKUP(E489,Table8[City],Table8[State])</f>
        <v>Gujarat</v>
      </c>
      <c r="G489" t="str">
        <f>_xlfn.XLOOKUP(E489,Table8[City],Table8[Region])</f>
        <v>West</v>
      </c>
      <c r="H489" t="s">
        <v>20</v>
      </c>
      <c r="I489" t="str">
        <f>_xlfn.XLOOKUP(H489,Table6[Product],Table6[Category])</f>
        <v>Accessories</v>
      </c>
      <c r="J489" t="s">
        <v>56</v>
      </c>
      <c r="K489">
        <v>10</v>
      </c>
      <c r="L489">
        <f>_xlfn.XLOOKUP(H489,Table6[Product],Table6[Unit Price])</f>
        <v>3000</v>
      </c>
      <c r="M489">
        <f>_xlfn.XLOOKUP(H489,Table6[Product],Table6[Cost Price])</f>
        <v>1800</v>
      </c>
      <c r="N489" s="7">
        <v>0.22</v>
      </c>
      <c r="O489">
        <f t="shared" si="21"/>
        <v>23400</v>
      </c>
      <c r="P489">
        <f t="shared" si="22"/>
        <v>18000</v>
      </c>
      <c r="Q489">
        <f t="shared" si="23"/>
        <v>5400</v>
      </c>
      <c r="R489" t="s">
        <v>44</v>
      </c>
      <c r="S489" t="s">
        <v>49</v>
      </c>
    </row>
    <row r="490" spans="1:19" ht="18" x14ac:dyDescent="0.5">
      <c r="A490" t="s">
        <v>560</v>
      </c>
      <c r="B490" t="s">
        <v>1559</v>
      </c>
      <c r="C490" s="6">
        <v>45900</v>
      </c>
      <c r="D490" t="s">
        <v>2099</v>
      </c>
      <c r="E490" t="s">
        <v>70</v>
      </c>
      <c r="F490" t="str">
        <f>_xlfn.XLOOKUP(E490,Table8[City],Table8[State])</f>
        <v>Karnataka</v>
      </c>
      <c r="G490" t="str">
        <f>_xlfn.XLOOKUP(E490,Table8[City],Table8[Region])</f>
        <v>South</v>
      </c>
      <c r="H490" t="s">
        <v>25</v>
      </c>
      <c r="I490" t="str">
        <f>_xlfn.XLOOKUP(H490,Table6[Product],Table6[Category])</f>
        <v>Accessories</v>
      </c>
      <c r="J490" t="s">
        <v>56</v>
      </c>
      <c r="K490">
        <v>9</v>
      </c>
      <c r="L490">
        <f>_xlfn.XLOOKUP(H490,Table6[Product],Table6[Unit Price])</f>
        <v>800</v>
      </c>
      <c r="M490">
        <f>_xlfn.XLOOKUP(H490,Table6[Product],Table6[Cost Price])</f>
        <v>450</v>
      </c>
      <c r="N490" s="7">
        <v>0.03</v>
      </c>
      <c r="O490">
        <f t="shared" si="21"/>
        <v>6984</v>
      </c>
      <c r="P490">
        <f t="shared" si="22"/>
        <v>4050</v>
      </c>
      <c r="Q490">
        <f t="shared" si="23"/>
        <v>2934</v>
      </c>
      <c r="R490" t="s">
        <v>47</v>
      </c>
      <c r="S490" t="s">
        <v>52</v>
      </c>
    </row>
    <row r="491" spans="1:19" ht="18" x14ac:dyDescent="0.5">
      <c r="A491" t="s">
        <v>561</v>
      </c>
      <c r="B491" t="s">
        <v>1560</v>
      </c>
      <c r="C491" s="6">
        <v>45632</v>
      </c>
      <c r="D491" t="s">
        <v>2084</v>
      </c>
      <c r="E491" t="s">
        <v>2075</v>
      </c>
      <c r="F491" t="str">
        <f>_xlfn.XLOOKUP(E491,Table8[City],Table8[State])</f>
        <v>Tamil Nadu</v>
      </c>
      <c r="G491" t="str">
        <f>_xlfn.XLOOKUP(E491,Table8[City],Table8[Region])</f>
        <v>South</v>
      </c>
      <c r="H491" t="s">
        <v>25</v>
      </c>
      <c r="I491" t="str">
        <f>_xlfn.XLOOKUP(H491,Table6[Product],Table6[Category])</f>
        <v>Accessories</v>
      </c>
      <c r="J491" t="s">
        <v>62</v>
      </c>
      <c r="K491">
        <v>8</v>
      </c>
      <c r="L491">
        <f>_xlfn.XLOOKUP(H491,Table6[Product],Table6[Unit Price])</f>
        <v>800</v>
      </c>
      <c r="M491">
        <f>_xlfn.XLOOKUP(H491,Table6[Product],Table6[Cost Price])</f>
        <v>450</v>
      </c>
      <c r="N491" s="7">
        <v>0.25</v>
      </c>
      <c r="O491">
        <f t="shared" si="21"/>
        <v>4800</v>
      </c>
      <c r="P491">
        <f t="shared" si="22"/>
        <v>3600</v>
      </c>
      <c r="Q491">
        <f t="shared" si="23"/>
        <v>1200</v>
      </c>
      <c r="R491" t="s">
        <v>43</v>
      </c>
      <c r="S491" t="s">
        <v>49</v>
      </c>
    </row>
    <row r="492" spans="1:19" ht="18" x14ac:dyDescent="0.5">
      <c r="A492" t="s">
        <v>562</v>
      </c>
      <c r="B492" t="s">
        <v>1561</v>
      </c>
      <c r="C492" s="6">
        <v>45801</v>
      </c>
      <c r="D492" t="s">
        <v>2083</v>
      </c>
      <c r="E492" t="s">
        <v>2079</v>
      </c>
      <c r="F492" t="str">
        <f>_xlfn.XLOOKUP(E492,Table8[City],Table8[State])</f>
        <v>Gujarat</v>
      </c>
      <c r="G492" t="str">
        <f>_xlfn.XLOOKUP(E492,Table8[City],Table8[Region])</f>
        <v>West</v>
      </c>
      <c r="H492" t="s">
        <v>19</v>
      </c>
      <c r="I492" t="str">
        <f>_xlfn.XLOOKUP(H492,Table6[Product],Table6[Category])</f>
        <v>Electronics</v>
      </c>
      <c r="J492" t="s">
        <v>59</v>
      </c>
      <c r="K492">
        <v>3</v>
      </c>
      <c r="L492">
        <f>_xlfn.XLOOKUP(H492,Table6[Product],Table6[Unit Price])</f>
        <v>25000</v>
      </c>
      <c r="M492">
        <f>_xlfn.XLOOKUP(H492,Table6[Product],Table6[Cost Price])</f>
        <v>20000</v>
      </c>
      <c r="N492" s="7">
        <v>0.15</v>
      </c>
      <c r="O492">
        <f t="shared" si="21"/>
        <v>63750</v>
      </c>
      <c r="P492">
        <f t="shared" si="22"/>
        <v>60000</v>
      </c>
      <c r="Q492">
        <f t="shared" si="23"/>
        <v>3750</v>
      </c>
      <c r="R492" t="s">
        <v>44</v>
      </c>
      <c r="S492" t="s">
        <v>52</v>
      </c>
    </row>
    <row r="493" spans="1:19" ht="18" x14ac:dyDescent="0.5">
      <c r="A493" t="s">
        <v>563</v>
      </c>
      <c r="B493" t="s">
        <v>1562</v>
      </c>
      <c r="C493" s="6">
        <v>45586</v>
      </c>
      <c r="D493" t="s">
        <v>59</v>
      </c>
      <c r="E493" t="s">
        <v>2106</v>
      </c>
      <c r="F493" t="str">
        <f>_xlfn.XLOOKUP(E493,Table8[City],Table8[State])</f>
        <v>West Bengal</v>
      </c>
      <c r="G493" t="str">
        <f>_xlfn.XLOOKUP(E493,Table8[City],Table8[Region])</f>
        <v>East</v>
      </c>
      <c r="H493" t="s">
        <v>18</v>
      </c>
      <c r="I493" t="str">
        <f>_xlfn.XLOOKUP(H493,Table6[Product],Table6[Category])</f>
        <v>Electronics</v>
      </c>
      <c r="J493" t="s">
        <v>61</v>
      </c>
      <c r="K493">
        <v>7</v>
      </c>
      <c r="L493">
        <f>_xlfn.XLOOKUP(H493,Table6[Product],Table6[Unit Price])</f>
        <v>35000</v>
      </c>
      <c r="M493">
        <f>_xlfn.XLOOKUP(H493,Table6[Product],Table6[Cost Price])</f>
        <v>28000</v>
      </c>
      <c r="N493" s="7">
        <v>0.02</v>
      </c>
      <c r="O493">
        <f t="shared" si="21"/>
        <v>240100</v>
      </c>
      <c r="P493">
        <f t="shared" si="22"/>
        <v>196000</v>
      </c>
      <c r="Q493">
        <f t="shared" si="23"/>
        <v>44100</v>
      </c>
      <c r="R493" t="s">
        <v>45</v>
      </c>
      <c r="S493" t="s">
        <v>51</v>
      </c>
    </row>
    <row r="494" spans="1:19" ht="18" x14ac:dyDescent="0.5">
      <c r="A494" t="s">
        <v>564</v>
      </c>
      <c r="B494" t="s">
        <v>1563</v>
      </c>
      <c r="C494" s="6">
        <v>45662</v>
      </c>
      <c r="D494" t="s">
        <v>2092</v>
      </c>
      <c r="E494" t="s">
        <v>2072</v>
      </c>
      <c r="F494" t="str">
        <f>_xlfn.XLOOKUP(E494,Table8[City],Table8[State])</f>
        <v>Karnataka</v>
      </c>
      <c r="G494" t="str">
        <f>_xlfn.XLOOKUP(E494,Table8[City],Table8[Region])</f>
        <v>South</v>
      </c>
      <c r="H494" t="s">
        <v>24</v>
      </c>
      <c r="I494" t="str">
        <f>_xlfn.XLOOKUP(H494,Table6[Product],Table6[Category])</f>
        <v>Accessories</v>
      </c>
      <c r="J494" t="s">
        <v>62</v>
      </c>
      <c r="K494">
        <v>1</v>
      </c>
      <c r="L494">
        <f>_xlfn.XLOOKUP(H494,Table6[Product],Table6[Unit Price])</f>
        <v>1500</v>
      </c>
      <c r="M494">
        <f>_xlfn.XLOOKUP(H494,Table6[Product],Table6[Cost Price])</f>
        <v>900</v>
      </c>
      <c r="N494" s="7">
        <v>7.0000000000000007E-2</v>
      </c>
      <c r="O494">
        <f t="shared" si="21"/>
        <v>1395</v>
      </c>
      <c r="P494">
        <f t="shared" si="22"/>
        <v>900</v>
      </c>
      <c r="Q494">
        <f t="shared" si="23"/>
        <v>495</v>
      </c>
      <c r="R494" t="s">
        <v>45</v>
      </c>
      <c r="S494" t="s">
        <v>50</v>
      </c>
    </row>
    <row r="495" spans="1:19" ht="18" x14ac:dyDescent="0.5">
      <c r="A495" t="s">
        <v>565</v>
      </c>
      <c r="B495" t="s">
        <v>1564</v>
      </c>
      <c r="C495" s="6">
        <v>45413</v>
      </c>
      <c r="D495" t="s">
        <v>59</v>
      </c>
      <c r="E495" t="s">
        <v>2106</v>
      </c>
      <c r="F495" t="str">
        <f>_xlfn.XLOOKUP(E495,Table8[City],Table8[State])</f>
        <v>West Bengal</v>
      </c>
      <c r="G495" t="str">
        <f>_xlfn.XLOOKUP(E495,Table8[City],Table8[Region])</f>
        <v>East</v>
      </c>
      <c r="H495" t="s">
        <v>18</v>
      </c>
      <c r="I495" t="str">
        <f>_xlfn.XLOOKUP(H495,Table6[Product],Table6[Category])</f>
        <v>Electronics</v>
      </c>
      <c r="J495" t="s">
        <v>63</v>
      </c>
      <c r="K495">
        <v>5</v>
      </c>
      <c r="L495">
        <f>_xlfn.XLOOKUP(H495,Table6[Product],Table6[Unit Price])</f>
        <v>35000</v>
      </c>
      <c r="M495">
        <f>_xlfn.XLOOKUP(H495,Table6[Product],Table6[Cost Price])</f>
        <v>28000</v>
      </c>
      <c r="N495" s="7">
        <v>0.21</v>
      </c>
      <c r="O495">
        <f t="shared" si="21"/>
        <v>138250</v>
      </c>
      <c r="P495">
        <f t="shared" si="22"/>
        <v>140000</v>
      </c>
      <c r="Q495">
        <f t="shared" si="23"/>
        <v>-1750</v>
      </c>
      <c r="R495" t="s">
        <v>45</v>
      </c>
      <c r="S495" t="s">
        <v>50</v>
      </c>
    </row>
    <row r="496" spans="1:19" ht="18" x14ac:dyDescent="0.5">
      <c r="A496" t="s">
        <v>566</v>
      </c>
      <c r="B496" t="s">
        <v>1565</v>
      </c>
      <c r="C496" s="6">
        <v>45437</v>
      </c>
      <c r="D496" t="s">
        <v>2086</v>
      </c>
      <c r="E496" t="s">
        <v>2079</v>
      </c>
      <c r="F496" t="str">
        <f>_xlfn.XLOOKUP(E496,Table8[City],Table8[State])</f>
        <v>Gujarat</v>
      </c>
      <c r="G496" t="str">
        <f>_xlfn.XLOOKUP(E496,Table8[City],Table8[Region])</f>
        <v>West</v>
      </c>
      <c r="H496" t="s">
        <v>26</v>
      </c>
      <c r="I496" t="str">
        <f>_xlfn.XLOOKUP(H496,Table6[Product],Table6[Category])</f>
        <v>Office</v>
      </c>
      <c r="J496" t="s">
        <v>62</v>
      </c>
      <c r="K496">
        <v>3</v>
      </c>
      <c r="L496">
        <f>_xlfn.XLOOKUP(H496,Table6[Product],Table6[Unit Price])</f>
        <v>15000</v>
      </c>
      <c r="M496">
        <f>_xlfn.XLOOKUP(H496,Table6[Product],Table6[Cost Price])</f>
        <v>11500</v>
      </c>
      <c r="N496" s="7">
        <v>0.17</v>
      </c>
      <c r="O496">
        <f t="shared" si="21"/>
        <v>37350</v>
      </c>
      <c r="P496">
        <f t="shared" si="22"/>
        <v>34500</v>
      </c>
      <c r="Q496">
        <f t="shared" si="23"/>
        <v>2850</v>
      </c>
      <c r="R496" t="s">
        <v>45</v>
      </c>
      <c r="S496" t="s">
        <v>50</v>
      </c>
    </row>
    <row r="497" spans="1:19" ht="18" x14ac:dyDescent="0.5">
      <c r="A497" t="s">
        <v>567</v>
      </c>
      <c r="B497" t="s">
        <v>1566</v>
      </c>
      <c r="C497" s="6">
        <v>45342</v>
      </c>
      <c r="D497" t="s">
        <v>2090</v>
      </c>
      <c r="E497" t="s">
        <v>2076</v>
      </c>
      <c r="F497" t="str">
        <f>_xlfn.XLOOKUP(E497,Table8[City],Table8[State])</f>
        <v>Tamil Nadu</v>
      </c>
      <c r="G497" t="str">
        <f>_xlfn.XLOOKUP(E497,Table8[City],Table8[Region])</f>
        <v>South</v>
      </c>
      <c r="H497" t="s">
        <v>22</v>
      </c>
      <c r="I497" t="str">
        <f>_xlfn.XLOOKUP(H497,Table6[Product],Table6[Category])</f>
        <v>Wearables</v>
      </c>
      <c r="J497" t="s">
        <v>62</v>
      </c>
      <c r="K497">
        <v>10</v>
      </c>
      <c r="L497">
        <f>_xlfn.XLOOKUP(H497,Table6[Product],Table6[Unit Price])</f>
        <v>12000</v>
      </c>
      <c r="M497">
        <f>_xlfn.XLOOKUP(H497,Table6[Product],Table6[Cost Price])</f>
        <v>8500</v>
      </c>
      <c r="N497" s="7">
        <v>0.19</v>
      </c>
      <c r="O497">
        <f t="shared" si="21"/>
        <v>97200</v>
      </c>
      <c r="P497">
        <f t="shared" si="22"/>
        <v>85000</v>
      </c>
      <c r="Q497">
        <f t="shared" si="23"/>
        <v>12200</v>
      </c>
      <c r="R497" t="s">
        <v>44</v>
      </c>
      <c r="S497" t="s">
        <v>51</v>
      </c>
    </row>
    <row r="498" spans="1:19" ht="18" x14ac:dyDescent="0.5">
      <c r="A498" t="s">
        <v>568</v>
      </c>
      <c r="B498" t="s">
        <v>1567</v>
      </c>
      <c r="C498" s="6">
        <v>45597</v>
      </c>
      <c r="D498" t="s">
        <v>2089</v>
      </c>
      <c r="E498" t="s">
        <v>2105</v>
      </c>
      <c r="F498" t="str">
        <f>_xlfn.XLOOKUP(E498,Table8[City],Table8[State])</f>
        <v>Rajasthan</v>
      </c>
      <c r="G498" t="str">
        <f>_xlfn.XLOOKUP(E498,Table8[City],Table8[Region])</f>
        <v>North</v>
      </c>
      <c r="H498" t="s">
        <v>16</v>
      </c>
      <c r="I498" t="str">
        <f>_xlfn.XLOOKUP(H498,Table6[Product],Table6[Category])</f>
        <v>Electronics</v>
      </c>
      <c r="J498" t="s">
        <v>63</v>
      </c>
      <c r="K498">
        <v>1</v>
      </c>
      <c r="L498">
        <f>_xlfn.XLOOKUP(H498,Table6[Product],Table6[Unit Price])</f>
        <v>65000</v>
      </c>
      <c r="M498">
        <f>_xlfn.XLOOKUP(H498,Table6[Product],Table6[Cost Price])</f>
        <v>52000</v>
      </c>
      <c r="N498" s="7">
        <v>0.23</v>
      </c>
      <c r="O498">
        <f t="shared" si="21"/>
        <v>50050</v>
      </c>
      <c r="P498">
        <f t="shared" si="22"/>
        <v>52000</v>
      </c>
      <c r="Q498">
        <f t="shared" si="23"/>
        <v>-1950</v>
      </c>
      <c r="R498" t="s">
        <v>44</v>
      </c>
      <c r="S498" t="s">
        <v>49</v>
      </c>
    </row>
    <row r="499" spans="1:19" ht="18" x14ac:dyDescent="0.5">
      <c r="A499" t="s">
        <v>569</v>
      </c>
      <c r="B499" t="s">
        <v>1568</v>
      </c>
      <c r="C499" s="6">
        <v>45505</v>
      </c>
      <c r="D499" t="s">
        <v>2088</v>
      </c>
      <c r="E499" t="s">
        <v>2074</v>
      </c>
      <c r="F499" t="str">
        <f>_xlfn.XLOOKUP(E499,Table8[City],Table8[State])</f>
        <v>Maharashtra</v>
      </c>
      <c r="G499" t="str">
        <f>_xlfn.XLOOKUP(E499,Table8[City],Table8[Region])</f>
        <v>West</v>
      </c>
      <c r="H499" t="s">
        <v>25</v>
      </c>
      <c r="I499" t="str">
        <f>_xlfn.XLOOKUP(H499,Table6[Product],Table6[Category])</f>
        <v>Accessories</v>
      </c>
      <c r="J499" t="s">
        <v>62</v>
      </c>
      <c r="K499">
        <v>10</v>
      </c>
      <c r="L499">
        <f>_xlfn.XLOOKUP(H499,Table6[Product],Table6[Unit Price])</f>
        <v>800</v>
      </c>
      <c r="M499">
        <f>_xlfn.XLOOKUP(H499,Table6[Product],Table6[Cost Price])</f>
        <v>450</v>
      </c>
      <c r="N499" s="7">
        <v>0.04</v>
      </c>
      <c r="O499">
        <f t="shared" si="21"/>
        <v>7680</v>
      </c>
      <c r="P499">
        <f t="shared" si="22"/>
        <v>4500</v>
      </c>
      <c r="Q499">
        <f t="shared" si="23"/>
        <v>3180</v>
      </c>
      <c r="R499" t="s">
        <v>43</v>
      </c>
      <c r="S499" t="s">
        <v>52</v>
      </c>
    </row>
    <row r="500" spans="1:19" ht="18" x14ac:dyDescent="0.5">
      <c r="A500" t="s">
        <v>570</v>
      </c>
      <c r="B500" t="s">
        <v>1569</v>
      </c>
      <c r="C500" s="6">
        <v>45513</v>
      </c>
      <c r="D500" t="s">
        <v>2090</v>
      </c>
      <c r="E500" t="s">
        <v>2106</v>
      </c>
      <c r="F500" t="str">
        <f>_xlfn.XLOOKUP(E500,Table8[City],Table8[State])</f>
        <v>West Bengal</v>
      </c>
      <c r="G500" t="str">
        <f>_xlfn.XLOOKUP(E500,Table8[City],Table8[Region])</f>
        <v>East</v>
      </c>
      <c r="H500" t="s">
        <v>29</v>
      </c>
      <c r="I500" t="str">
        <f>_xlfn.XLOOKUP(H500,Table6[Product],Table6[Category])</f>
        <v>Electronics</v>
      </c>
      <c r="J500" t="s">
        <v>63</v>
      </c>
      <c r="K500">
        <v>1</v>
      </c>
      <c r="L500">
        <f>_xlfn.XLOOKUP(H500,Table6[Product],Table6[Unit Price])</f>
        <v>5000</v>
      </c>
      <c r="M500">
        <f>_xlfn.XLOOKUP(H500,Table6[Product],Table6[Cost Price])</f>
        <v>3200</v>
      </c>
      <c r="N500" s="7">
        <v>7.0000000000000007E-2</v>
      </c>
      <c r="O500">
        <f t="shared" si="21"/>
        <v>4650</v>
      </c>
      <c r="P500">
        <f t="shared" si="22"/>
        <v>3200</v>
      </c>
      <c r="Q500">
        <f t="shared" si="23"/>
        <v>1450</v>
      </c>
      <c r="R500" t="s">
        <v>44</v>
      </c>
      <c r="S500" t="s">
        <v>51</v>
      </c>
    </row>
    <row r="501" spans="1:19" ht="18" x14ac:dyDescent="0.5">
      <c r="A501" t="s">
        <v>571</v>
      </c>
      <c r="B501" t="s">
        <v>1570</v>
      </c>
      <c r="C501" s="6">
        <v>45796</v>
      </c>
      <c r="D501" t="s">
        <v>2091</v>
      </c>
      <c r="E501" t="s">
        <v>70</v>
      </c>
      <c r="F501" t="str">
        <f>_xlfn.XLOOKUP(E501,Table8[City],Table8[State])</f>
        <v>Karnataka</v>
      </c>
      <c r="G501" t="str">
        <f>_xlfn.XLOOKUP(E501,Table8[City],Table8[Region])</f>
        <v>South</v>
      </c>
      <c r="H501" t="s">
        <v>22</v>
      </c>
      <c r="I501" t="str">
        <f>_xlfn.XLOOKUP(H501,Table6[Product],Table6[Category])</f>
        <v>Wearables</v>
      </c>
      <c r="J501" t="s">
        <v>62</v>
      </c>
      <c r="K501">
        <v>3</v>
      </c>
      <c r="L501">
        <f>_xlfn.XLOOKUP(H501,Table6[Product],Table6[Unit Price])</f>
        <v>12000</v>
      </c>
      <c r="M501">
        <f>_xlfn.XLOOKUP(H501,Table6[Product],Table6[Cost Price])</f>
        <v>8500</v>
      </c>
      <c r="N501" s="7">
        <v>0.06</v>
      </c>
      <c r="O501">
        <f t="shared" si="21"/>
        <v>33840</v>
      </c>
      <c r="P501">
        <f t="shared" si="22"/>
        <v>25500</v>
      </c>
      <c r="Q501">
        <f t="shared" si="23"/>
        <v>8340</v>
      </c>
      <c r="R501" t="s">
        <v>44</v>
      </c>
      <c r="S501" t="s">
        <v>52</v>
      </c>
    </row>
    <row r="502" spans="1:19" ht="18" x14ac:dyDescent="0.5">
      <c r="A502" t="s">
        <v>572</v>
      </c>
      <c r="B502" t="s">
        <v>1571</v>
      </c>
      <c r="C502" s="6">
        <v>45374</v>
      </c>
      <c r="D502" t="s">
        <v>2094</v>
      </c>
      <c r="E502" t="s">
        <v>2105</v>
      </c>
      <c r="F502" t="str">
        <f>_xlfn.XLOOKUP(E502,Table8[City],Table8[State])</f>
        <v>Rajasthan</v>
      </c>
      <c r="G502" t="str">
        <f>_xlfn.XLOOKUP(E502,Table8[City],Table8[Region])</f>
        <v>North</v>
      </c>
      <c r="H502" t="s">
        <v>24</v>
      </c>
      <c r="I502" t="str">
        <f>_xlfn.XLOOKUP(H502,Table6[Product],Table6[Category])</f>
        <v>Accessories</v>
      </c>
      <c r="J502" t="s">
        <v>60</v>
      </c>
      <c r="K502">
        <v>2</v>
      </c>
      <c r="L502">
        <f>_xlfn.XLOOKUP(H502,Table6[Product],Table6[Unit Price])</f>
        <v>1500</v>
      </c>
      <c r="M502">
        <f>_xlfn.XLOOKUP(H502,Table6[Product],Table6[Cost Price])</f>
        <v>900</v>
      </c>
      <c r="N502" s="7">
        <v>0.01</v>
      </c>
      <c r="O502">
        <f t="shared" si="21"/>
        <v>2970</v>
      </c>
      <c r="P502">
        <f t="shared" si="22"/>
        <v>1800</v>
      </c>
      <c r="Q502">
        <f t="shared" si="23"/>
        <v>1170</v>
      </c>
      <c r="R502" t="s">
        <v>45</v>
      </c>
      <c r="S502" t="s">
        <v>49</v>
      </c>
    </row>
    <row r="503" spans="1:19" ht="18" x14ac:dyDescent="0.5">
      <c r="A503" t="s">
        <v>573</v>
      </c>
      <c r="B503" t="s">
        <v>1572</v>
      </c>
      <c r="C503" s="6">
        <v>45879</v>
      </c>
      <c r="D503" t="s">
        <v>2099</v>
      </c>
      <c r="E503" t="s">
        <v>2077</v>
      </c>
      <c r="F503" t="str">
        <f>_xlfn.XLOOKUP(E503,Table8[City],Table8[State])</f>
        <v>Telangana</v>
      </c>
      <c r="G503" t="str">
        <f>_xlfn.XLOOKUP(E503,Table8[City],Table8[Region])</f>
        <v>South</v>
      </c>
      <c r="H503" t="s">
        <v>19</v>
      </c>
      <c r="I503" t="str">
        <f>_xlfn.XLOOKUP(H503,Table6[Product],Table6[Category])</f>
        <v>Electronics</v>
      </c>
      <c r="J503" t="s">
        <v>59</v>
      </c>
      <c r="K503">
        <v>7</v>
      </c>
      <c r="L503">
        <f>_xlfn.XLOOKUP(H503,Table6[Product],Table6[Unit Price])</f>
        <v>25000</v>
      </c>
      <c r="M503">
        <f>_xlfn.XLOOKUP(H503,Table6[Product],Table6[Cost Price])</f>
        <v>20000</v>
      </c>
      <c r="N503" s="7">
        <v>0.06</v>
      </c>
      <c r="O503">
        <f t="shared" si="21"/>
        <v>164500</v>
      </c>
      <c r="P503">
        <f t="shared" si="22"/>
        <v>140000</v>
      </c>
      <c r="Q503">
        <f t="shared" si="23"/>
        <v>24500</v>
      </c>
      <c r="R503" t="s">
        <v>43</v>
      </c>
      <c r="S503" t="s">
        <v>49</v>
      </c>
    </row>
    <row r="504" spans="1:19" ht="18" x14ac:dyDescent="0.5">
      <c r="A504" t="s">
        <v>574</v>
      </c>
      <c r="B504" t="s">
        <v>1573</v>
      </c>
      <c r="C504" s="6">
        <v>45486</v>
      </c>
      <c r="D504" t="s">
        <v>2088</v>
      </c>
      <c r="E504" t="s">
        <v>2078</v>
      </c>
      <c r="F504" t="str">
        <f>_xlfn.XLOOKUP(E504,Table8[City],Table8[State])</f>
        <v>Telangana</v>
      </c>
      <c r="G504" t="str">
        <f>_xlfn.XLOOKUP(E504,Table8[City],Table8[Region])</f>
        <v>South</v>
      </c>
      <c r="H504" t="s">
        <v>20</v>
      </c>
      <c r="I504" t="str">
        <f>_xlfn.XLOOKUP(H504,Table6[Product],Table6[Category])</f>
        <v>Accessories</v>
      </c>
      <c r="J504" t="s">
        <v>62</v>
      </c>
      <c r="K504">
        <v>3</v>
      </c>
      <c r="L504">
        <f>_xlfn.XLOOKUP(H504,Table6[Product],Table6[Unit Price])</f>
        <v>3000</v>
      </c>
      <c r="M504">
        <f>_xlfn.XLOOKUP(H504,Table6[Product],Table6[Cost Price])</f>
        <v>1800</v>
      </c>
      <c r="N504" s="7">
        <v>0.21</v>
      </c>
      <c r="O504">
        <f t="shared" si="21"/>
        <v>7110</v>
      </c>
      <c r="P504">
        <f t="shared" si="22"/>
        <v>5400</v>
      </c>
      <c r="Q504">
        <f t="shared" si="23"/>
        <v>1710</v>
      </c>
      <c r="R504" t="s">
        <v>47</v>
      </c>
      <c r="S504" t="s">
        <v>49</v>
      </c>
    </row>
    <row r="505" spans="1:19" ht="18" x14ac:dyDescent="0.5">
      <c r="A505" t="s">
        <v>575</v>
      </c>
      <c r="B505" t="s">
        <v>1574</v>
      </c>
      <c r="C505" s="6">
        <v>45727</v>
      </c>
      <c r="D505" t="s">
        <v>2087</v>
      </c>
      <c r="E505" t="s">
        <v>2073</v>
      </c>
      <c r="F505" t="str">
        <f>_xlfn.XLOOKUP(E505,Table8[City],Table8[State])</f>
        <v>Maharashtra</v>
      </c>
      <c r="G505" t="str">
        <f>_xlfn.XLOOKUP(E505,Table8[City],Table8[Region])</f>
        <v>West</v>
      </c>
      <c r="H505" t="s">
        <v>25</v>
      </c>
      <c r="I505" t="str">
        <f>_xlfn.XLOOKUP(H505,Table6[Product],Table6[Category])</f>
        <v>Accessories</v>
      </c>
      <c r="J505" t="s">
        <v>58</v>
      </c>
      <c r="K505">
        <v>6</v>
      </c>
      <c r="L505">
        <f>_xlfn.XLOOKUP(H505,Table6[Product],Table6[Unit Price])</f>
        <v>800</v>
      </c>
      <c r="M505">
        <f>_xlfn.XLOOKUP(H505,Table6[Product],Table6[Cost Price])</f>
        <v>450</v>
      </c>
      <c r="N505" s="7">
        <v>0</v>
      </c>
      <c r="O505">
        <f t="shared" si="21"/>
        <v>4800</v>
      </c>
      <c r="P505">
        <f t="shared" si="22"/>
        <v>2700</v>
      </c>
      <c r="Q505">
        <f t="shared" si="23"/>
        <v>2100</v>
      </c>
      <c r="R505" t="s">
        <v>45</v>
      </c>
      <c r="S505" t="s">
        <v>51</v>
      </c>
    </row>
    <row r="506" spans="1:19" ht="18" x14ac:dyDescent="0.5">
      <c r="A506" t="s">
        <v>576</v>
      </c>
      <c r="B506" t="s">
        <v>1575</v>
      </c>
      <c r="C506" s="6">
        <v>45623</v>
      </c>
      <c r="D506" t="s">
        <v>2094</v>
      </c>
      <c r="E506" t="s">
        <v>2073</v>
      </c>
      <c r="F506" t="str">
        <f>_xlfn.XLOOKUP(E506,Table8[City],Table8[State])</f>
        <v>Maharashtra</v>
      </c>
      <c r="G506" t="str">
        <f>_xlfn.XLOOKUP(E506,Table8[City],Table8[Region])</f>
        <v>West</v>
      </c>
      <c r="H506" t="s">
        <v>29</v>
      </c>
      <c r="I506" t="str">
        <f>_xlfn.XLOOKUP(H506,Table6[Product],Table6[Category])</f>
        <v>Electronics</v>
      </c>
      <c r="J506" t="s">
        <v>61</v>
      </c>
      <c r="K506">
        <v>5</v>
      </c>
      <c r="L506">
        <f>_xlfn.XLOOKUP(H506,Table6[Product],Table6[Unit Price])</f>
        <v>5000</v>
      </c>
      <c r="M506">
        <f>_xlfn.XLOOKUP(H506,Table6[Product],Table6[Cost Price])</f>
        <v>3200</v>
      </c>
      <c r="N506" s="7">
        <v>0.28000000000000003</v>
      </c>
      <c r="O506">
        <f t="shared" si="21"/>
        <v>18000</v>
      </c>
      <c r="P506">
        <f t="shared" si="22"/>
        <v>16000</v>
      </c>
      <c r="Q506">
        <f t="shared" si="23"/>
        <v>2000</v>
      </c>
      <c r="R506" t="s">
        <v>46</v>
      </c>
      <c r="S506" t="s">
        <v>49</v>
      </c>
    </row>
    <row r="507" spans="1:19" ht="18" x14ac:dyDescent="0.5">
      <c r="A507" t="s">
        <v>577</v>
      </c>
      <c r="B507" t="s">
        <v>1576</v>
      </c>
      <c r="C507" s="6">
        <v>45855</v>
      </c>
      <c r="D507" t="s">
        <v>2095</v>
      </c>
      <c r="E507" t="s">
        <v>2072</v>
      </c>
      <c r="F507" t="str">
        <f>_xlfn.XLOOKUP(E507,Table8[City],Table8[State])</f>
        <v>Karnataka</v>
      </c>
      <c r="G507" t="str">
        <f>_xlfn.XLOOKUP(E507,Table8[City],Table8[Region])</f>
        <v>South</v>
      </c>
      <c r="H507" t="s">
        <v>20</v>
      </c>
      <c r="I507" t="str">
        <f>_xlfn.XLOOKUP(H507,Table6[Product],Table6[Category])</f>
        <v>Accessories</v>
      </c>
      <c r="J507" t="s">
        <v>61</v>
      </c>
      <c r="K507">
        <v>4</v>
      </c>
      <c r="L507">
        <f>_xlfn.XLOOKUP(H507,Table6[Product],Table6[Unit Price])</f>
        <v>3000</v>
      </c>
      <c r="M507">
        <f>_xlfn.XLOOKUP(H507,Table6[Product],Table6[Cost Price])</f>
        <v>1800</v>
      </c>
      <c r="N507" s="7">
        <v>0.14000000000000001</v>
      </c>
      <c r="O507">
        <f t="shared" si="21"/>
        <v>10320</v>
      </c>
      <c r="P507">
        <f t="shared" si="22"/>
        <v>7200</v>
      </c>
      <c r="Q507">
        <f t="shared" si="23"/>
        <v>3120</v>
      </c>
      <c r="R507" t="s">
        <v>43</v>
      </c>
      <c r="S507" t="s">
        <v>50</v>
      </c>
    </row>
    <row r="508" spans="1:19" ht="18" x14ac:dyDescent="0.5">
      <c r="A508" t="s">
        <v>578</v>
      </c>
      <c r="B508" t="s">
        <v>1577</v>
      </c>
      <c r="C508" s="6">
        <v>45486</v>
      </c>
      <c r="D508" t="s">
        <v>2094</v>
      </c>
      <c r="E508" t="s">
        <v>2077</v>
      </c>
      <c r="F508" t="str">
        <f>_xlfn.XLOOKUP(E508,Table8[City],Table8[State])</f>
        <v>Telangana</v>
      </c>
      <c r="G508" t="str">
        <f>_xlfn.XLOOKUP(E508,Table8[City],Table8[Region])</f>
        <v>South</v>
      </c>
      <c r="H508" t="s">
        <v>19</v>
      </c>
      <c r="I508" t="str">
        <f>_xlfn.XLOOKUP(H508,Table6[Product],Table6[Category])</f>
        <v>Electronics</v>
      </c>
      <c r="J508" t="s">
        <v>59</v>
      </c>
      <c r="K508">
        <v>1</v>
      </c>
      <c r="L508">
        <f>_xlfn.XLOOKUP(H508,Table6[Product],Table6[Unit Price])</f>
        <v>25000</v>
      </c>
      <c r="M508">
        <f>_xlfn.XLOOKUP(H508,Table6[Product],Table6[Cost Price])</f>
        <v>20000</v>
      </c>
      <c r="N508" s="7">
        <v>0.13</v>
      </c>
      <c r="O508">
        <f t="shared" si="21"/>
        <v>21750</v>
      </c>
      <c r="P508">
        <f t="shared" si="22"/>
        <v>20000</v>
      </c>
      <c r="Q508">
        <f t="shared" si="23"/>
        <v>1750</v>
      </c>
      <c r="R508" t="s">
        <v>46</v>
      </c>
      <c r="S508" t="s">
        <v>50</v>
      </c>
    </row>
    <row r="509" spans="1:19" ht="18" x14ac:dyDescent="0.5">
      <c r="A509" t="s">
        <v>579</v>
      </c>
      <c r="B509" t="s">
        <v>1578</v>
      </c>
      <c r="C509" s="6">
        <v>45735</v>
      </c>
      <c r="D509" t="s">
        <v>2089</v>
      </c>
      <c r="E509" t="s">
        <v>2106</v>
      </c>
      <c r="F509" t="str">
        <f>_xlfn.XLOOKUP(E509,Table8[City],Table8[State])</f>
        <v>West Bengal</v>
      </c>
      <c r="G509" t="str">
        <f>_xlfn.XLOOKUP(E509,Table8[City],Table8[Region])</f>
        <v>East</v>
      </c>
      <c r="H509" t="s">
        <v>18</v>
      </c>
      <c r="I509" t="str">
        <f>_xlfn.XLOOKUP(H509,Table6[Product],Table6[Category])</f>
        <v>Electronics</v>
      </c>
      <c r="J509" t="s">
        <v>59</v>
      </c>
      <c r="K509">
        <v>6</v>
      </c>
      <c r="L509">
        <f>_xlfn.XLOOKUP(H509,Table6[Product],Table6[Unit Price])</f>
        <v>35000</v>
      </c>
      <c r="M509">
        <f>_xlfn.XLOOKUP(H509,Table6[Product],Table6[Cost Price])</f>
        <v>28000</v>
      </c>
      <c r="N509" s="7">
        <v>0.25</v>
      </c>
      <c r="O509">
        <f t="shared" si="21"/>
        <v>157500</v>
      </c>
      <c r="P509">
        <f t="shared" si="22"/>
        <v>168000</v>
      </c>
      <c r="Q509">
        <f t="shared" si="23"/>
        <v>-10500</v>
      </c>
      <c r="R509" t="s">
        <v>45</v>
      </c>
      <c r="S509" t="s">
        <v>52</v>
      </c>
    </row>
    <row r="510" spans="1:19" ht="18" x14ac:dyDescent="0.5">
      <c r="A510" t="s">
        <v>580</v>
      </c>
      <c r="B510" t="s">
        <v>1579</v>
      </c>
      <c r="C510" s="6">
        <v>45860</v>
      </c>
      <c r="D510" t="s">
        <v>2090</v>
      </c>
      <c r="E510" t="s">
        <v>2075</v>
      </c>
      <c r="F510" t="str">
        <f>_xlfn.XLOOKUP(E510,Table8[City],Table8[State])</f>
        <v>Tamil Nadu</v>
      </c>
      <c r="G510" t="str">
        <f>_xlfn.XLOOKUP(E510,Table8[City],Table8[Region])</f>
        <v>South</v>
      </c>
      <c r="H510" t="s">
        <v>26</v>
      </c>
      <c r="I510" t="str">
        <f>_xlfn.XLOOKUP(H510,Table6[Product],Table6[Category])</f>
        <v>Office</v>
      </c>
      <c r="J510" t="s">
        <v>57</v>
      </c>
      <c r="K510">
        <v>5</v>
      </c>
      <c r="L510">
        <f>_xlfn.XLOOKUP(H510,Table6[Product],Table6[Unit Price])</f>
        <v>15000</v>
      </c>
      <c r="M510">
        <f>_xlfn.XLOOKUP(H510,Table6[Product],Table6[Cost Price])</f>
        <v>11500</v>
      </c>
      <c r="N510" s="7">
        <v>0.26</v>
      </c>
      <c r="O510">
        <f t="shared" si="21"/>
        <v>55500</v>
      </c>
      <c r="P510">
        <f t="shared" si="22"/>
        <v>57500</v>
      </c>
      <c r="Q510">
        <f t="shared" si="23"/>
        <v>-2000</v>
      </c>
      <c r="R510" t="s">
        <v>43</v>
      </c>
      <c r="S510" t="s">
        <v>49</v>
      </c>
    </row>
    <row r="511" spans="1:19" ht="18" x14ac:dyDescent="0.5">
      <c r="A511" t="s">
        <v>581</v>
      </c>
      <c r="B511" t="s">
        <v>1580</v>
      </c>
      <c r="C511" s="6">
        <v>45571</v>
      </c>
      <c r="D511" t="s">
        <v>59</v>
      </c>
      <c r="E511" t="s">
        <v>70</v>
      </c>
      <c r="F511" t="str">
        <f>_xlfn.XLOOKUP(E511,Table8[City],Table8[State])</f>
        <v>Karnataka</v>
      </c>
      <c r="G511" t="str">
        <f>_xlfn.XLOOKUP(E511,Table8[City],Table8[Region])</f>
        <v>South</v>
      </c>
      <c r="H511" t="s">
        <v>29</v>
      </c>
      <c r="I511" t="str">
        <f>_xlfn.XLOOKUP(H511,Table6[Product],Table6[Category])</f>
        <v>Electronics</v>
      </c>
      <c r="J511" t="s">
        <v>62</v>
      </c>
      <c r="K511">
        <v>7</v>
      </c>
      <c r="L511">
        <f>_xlfn.XLOOKUP(H511,Table6[Product],Table6[Unit Price])</f>
        <v>5000</v>
      </c>
      <c r="M511">
        <f>_xlfn.XLOOKUP(H511,Table6[Product],Table6[Cost Price])</f>
        <v>3200</v>
      </c>
      <c r="N511" s="7">
        <v>0.02</v>
      </c>
      <c r="O511">
        <f t="shared" si="21"/>
        <v>34300</v>
      </c>
      <c r="P511">
        <f t="shared" si="22"/>
        <v>22400</v>
      </c>
      <c r="Q511">
        <f t="shared" si="23"/>
        <v>11900</v>
      </c>
      <c r="R511" t="s">
        <v>43</v>
      </c>
      <c r="S511" t="s">
        <v>49</v>
      </c>
    </row>
    <row r="512" spans="1:19" ht="18" x14ac:dyDescent="0.5">
      <c r="A512" t="s">
        <v>582</v>
      </c>
      <c r="B512" t="s">
        <v>1581</v>
      </c>
      <c r="C512" s="6">
        <v>45438</v>
      </c>
      <c r="D512" t="s">
        <v>2088</v>
      </c>
      <c r="E512" t="s">
        <v>2075</v>
      </c>
      <c r="F512" t="str">
        <f>_xlfn.XLOOKUP(E512,Table8[City],Table8[State])</f>
        <v>Tamil Nadu</v>
      </c>
      <c r="G512" t="str">
        <f>_xlfn.XLOOKUP(E512,Table8[City],Table8[Region])</f>
        <v>South</v>
      </c>
      <c r="H512" t="s">
        <v>18</v>
      </c>
      <c r="I512" t="str">
        <f>_xlfn.XLOOKUP(H512,Table6[Product],Table6[Category])</f>
        <v>Electronics</v>
      </c>
      <c r="J512" t="s">
        <v>59</v>
      </c>
      <c r="K512">
        <v>2</v>
      </c>
      <c r="L512">
        <f>_xlfn.XLOOKUP(H512,Table6[Product],Table6[Unit Price])</f>
        <v>35000</v>
      </c>
      <c r="M512">
        <f>_xlfn.XLOOKUP(H512,Table6[Product],Table6[Cost Price])</f>
        <v>28000</v>
      </c>
      <c r="N512" s="7">
        <v>0.3</v>
      </c>
      <c r="O512">
        <f t="shared" si="21"/>
        <v>49000</v>
      </c>
      <c r="P512">
        <f t="shared" si="22"/>
        <v>56000</v>
      </c>
      <c r="Q512">
        <f t="shared" si="23"/>
        <v>-7000</v>
      </c>
      <c r="R512" t="s">
        <v>45</v>
      </c>
      <c r="S512" t="s">
        <v>49</v>
      </c>
    </row>
    <row r="513" spans="1:19" ht="18" x14ac:dyDescent="0.5">
      <c r="A513" t="s">
        <v>583</v>
      </c>
      <c r="B513" t="s">
        <v>1582</v>
      </c>
      <c r="C513" s="6">
        <v>45774</v>
      </c>
      <c r="D513" t="s">
        <v>2098</v>
      </c>
      <c r="E513" t="s">
        <v>2073</v>
      </c>
      <c r="F513" t="str">
        <f>_xlfn.XLOOKUP(E513,Table8[City],Table8[State])</f>
        <v>Maharashtra</v>
      </c>
      <c r="G513" t="str">
        <f>_xlfn.XLOOKUP(E513,Table8[City],Table8[Region])</f>
        <v>West</v>
      </c>
      <c r="H513" t="s">
        <v>26</v>
      </c>
      <c r="I513" t="str">
        <f>_xlfn.XLOOKUP(H513,Table6[Product],Table6[Category])</f>
        <v>Office</v>
      </c>
      <c r="J513" t="s">
        <v>61</v>
      </c>
      <c r="K513">
        <v>1</v>
      </c>
      <c r="L513">
        <f>_xlfn.XLOOKUP(H513,Table6[Product],Table6[Unit Price])</f>
        <v>15000</v>
      </c>
      <c r="M513">
        <f>_xlfn.XLOOKUP(H513,Table6[Product],Table6[Cost Price])</f>
        <v>11500</v>
      </c>
      <c r="N513" s="7">
        <v>0.27</v>
      </c>
      <c r="O513">
        <f t="shared" si="21"/>
        <v>10950</v>
      </c>
      <c r="P513">
        <f t="shared" si="22"/>
        <v>11500</v>
      </c>
      <c r="Q513">
        <f t="shared" si="23"/>
        <v>-550</v>
      </c>
      <c r="R513" t="s">
        <v>46</v>
      </c>
      <c r="S513" t="s">
        <v>50</v>
      </c>
    </row>
    <row r="514" spans="1:19" ht="18" x14ac:dyDescent="0.5">
      <c r="A514" t="s">
        <v>584</v>
      </c>
      <c r="B514" t="s">
        <v>1583</v>
      </c>
      <c r="C514" s="6">
        <v>45332</v>
      </c>
      <c r="D514" t="s">
        <v>59</v>
      </c>
      <c r="E514" t="s">
        <v>2073</v>
      </c>
      <c r="F514" t="str">
        <f>_xlfn.XLOOKUP(E514,Table8[City],Table8[State])</f>
        <v>Maharashtra</v>
      </c>
      <c r="G514" t="str">
        <f>_xlfn.XLOOKUP(E514,Table8[City],Table8[Region])</f>
        <v>West</v>
      </c>
      <c r="H514" t="s">
        <v>18</v>
      </c>
      <c r="I514" t="str">
        <f>_xlfn.XLOOKUP(H514,Table6[Product],Table6[Category])</f>
        <v>Electronics</v>
      </c>
      <c r="J514" t="s">
        <v>59</v>
      </c>
      <c r="K514">
        <v>10</v>
      </c>
      <c r="L514">
        <f>_xlfn.XLOOKUP(H514,Table6[Product],Table6[Unit Price])</f>
        <v>35000</v>
      </c>
      <c r="M514">
        <f>_xlfn.XLOOKUP(H514,Table6[Product],Table6[Cost Price])</f>
        <v>28000</v>
      </c>
      <c r="N514" s="7">
        <v>0.18</v>
      </c>
      <c r="O514">
        <f t="shared" si="21"/>
        <v>287000</v>
      </c>
      <c r="P514">
        <f t="shared" si="22"/>
        <v>280000</v>
      </c>
      <c r="Q514">
        <f t="shared" si="23"/>
        <v>7000</v>
      </c>
      <c r="R514" t="s">
        <v>45</v>
      </c>
      <c r="S514" t="s">
        <v>51</v>
      </c>
    </row>
    <row r="515" spans="1:19" ht="18" x14ac:dyDescent="0.5">
      <c r="A515" t="s">
        <v>585</v>
      </c>
      <c r="B515" t="s">
        <v>1584</v>
      </c>
      <c r="C515" s="6">
        <v>45437</v>
      </c>
      <c r="D515" t="s">
        <v>59</v>
      </c>
      <c r="E515" t="s">
        <v>2104</v>
      </c>
      <c r="F515" t="str">
        <f>_xlfn.XLOOKUP(E515,Table8[City],Table8[State])</f>
        <v>Delhi</v>
      </c>
      <c r="G515" t="str">
        <f>_xlfn.XLOOKUP(E515,Table8[City],Table8[Region])</f>
        <v>North</v>
      </c>
      <c r="H515" t="s">
        <v>25</v>
      </c>
      <c r="I515" t="str">
        <f>_xlfn.XLOOKUP(H515,Table6[Product],Table6[Category])</f>
        <v>Accessories</v>
      </c>
      <c r="J515" t="s">
        <v>59</v>
      </c>
      <c r="K515">
        <v>5</v>
      </c>
      <c r="L515">
        <f>_xlfn.XLOOKUP(H515,Table6[Product],Table6[Unit Price])</f>
        <v>800</v>
      </c>
      <c r="M515">
        <f>_xlfn.XLOOKUP(H515,Table6[Product],Table6[Cost Price])</f>
        <v>450</v>
      </c>
      <c r="N515" s="7">
        <v>0.12</v>
      </c>
      <c r="O515">
        <f t="shared" ref="O515:O578" si="24">(L515*K515)*(1-N515)</f>
        <v>3520</v>
      </c>
      <c r="P515">
        <f t="shared" ref="P515:P578" si="25">M515*K515</f>
        <v>2250</v>
      </c>
      <c r="Q515">
        <f t="shared" ref="Q515:Q578" si="26">O515-P515</f>
        <v>1270</v>
      </c>
      <c r="R515" t="s">
        <v>43</v>
      </c>
      <c r="S515" t="s">
        <v>52</v>
      </c>
    </row>
    <row r="516" spans="1:19" ht="18" x14ac:dyDescent="0.5">
      <c r="A516" t="s">
        <v>586</v>
      </c>
      <c r="B516" t="s">
        <v>1585</v>
      </c>
      <c r="C516" s="6">
        <v>45869</v>
      </c>
      <c r="D516" t="s">
        <v>2090</v>
      </c>
      <c r="E516" t="s">
        <v>2076</v>
      </c>
      <c r="F516" t="str">
        <f>_xlfn.XLOOKUP(E516,Table8[City],Table8[State])</f>
        <v>Tamil Nadu</v>
      </c>
      <c r="G516" t="str">
        <f>_xlfn.XLOOKUP(E516,Table8[City],Table8[Region])</f>
        <v>South</v>
      </c>
      <c r="H516" t="s">
        <v>19</v>
      </c>
      <c r="I516" t="str">
        <f>_xlfn.XLOOKUP(H516,Table6[Product],Table6[Category])</f>
        <v>Electronics</v>
      </c>
      <c r="J516" t="s">
        <v>57</v>
      </c>
      <c r="K516">
        <v>9</v>
      </c>
      <c r="L516">
        <f>_xlfn.XLOOKUP(H516,Table6[Product],Table6[Unit Price])</f>
        <v>25000</v>
      </c>
      <c r="M516">
        <f>_xlfn.XLOOKUP(H516,Table6[Product],Table6[Cost Price])</f>
        <v>20000</v>
      </c>
      <c r="N516" s="7">
        <v>0.17</v>
      </c>
      <c r="O516">
        <f t="shared" si="24"/>
        <v>186750</v>
      </c>
      <c r="P516">
        <f t="shared" si="25"/>
        <v>180000</v>
      </c>
      <c r="Q516">
        <f t="shared" si="26"/>
        <v>6750</v>
      </c>
      <c r="R516" t="s">
        <v>47</v>
      </c>
      <c r="S516" t="s">
        <v>50</v>
      </c>
    </row>
    <row r="517" spans="1:19" ht="18" x14ac:dyDescent="0.5">
      <c r="A517" t="s">
        <v>587</v>
      </c>
      <c r="B517" t="s">
        <v>1586</v>
      </c>
      <c r="C517" s="6">
        <v>45533</v>
      </c>
      <c r="D517" t="s">
        <v>2086</v>
      </c>
      <c r="E517" t="s">
        <v>2074</v>
      </c>
      <c r="F517" t="str">
        <f>_xlfn.XLOOKUP(E517,Table8[City],Table8[State])</f>
        <v>Maharashtra</v>
      </c>
      <c r="G517" t="str">
        <f>_xlfn.XLOOKUP(E517,Table8[City],Table8[Region])</f>
        <v>West</v>
      </c>
      <c r="H517" t="s">
        <v>28</v>
      </c>
      <c r="I517" t="str">
        <f>_xlfn.XLOOKUP(H517,Table6[Product],Table6[Category])</f>
        <v>Office</v>
      </c>
      <c r="J517" t="s">
        <v>62</v>
      </c>
      <c r="K517">
        <v>2</v>
      </c>
      <c r="L517">
        <f>_xlfn.XLOOKUP(H517,Table6[Product],Table6[Unit Price])</f>
        <v>18000</v>
      </c>
      <c r="M517">
        <f>_xlfn.XLOOKUP(H517,Table6[Product],Table6[Cost Price])</f>
        <v>14000</v>
      </c>
      <c r="N517" s="7">
        <v>0.23</v>
      </c>
      <c r="O517">
        <f t="shared" si="24"/>
        <v>27720</v>
      </c>
      <c r="P517">
        <f t="shared" si="25"/>
        <v>28000</v>
      </c>
      <c r="Q517">
        <f t="shared" si="26"/>
        <v>-280</v>
      </c>
      <c r="R517" t="s">
        <v>46</v>
      </c>
      <c r="S517" t="s">
        <v>51</v>
      </c>
    </row>
    <row r="518" spans="1:19" ht="18" x14ac:dyDescent="0.5">
      <c r="A518" t="s">
        <v>588</v>
      </c>
      <c r="B518" t="s">
        <v>1587</v>
      </c>
      <c r="C518" s="6">
        <v>45589</v>
      </c>
      <c r="D518" t="s">
        <v>2091</v>
      </c>
      <c r="E518" t="s">
        <v>2106</v>
      </c>
      <c r="F518" t="str">
        <f>_xlfn.XLOOKUP(E518,Table8[City],Table8[State])</f>
        <v>West Bengal</v>
      </c>
      <c r="G518" t="str">
        <f>_xlfn.XLOOKUP(E518,Table8[City],Table8[Region])</f>
        <v>East</v>
      </c>
      <c r="H518" t="s">
        <v>22</v>
      </c>
      <c r="I518" t="str">
        <f>_xlfn.XLOOKUP(H518,Table6[Product],Table6[Category])</f>
        <v>Wearables</v>
      </c>
      <c r="J518" t="s">
        <v>59</v>
      </c>
      <c r="K518">
        <v>3</v>
      </c>
      <c r="L518">
        <f>_xlfn.XLOOKUP(H518,Table6[Product],Table6[Unit Price])</f>
        <v>12000</v>
      </c>
      <c r="M518">
        <f>_xlfn.XLOOKUP(H518,Table6[Product],Table6[Cost Price])</f>
        <v>8500</v>
      </c>
      <c r="N518" s="7">
        <v>0.25</v>
      </c>
      <c r="O518">
        <f t="shared" si="24"/>
        <v>27000</v>
      </c>
      <c r="P518">
        <f t="shared" si="25"/>
        <v>25500</v>
      </c>
      <c r="Q518">
        <f t="shared" si="26"/>
        <v>1500</v>
      </c>
      <c r="R518" t="s">
        <v>47</v>
      </c>
      <c r="S518" t="s">
        <v>49</v>
      </c>
    </row>
    <row r="519" spans="1:19" ht="18" x14ac:dyDescent="0.5">
      <c r="A519" t="s">
        <v>589</v>
      </c>
      <c r="B519" t="s">
        <v>1588</v>
      </c>
      <c r="C519" s="6">
        <v>45301</v>
      </c>
      <c r="D519" t="s">
        <v>59</v>
      </c>
      <c r="E519" t="s">
        <v>2077</v>
      </c>
      <c r="F519" t="str">
        <f>_xlfn.XLOOKUP(E519,Table8[City],Table8[State])</f>
        <v>Telangana</v>
      </c>
      <c r="G519" t="str">
        <f>_xlfn.XLOOKUP(E519,Table8[City],Table8[Region])</f>
        <v>South</v>
      </c>
      <c r="H519" t="s">
        <v>20</v>
      </c>
      <c r="I519" t="str">
        <f>_xlfn.XLOOKUP(H519,Table6[Product],Table6[Category])</f>
        <v>Accessories</v>
      </c>
      <c r="J519" t="s">
        <v>60</v>
      </c>
      <c r="K519">
        <v>8</v>
      </c>
      <c r="L519">
        <f>_xlfn.XLOOKUP(H519,Table6[Product],Table6[Unit Price])</f>
        <v>3000</v>
      </c>
      <c r="M519">
        <f>_xlfn.XLOOKUP(H519,Table6[Product],Table6[Cost Price])</f>
        <v>1800</v>
      </c>
      <c r="N519" s="7">
        <v>0.12</v>
      </c>
      <c r="O519">
        <f t="shared" si="24"/>
        <v>21120</v>
      </c>
      <c r="P519">
        <f t="shared" si="25"/>
        <v>14400</v>
      </c>
      <c r="Q519">
        <f t="shared" si="26"/>
        <v>6720</v>
      </c>
      <c r="R519" t="s">
        <v>44</v>
      </c>
      <c r="S519" t="s">
        <v>50</v>
      </c>
    </row>
    <row r="520" spans="1:19" ht="18" x14ac:dyDescent="0.5">
      <c r="A520" t="s">
        <v>590</v>
      </c>
      <c r="B520" t="s">
        <v>1589</v>
      </c>
      <c r="C520" s="6">
        <v>45626</v>
      </c>
      <c r="D520" t="s">
        <v>59</v>
      </c>
      <c r="E520" t="s">
        <v>2072</v>
      </c>
      <c r="F520" t="str">
        <f>_xlfn.XLOOKUP(E520,Table8[City],Table8[State])</f>
        <v>Karnataka</v>
      </c>
      <c r="G520" t="str">
        <f>_xlfn.XLOOKUP(E520,Table8[City],Table8[Region])</f>
        <v>South</v>
      </c>
      <c r="H520" t="s">
        <v>16</v>
      </c>
      <c r="I520" t="str">
        <f>_xlfn.XLOOKUP(H520,Table6[Product],Table6[Category])</f>
        <v>Electronics</v>
      </c>
      <c r="J520" t="s">
        <v>59</v>
      </c>
      <c r="K520">
        <v>1</v>
      </c>
      <c r="L520">
        <f>_xlfn.XLOOKUP(H520,Table6[Product],Table6[Unit Price])</f>
        <v>65000</v>
      </c>
      <c r="M520">
        <f>_xlfn.XLOOKUP(H520,Table6[Product],Table6[Cost Price])</f>
        <v>52000</v>
      </c>
      <c r="N520" s="7">
        <v>0.17</v>
      </c>
      <c r="O520">
        <f t="shared" si="24"/>
        <v>53950</v>
      </c>
      <c r="P520">
        <f t="shared" si="25"/>
        <v>52000</v>
      </c>
      <c r="Q520">
        <f t="shared" si="26"/>
        <v>1950</v>
      </c>
      <c r="R520" t="s">
        <v>45</v>
      </c>
      <c r="S520" t="s">
        <v>51</v>
      </c>
    </row>
    <row r="521" spans="1:19" ht="18" x14ac:dyDescent="0.5">
      <c r="A521" t="s">
        <v>591</v>
      </c>
      <c r="B521" t="s">
        <v>1590</v>
      </c>
      <c r="C521" s="6">
        <v>45296</v>
      </c>
      <c r="D521" t="s">
        <v>59</v>
      </c>
      <c r="E521" t="s">
        <v>2072</v>
      </c>
      <c r="F521" t="str">
        <f>_xlfn.XLOOKUP(E521,Table8[City],Table8[State])</f>
        <v>Karnataka</v>
      </c>
      <c r="G521" t="str">
        <f>_xlfn.XLOOKUP(E521,Table8[City],Table8[Region])</f>
        <v>South</v>
      </c>
      <c r="H521" t="s">
        <v>19</v>
      </c>
      <c r="I521" t="str">
        <f>_xlfn.XLOOKUP(H521,Table6[Product],Table6[Category])</f>
        <v>Electronics</v>
      </c>
      <c r="J521" t="s">
        <v>60</v>
      </c>
      <c r="K521">
        <v>2</v>
      </c>
      <c r="L521">
        <f>_xlfn.XLOOKUP(H521,Table6[Product],Table6[Unit Price])</f>
        <v>25000</v>
      </c>
      <c r="M521">
        <f>_xlfn.XLOOKUP(H521,Table6[Product],Table6[Cost Price])</f>
        <v>20000</v>
      </c>
      <c r="N521" s="7">
        <v>0.22</v>
      </c>
      <c r="O521">
        <f t="shared" si="24"/>
        <v>39000</v>
      </c>
      <c r="P521">
        <f t="shared" si="25"/>
        <v>40000</v>
      </c>
      <c r="Q521">
        <f t="shared" si="26"/>
        <v>-1000</v>
      </c>
      <c r="R521" t="s">
        <v>45</v>
      </c>
      <c r="S521" t="s">
        <v>50</v>
      </c>
    </row>
    <row r="522" spans="1:19" ht="18" x14ac:dyDescent="0.5">
      <c r="A522" t="s">
        <v>592</v>
      </c>
      <c r="B522" t="s">
        <v>1591</v>
      </c>
      <c r="C522" s="6">
        <v>45525</v>
      </c>
      <c r="D522" t="s">
        <v>2095</v>
      </c>
      <c r="E522" t="s">
        <v>2079</v>
      </c>
      <c r="F522" t="str">
        <f>_xlfn.XLOOKUP(E522,Table8[City],Table8[State])</f>
        <v>Gujarat</v>
      </c>
      <c r="G522" t="str">
        <f>_xlfn.XLOOKUP(E522,Table8[City],Table8[Region])</f>
        <v>West</v>
      </c>
      <c r="H522" t="s">
        <v>28</v>
      </c>
      <c r="I522" t="str">
        <f>_xlfn.XLOOKUP(H522,Table6[Product],Table6[Category])</f>
        <v>Office</v>
      </c>
      <c r="J522" t="s">
        <v>61</v>
      </c>
      <c r="K522">
        <v>3</v>
      </c>
      <c r="L522">
        <f>_xlfn.XLOOKUP(H522,Table6[Product],Table6[Unit Price])</f>
        <v>18000</v>
      </c>
      <c r="M522">
        <f>_xlfn.XLOOKUP(H522,Table6[Product],Table6[Cost Price])</f>
        <v>14000</v>
      </c>
      <c r="N522" s="7">
        <v>0.11</v>
      </c>
      <c r="O522">
        <f t="shared" si="24"/>
        <v>48060</v>
      </c>
      <c r="P522">
        <f t="shared" si="25"/>
        <v>42000</v>
      </c>
      <c r="Q522">
        <f t="shared" si="26"/>
        <v>6060</v>
      </c>
      <c r="R522" t="s">
        <v>45</v>
      </c>
      <c r="S522" t="s">
        <v>51</v>
      </c>
    </row>
    <row r="523" spans="1:19" ht="18" x14ac:dyDescent="0.5">
      <c r="A523" t="s">
        <v>593</v>
      </c>
      <c r="B523" t="s">
        <v>1592</v>
      </c>
      <c r="C523" s="6">
        <v>45438</v>
      </c>
      <c r="D523" t="s">
        <v>2088</v>
      </c>
      <c r="E523" t="s">
        <v>2078</v>
      </c>
      <c r="F523" t="str">
        <f>_xlfn.XLOOKUP(E523,Table8[City],Table8[State])</f>
        <v>Telangana</v>
      </c>
      <c r="G523" t="str">
        <f>_xlfn.XLOOKUP(E523,Table8[City],Table8[Region])</f>
        <v>South</v>
      </c>
      <c r="H523" t="s">
        <v>26</v>
      </c>
      <c r="I523" t="str">
        <f>_xlfn.XLOOKUP(H523,Table6[Product],Table6[Category])</f>
        <v>Office</v>
      </c>
      <c r="J523" t="s">
        <v>59</v>
      </c>
      <c r="K523">
        <v>5</v>
      </c>
      <c r="L523">
        <f>_xlfn.XLOOKUP(H523,Table6[Product],Table6[Unit Price])</f>
        <v>15000</v>
      </c>
      <c r="M523">
        <f>_xlfn.XLOOKUP(H523,Table6[Product],Table6[Cost Price])</f>
        <v>11500</v>
      </c>
      <c r="N523" s="7">
        <v>0.11</v>
      </c>
      <c r="O523">
        <f t="shared" si="24"/>
        <v>66750</v>
      </c>
      <c r="P523">
        <f t="shared" si="25"/>
        <v>57500</v>
      </c>
      <c r="Q523">
        <f t="shared" si="26"/>
        <v>9250</v>
      </c>
      <c r="R523" t="s">
        <v>46</v>
      </c>
      <c r="S523" t="s">
        <v>51</v>
      </c>
    </row>
    <row r="524" spans="1:19" ht="18" x14ac:dyDescent="0.5">
      <c r="A524" t="s">
        <v>594</v>
      </c>
      <c r="B524" t="s">
        <v>1593</v>
      </c>
      <c r="C524" s="6">
        <v>45710</v>
      </c>
      <c r="D524" t="s">
        <v>2094</v>
      </c>
      <c r="E524" t="s">
        <v>2080</v>
      </c>
      <c r="F524" t="str">
        <f>_xlfn.XLOOKUP(E524,Table8[City],Table8[State])</f>
        <v>Gujarat</v>
      </c>
      <c r="G524" t="str">
        <f>_xlfn.XLOOKUP(E524,Table8[City],Table8[Region])</f>
        <v>West</v>
      </c>
      <c r="H524" t="s">
        <v>26</v>
      </c>
      <c r="I524" t="str">
        <f>_xlfn.XLOOKUP(H524,Table6[Product],Table6[Category])</f>
        <v>Office</v>
      </c>
      <c r="J524" t="s">
        <v>59</v>
      </c>
      <c r="K524">
        <v>2</v>
      </c>
      <c r="L524">
        <f>_xlfn.XLOOKUP(H524,Table6[Product],Table6[Unit Price])</f>
        <v>15000</v>
      </c>
      <c r="M524">
        <f>_xlfn.XLOOKUP(H524,Table6[Product],Table6[Cost Price])</f>
        <v>11500</v>
      </c>
      <c r="N524" s="7">
        <v>0</v>
      </c>
      <c r="O524">
        <f t="shared" si="24"/>
        <v>30000</v>
      </c>
      <c r="P524">
        <f t="shared" si="25"/>
        <v>23000</v>
      </c>
      <c r="Q524">
        <f t="shared" si="26"/>
        <v>7000</v>
      </c>
      <c r="R524" t="s">
        <v>43</v>
      </c>
      <c r="S524" t="s">
        <v>52</v>
      </c>
    </row>
    <row r="525" spans="1:19" ht="18" x14ac:dyDescent="0.5">
      <c r="A525" t="s">
        <v>595</v>
      </c>
      <c r="B525" t="s">
        <v>1594</v>
      </c>
      <c r="C525" s="6">
        <v>45512</v>
      </c>
      <c r="D525" t="s">
        <v>2084</v>
      </c>
      <c r="E525" t="s">
        <v>2106</v>
      </c>
      <c r="F525" t="str">
        <f>_xlfn.XLOOKUP(E525,Table8[City],Table8[State])</f>
        <v>West Bengal</v>
      </c>
      <c r="G525" t="str">
        <f>_xlfn.XLOOKUP(E525,Table8[City],Table8[Region])</f>
        <v>East</v>
      </c>
      <c r="H525" t="s">
        <v>19</v>
      </c>
      <c r="I525" t="str">
        <f>_xlfn.XLOOKUP(H525,Table6[Product],Table6[Category])</f>
        <v>Electronics</v>
      </c>
      <c r="J525" t="s">
        <v>55</v>
      </c>
      <c r="K525">
        <v>9</v>
      </c>
      <c r="L525">
        <f>_xlfn.XLOOKUP(H525,Table6[Product],Table6[Unit Price])</f>
        <v>25000</v>
      </c>
      <c r="M525">
        <f>_xlfn.XLOOKUP(H525,Table6[Product],Table6[Cost Price])</f>
        <v>20000</v>
      </c>
      <c r="N525" s="7">
        <v>0.06</v>
      </c>
      <c r="O525">
        <f t="shared" si="24"/>
        <v>211500</v>
      </c>
      <c r="P525">
        <f t="shared" si="25"/>
        <v>180000</v>
      </c>
      <c r="Q525">
        <f t="shared" si="26"/>
        <v>31500</v>
      </c>
      <c r="R525" t="s">
        <v>47</v>
      </c>
      <c r="S525" t="s">
        <v>51</v>
      </c>
    </row>
    <row r="526" spans="1:19" ht="18" x14ac:dyDescent="0.5">
      <c r="A526" t="s">
        <v>596</v>
      </c>
      <c r="B526" t="s">
        <v>1595</v>
      </c>
      <c r="C526" s="6">
        <v>45805</v>
      </c>
      <c r="D526" t="s">
        <v>2096</v>
      </c>
      <c r="E526" t="s">
        <v>2106</v>
      </c>
      <c r="F526" t="str">
        <f>_xlfn.XLOOKUP(E526,Table8[City],Table8[State])</f>
        <v>West Bengal</v>
      </c>
      <c r="G526" t="str">
        <f>_xlfn.XLOOKUP(E526,Table8[City],Table8[Region])</f>
        <v>East</v>
      </c>
      <c r="H526" t="s">
        <v>20</v>
      </c>
      <c r="I526" t="str">
        <f>_xlfn.XLOOKUP(H526,Table6[Product],Table6[Category])</f>
        <v>Accessories</v>
      </c>
      <c r="J526" t="s">
        <v>56</v>
      </c>
      <c r="K526">
        <v>1</v>
      </c>
      <c r="L526">
        <f>_xlfn.XLOOKUP(H526,Table6[Product],Table6[Unit Price])</f>
        <v>3000</v>
      </c>
      <c r="M526">
        <f>_xlfn.XLOOKUP(H526,Table6[Product],Table6[Cost Price])</f>
        <v>1800</v>
      </c>
      <c r="N526" s="7">
        <v>0.04</v>
      </c>
      <c r="O526">
        <f t="shared" si="24"/>
        <v>2880</v>
      </c>
      <c r="P526">
        <f t="shared" si="25"/>
        <v>1800</v>
      </c>
      <c r="Q526">
        <f t="shared" si="26"/>
        <v>1080</v>
      </c>
      <c r="R526" t="s">
        <v>47</v>
      </c>
      <c r="S526" t="s">
        <v>51</v>
      </c>
    </row>
    <row r="527" spans="1:19" ht="18" x14ac:dyDescent="0.5">
      <c r="A527" t="s">
        <v>597</v>
      </c>
      <c r="B527" t="s">
        <v>1596</v>
      </c>
      <c r="C527" s="6">
        <v>45885</v>
      </c>
      <c r="D527" t="s">
        <v>2095</v>
      </c>
      <c r="E527" t="s">
        <v>2075</v>
      </c>
      <c r="F527" t="str">
        <f>_xlfn.XLOOKUP(E527,Table8[City],Table8[State])</f>
        <v>Tamil Nadu</v>
      </c>
      <c r="G527" t="str">
        <f>_xlfn.XLOOKUP(E527,Table8[City],Table8[Region])</f>
        <v>South</v>
      </c>
      <c r="H527" t="s">
        <v>20</v>
      </c>
      <c r="I527" t="str">
        <f>_xlfn.XLOOKUP(H527,Table6[Product],Table6[Category])</f>
        <v>Accessories</v>
      </c>
      <c r="J527" t="s">
        <v>57</v>
      </c>
      <c r="K527">
        <v>3</v>
      </c>
      <c r="L527">
        <f>_xlfn.XLOOKUP(H527,Table6[Product],Table6[Unit Price])</f>
        <v>3000</v>
      </c>
      <c r="M527">
        <f>_xlfn.XLOOKUP(H527,Table6[Product],Table6[Cost Price])</f>
        <v>1800</v>
      </c>
      <c r="N527" s="7">
        <v>0.08</v>
      </c>
      <c r="O527">
        <f t="shared" si="24"/>
        <v>8280</v>
      </c>
      <c r="P527">
        <f t="shared" si="25"/>
        <v>5400</v>
      </c>
      <c r="Q527">
        <f t="shared" si="26"/>
        <v>2880</v>
      </c>
      <c r="R527" t="s">
        <v>45</v>
      </c>
      <c r="S527" t="s">
        <v>52</v>
      </c>
    </row>
    <row r="528" spans="1:19" ht="18" x14ac:dyDescent="0.5">
      <c r="A528" t="s">
        <v>598</v>
      </c>
      <c r="B528" t="s">
        <v>1597</v>
      </c>
      <c r="C528" s="6">
        <v>45718</v>
      </c>
      <c r="D528" t="s">
        <v>2084</v>
      </c>
      <c r="E528" t="s">
        <v>2077</v>
      </c>
      <c r="F528" t="str">
        <f>_xlfn.XLOOKUP(E528,Table8[City],Table8[State])</f>
        <v>Telangana</v>
      </c>
      <c r="G528" t="str">
        <f>_xlfn.XLOOKUP(E528,Table8[City],Table8[Region])</f>
        <v>South</v>
      </c>
      <c r="H528" t="s">
        <v>29</v>
      </c>
      <c r="I528" t="str">
        <f>_xlfn.XLOOKUP(H528,Table6[Product],Table6[Category])</f>
        <v>Electronics</v>
      </c>
      <c r="J528" t="s">
        <v>55</v>
      </c>
      <c r="K528">
        <v>9</v>
      </c>
      <c r="L528">
        <f>_xlfn.XLOOKUP(H528,Table6[Product],Table6[Unit Price])</f>
        <v>5000</v>
      </c>
      <c r="M528">
        <f>_xlfn.XLOOKUP(H528,Table6[Product],Table6[Cost Price])</f>
        <v>3200</v>
      </c>
      <c r="N528" s="7">
        <v>0.02</v>
      </c>
      <c r="O528">
        <f t="shared" si="24"/>
        <v>44100</v>
      </c>
      <c r="P528">
        <f t="shared" si="25"/>
        <v>28800</v>
      </c>
      <c r="Q528">
        <f t="shared" si="26"/>
        <v>15300</v>
      </c>
      <c r="R528" t="s">
        <v>47</v>
      </c>
      <c r="S528" t="s">
        <v>51</v>
      </c>
    </row>
    <row r="529" spans="1:19" ht="18" x14ac:dyDescent="0.5">
      <c r="A529" t="s">
        <v>599</v>
      </c>
      <c r="B529" t="s">
        <v>1598</v>
      </c>
      <c r="C529" s="6">
        <v>45884</v>
      </c>
      <c r="D529" t="s">
        <v>63</v>
      </c>
      <c r="E529" t="s">
        <v>2077</v>
      </c>
      <c r="F529" t="str">
        <f>_xlfn.XLOOKUP(E529,Table8[City],Table8[State])</f>
        <v>Telangana</v>
      </c>
      <c r="G529" t="str">
        <f>_xlfn.XLOOKUP(E529,Table8[City],Table8[Region])</f>
        <v>South</v>
      </c>
      <c r="H529" t="s">
        <v>24</v>
      </c>
      <c r="I529" t="str">
        <f>_xlfn.XLOOKUP(H529,Table6[Product],Table6[Category])</f>
        <v>Accessories</v>
      </c>
      <c r="J529" t="s">
        <v>61</v>
      </c>
      <c r="K529">
        <v>8</v>
      </c>
      <c r="L529">
        <f>_xlfn.XLOOKUP(H529,Table6[Product],Table6[Unit Price])</f>
        <v>1500</v>
      </c>
      <c r="M529">
        <f>_xlfn.XLOOKUP(H529,Table6[Product],Table6[Cost Price])</f>
        <v>900</v>
      </c>
      <c r="N529" s="7">
        <v>0.21</v>
      </c>
      <c r="O529">
        <f t="shared" si="24"/>
        <v>9480</v>
      </c>
      <c r="P529">
        <f t="shared" si="25"/>
        <v>7200</v>
      </c>
      <c r="Q529">
        <f t="shared" si="26"/>
        <v>2280</v>
      </c>
      <c r="R529" t="s">
        <v>47</v>
      </c>
      <c r="S529" t="s">
        <v>51</v>
      </c>
    </row>
    <row r="530" spans="1:19" ht="18" x14ac:dyDescent="0.5">
      <c r="A530" t="s">
        <v>600</v>
      </c>
      <c r="B530" t="s">
        <v>1599</v>
      </c>
      <c r="C530" s="6">
        <v>45506</v>
      </c>
      <c r="D530" t="s">
        <v>2085</v>
      </c>
      <c r="E530" t="s">
        <v>2072</v>
      </c>
      <c r="F530" t="str">
        <f>_xlfn.XLOOKUP(E530,Table8[City],Table8[State])</f>
        <v>Karnataka</v>
      </c>
      <c r="G530" t="str">
        <f>_xlfn.XLOOKUP(E530,Table8[City],Table8[Region])</f>
        <v>South</v>
      </c>
      <c r="H530" t="s">
        <v>26</v>
      </c>
      <c r="I530" t="str">
        <f>_xlfn.XLOOKUP(H530,Table6[Product],Table6[Category])</f>
        <v>Office</v>
      </c>
      <c r="J530" t="s">
        <v>61</v>
      </c>
      <c r="K530">
        <v>10</v>
      </c>
      <c r="L530">
        <f>_xlfn.XLOOKUP(H530,Table6[Product],Table6[Unit Price])</f>
        <v>15000</v>
      </c>
      <c r="M530">
        <f>_xlfn.XLOOKUP(H530,Table6[Product],Table6[Cost Price])</f>
        <v>11500</v>
      </c>
      <c r="N530" s="7">
        <v>0.13</v>
      </c>
      <c r="O530">
        <f t="shared" si="24"/>
        <v>130500</v>
      </c>
      <c r="P530">
        <f t="shared" si="25"/>
        <v>115000</v>
      </c>
      <c r="Q530">
        <f t="shared" si="26"/>
        <v>15500</v>
      </c>
      <c r="R530" t="s">
        <v>47</v>
      </c>
      <c r="S530" t="s">
        <v>50</v>
      </c>
    </row>
    <row r="531" spans="1:19" ht="18" x14ac:dyDescent="0.5">
      <c r="A531" t="s">
        <v>601</v>
      </c>
      <c r="B531" t="s">
        <v>1600</v>
      </c>
      <c r="C531" s="6">
        <v>45643</v>
      </c>
      <c r="D531" t="s">
        <v>69</v>
      </c>
      <c r="E531" t="s">
        <v>2078</v>
      </c>
      <c r="F531" t="str">
        <f>_xlfn.XLOOKUP(E531,Table8[City],Table8[State])</f>
        <v>Telangana</v>
      </c>
      <c r="G531" t="str">
        <f>_xlfn.XLOOKUP(E531,Table8[City],Table8[Region])</f>
        <v>South</v>
      </c>
      <c r="H531" t="s">
        <v>25</v>
      </c>
      <c r="I531" t="str">
        <f>_xlfn.XLOOKUP(H531,Table6[Product],Table6[Category])</f>
        <v>Accessories</v>
      </c>
      <c r="J531" t="s">
        <v>62</v>
      </c>
      <c r="K531">
        <v>3</v>
      </c>
      <c r="L531">
        <f>_xlfn.XLOOKUP(H531,Table6[Product],Table6[Unit Price])</f>
        <v>800</v>
      </c>
      <c r="M531">
        <f>_xlfn.XLOOKUP(H531,Table6[Product],Table6[Cost Price])</f>
        <v>450</v>
      </c>
      <c r="N531" s="7">
        <v>0.16</v>
      </c>
      <c r="O531">
        <f t="shared" si="24"/>
        <v>2016</v>
      </c>
      <c r="P531">
        <f t="shared" si="25"/>
        <v>1350</v>
      </c>
      <c r="Q531">
        <f t="shared" si="26"/>
        <v>666</v>
      </c>
      <c r="R531" t="s">
        <v>45</v>
      </c>
      <c r="S531" t="s">
        <v>52</v>
      </c>
    </row>
    <row r="532" spans="1:19" ht="18" x14ac:dyDescent="0.5">
      <c r="A532" t="s">
        <v>602</v>
      </c>
      <c r="B532" t="s">
        <v>1601</v>
      </c>
      <c r="C532" s="6">
        <v>45974</v>
      </c>
      <c r="D532" t="s">
        <v>69</v>
      </c>
      <c r="E532" t="s">
        <v>2078</v>
      </c>
      <c r="F532" t="str">
        <f>_xlfn.XLOOKUP(E532,Table8[City],Table8[State])</f>
        <v>Telangana</v>
      </c>
      <c r="G532" t="str">
        <f>_xlfn.XLOOKUP(E532,Table8[City],Table8[Region])</f>
        <v>South</v>
      </c>
      <c r="H532" t="s">
        <v>24</v>
      </c>
      <c r="I532" t="str">
        <f>_xlfn.XLOOKUP(H532,Table6[Product],Table6[Category])</f>
        <v>Accessories</v>
      </c>
      <c r="J532" t="s">
        <v>54</v>
      </c>
      <c r="K532">
        <v>4</v>
      </c>
      <c r="L532">
        <f>_xlfn.XLOOKUP(H532,Table6[Product],Table6[Unit Price])</f>
        <v>1500</v>
      </c>
      <c r="M532">
        <f>_xlfn.XLOOKUP(H532,Table6[Product],Table6[Cost Price])</f>
        <v>900</v>
      </c>
      <c r="N532" s="7">
        <v>0.27</v>
      </c>
      <c r="O532">
        <f t="shared" si="24"/>
        <v>4380</v>
      </c>
      <c r="P532">
        <f t="shared" si="25"/>
        <v>3600</v>
      </c>
      <c r="Q532">
        <f t="shared" si="26"/>
        <v>780</v>
      </c>
      <c r="R532" t="s">
        <v>47</v>
      </c>
      <c r="S532" t="s">
        <v>51</v>
      </c>
    </row>
    <row r="533" spans="1:19" ht="18" x14ac:dyDescent="0.5">
      <c r="A533" t="s">
        <v>603</v>
      </c>
      <c r="B533" t="s">
        <v>1602</v>
      </c>
      <c r="C533" s="6">
        <v>45949</v>
      </c>
      <c r="D533" t="s">
        <v>69</v>
      </c>
      <c r="E533" t="s">
        <v>2104</v>
      </c>
      <c r="F533" t="str">
        <f>_xlfn.XLOOKUP(E533,Table8[City],Table8[State])</f>
        <v>Delhi</v>
      </c>
      <c r="G533" t="str">
        <f>_xlfn.XLOOKUP(E533,Table8[City],Table8[Region])</f>
        <v>North</v>
      </c>
      <c r="H533" t="s">
        <v>24</v>
      </c>
      <c r="I533" t="str">
        <f>_xlfn.XLOOKUP(H533,Table6[Product],Table6[Category])</f>
        <v>Accessories</v>
      </c>
      <c r="J533" t="s">
        <v>56</v>
      </c>
      <c r="K533">
        <v>9</v>
      </c>
      <c r="L533">
        <f>_xlfn.XLOOKUP(H533,Table6[Product],Table6[Unit Price])</f>
        <v>1500</v>
      </c>
      <c r="M533">
        <f>_xlfn.XLOOKUP(H533,Table6[Product],Table6[Cost Price])</f>
        <v>900</v>
      </c>
      <c r="N533" s="7">
        <v>0.05</v>
      </c>
      <c r="O533">
        <f t="shared" si="24"/>
        <v>12825</v>
      </c>
      <c r="P533">
        <f t="shared" si="25"/>
        <v>8100</v>
      </c>
      <c r="Q533">
        <f t="shared" si="26"/>
        <v>4725</v>
      </c>
      <c r="R533" t="s">
        <v>43</v>
      </c>
      <c r="S533" t="s">
        <v>50</v>
      </c>
    </row>
    <row r="534" spans="1:19" ht="18" x14ac:dyDescent="0.5">
      <c r="A534" t="s">
        <v>604</v>
      </c>
      <c r="B534" t="s">
        <v>1603</v>
      </c>
      <c r="C534" s="6">
        <v>45508</v>
      </c>
      <c r="D534" t="s">
        <v>2098</v>
      </c>
      <c r="E534" t="s">
        <v>2079</v>
      </c>
      <c r="F534" t="str">
        <f>_xlfn.XLOOKUP(E534,Table8[City],Table8[State])</f>
        <v>Gujarat</v>
      </c>
      <c r="G534" t="str">
        <f>_xlfn.XLOOKUP(E534,Table8[City],Table8[Region])</f>
        <v>West</v>
      </c>
      <c r="H534" t="s">
        <v>22</v>
      </c>
      <c r="I534" t="str">
        <f>_xlfn.XLOOKUP(H534,Table6[Product],Table6[Category])</f>
        <v>Wearables</v>
      </c>
      <c r="J534" t="s">
        <v>63</v>
      </c>
      <c r="K534">
        <v>8</v>
      </c>
      <c r="L534">
        <f>_xlfn.XLOOKUP(H534,Table6[Product],Table6[Unit Price])</f>
        <v>12000</v>
      </c>
      <c r="M534">
        <f>_xlfn.XLOOKUP(H534,Table6[Product],Table6[Cost Price])</f>
        <v>8500</v>
      </c>
      <c r="N534" s="7">
        <v>0.05</v>
      </c>
      <c r="O534">
        <f t="shared" si="24"/>
        <v>91200</v>
      </c>
      <c r="P534">
        <f t="shared" si="25"/>
        <v>68000</v>
      </c>
      <c r="Q534">
        <f t="shared" si="26"/>
        <v>23200</v>
      </c>
      <c r="R534" t="s">
        <v>43</v>
      </c>
      <c r="S534" t="s">
        <v>51</v>
      </c>
    </row>
    <row r="535" spans="1:19" ht="18" x14ac:dyDescent="0.5">
      <c r="A535" t="s">
        <v>605</v>
      </c>
      <c r="B535" t="s">
        <v>1604</v>
      </c>
      <c r="C535" s="6">
        <v>45405</v>
      </c>
      <c r="D535" t="s">
        <v>2089</v>
      </c>
      <c r="E535" t="s">
        <v>70</v>
      </c>
      <c r="F535" t="str">
        <f>_xlfn.XLOOKUP(E535,Table8[City],Table8[State])</f>
        <v>Karnataka</v>
      </c>
      <c r="G535" t="str">
        <f>_xlfn.XLOOKUP(E535,Table8[City],Table8[Region])</f>
        <v>South</v>
      </c>
      <c r="H535" t="s">
        <v>25</v>
      </c>
      <c r="I535" t="str">
        <f>_xlfn.XLOOKUP(H535,Table6[Product],Table6[Category])</f>
        <v>Accessories</v>
      </c>
      <c r="J535" t="s">
        <v>60</v>
      </c>
      <c r="K535">
        <v>5</v>
      </c>
      <c r="L535">
        <f>_xlfn.XLOOKUP(H535,Table6[Product],Table6[Unit Price])</f>
        <v>800</v>
      </c>
      <c r="M535">
        <f>_xlfn.XLOOKUP(H535,Table6[Product],Table6[Cost Price])</f>
        <v>450</v>
      </c>
      <c r="N535" s="7">
        <v>0.04</v>
      </c>
      <c r="O535">
        <f t="shared" si="24"/>
        <v>3840</v>
      </c>
      <c r="P535">
        <f t="shared" si="25"/>
        <v>2250</v>
      </c>
      <c r="Q535">
        <f t="shared" si="26"/>
        <v>1590</v>
      </c>
      <c r="R535" t="s">
        <v>46</v>
      </c>
      <c r="S535" t="s">
        <v>49</v>
      </c>
    </row>
    <row r="536" spans="1:19" ht="18" x14ac:dyDescent="0.5">
      <c r="A536" t="s">
        <v>606</v>
      </c>
      <c r="B536" t="s">
        <v>1605</v>
      </c>
      <c r="C536" s="6">
        <v>45354</v>
      </c>
      <c r="D536" t="s">
        <v>2088</v>
      </c>
      <c r="E536" t="s">
        <v>2080</v>
      </c>
      <c r="F536" t="str">
        <f>_xlfn.XLOOKUP(E536,Table8[City],Table8[State])</f>
        <v>Gujarat</v>
      </c>
      <c r="G536" t="str">
        <f>_xlfn.XLOOKUP(E536,Table8[City],Table8[Region])</f>
        <v>West</v>
      </c>
      <c r="H536" t="s">
        <v>22</v>
      </c>
      <c r="I536" t="str">
        <f>_xlfn.XLOOKUP(H536,Table6[Product],Table6[Category])</f>
        <v>Wearables</v>
      </c>
      <c r="J536" t="s">
        <v>59</v>
      </c>
      <c r="K536">
        <v>5</v>
      </c>
      <c r="L536">
        <f>_xlfn.XLOOKUP(H536,Table6[Product],Table6[Unit Price])</f>
        <v>12000</v>
      </c>
      <c r="M536">
        <f>_xlfn.XLOOKUP(H536,Table6[Product],Table6[Cost Price])</f>
        <v>8500</v>
      </c>
      <c r="N536" s="7">
        <v>0.19</v>
      </c>
      <c r="O536">
        <f t="shared" si="24"/>
        <v>48600</v>
      </c>
      <c r="P536">
        <f t="shared" si="25"/>
        <v>42500</v>
      </c>
      <c r="Q536">
        <f t="shared" si="26"/>
        <v>6100</v>
      </c>
      <c r="R536" t="s">
        <v>47</v>
      </c>
      <c r="S536" t="s">
        <v>50</v>
      </c>
    </row>
    <row r="537" spans="1:19" ht="18" x14ac:dyDescent="0.5">
      <c r="A537" t="s">
        <v>607</v>
      </c>
      <c r="B537" t="s">
        <v>1606</v>
      </c>
      <c r="C537" s="6">
        <v>45872</v>
      </c>
      <c r="D537" t="s">
        <v>69</v>
      </c>
      <c r="E537" t="s">
        <v>2079</v>
      </c>
      <c r="F537" t="str">
        <f>_xlfn.XLOOKUP(E537,Table8[City],Table8[State])</f>
        <v>Gujarat</v>
      </c>
      <c r="G537" t="str">
        <f>_xlfn.XLOOKUP(E537,Table8[City],Table8[Region])</f>
        <v>West</v>
      </c>
      <c r="H537" t="s">
        <v>19</v>
      </c>
      <c r="I537" t="str">
        <f>_xlfn.XLOOKUP(H537,Table6[Product],Table6[Category])</f>
        <v>Electronics</v>
      </c>
      <c r="J537" t="s">
        <v>60</v>
      </c>
      <c r="K537">
        <v>2</v>
      </c>
      <c r="L537">
        <f>_xlfn.XLOOKUP(H537,Table6[Product],Table6[Unit Price])</f>
        <v>25000</v>
      </c>
      <c r="M537">
        <f>_xlfn.XLOOKUP(H537,Table6[Product],Table6[Cost Price])</f>
        <v>20000</v>
      </c>
      <c r="N537" s="7">
        <v>0.27</v>
      </c>
      <c r="O537">
        <f t="shared" si="24"/>
        <v>36500</v>
      </c>
      <c r="P537">
        <f t="shared" si="25"/>
        <v>40000</v>
      </c>
      <c r="Q537">
        <f t="shared" si="26"/>
        <v>-3500</v>
      </c>
      <c r="R537" t="s">
        <v>44</v>
      </c>
      <c r="S537" t="s">
        <v>49</v>
      </c>
    </row>
    <row r="538" spans="1:19" ht="18" x14ac:dyDescent="0.5">
      <c r="A538" t="s">
        <v>608</v>
      </c>
      <c r="B538" t="s">
        <v>1607</v>
      </c>
      <c r="C538" s="6">
        <v>45865</v>
      </c>
      <c r="D538" t="s">
        <v>2085</v>
      </c>
      <c r="E538" t="s">
        <v>2078</v>
      </c>
      <c r="F538" t="str">
        <f>_xlfn.XLOOKUP(E538,Table8[City],Table8[State])</f>
        <v>Telangana</v>
      </c>
      <c r="G538" t="str">
        <f>_xlfn.XLOOKUP(E538,Table8[City],Table8[Region])</f>
        <v>South</v>
      </c>
      <c r="H538" t="s">
        <v>26</v>
      </c>
      <c r="I538" t="str">
        <f>_xlfn.XLOOKUP(H538,Table6[Product],Table6[Category])</f>
        <v>Office</v>
      </c>
      <c r="J538" t="s">
        <v>59</v>
      </c>
      <c r="K538">
        <v>7</v>
      </c>
      <c r="L538">
        <f>_xlfn.XLOOKUP(H538,Table6[Product],Table6[Unit Price])</f>
        <v>15000</v>
      </c>
      <c r="M538">
        <f>_xlfn.XLOOKUP(H538,Table6[Product],Table6[Cost Price])</f>
        <v>11500</v>
      </c>
      <c r="N538" s="7">
        <v>0.23</v>
      </c>
      <c r="O538">
        <f t="shared" si="24"/>
        <v>80850</v>
      </c>
      <c r="P538">
        <f t="shared" si="25"/>
        <v>80500</v>
      </c>
      <c r="Q538">
        <f t="shared" si="26"/>
        <v>350</v>
      </c>
      <c r="R538" t="s">
        <v>46</v>
      </c>
      <c r="S538" t="s">
        <v>51</v>
      </c>
    </row>
    <row r="539" spans="1:19" ht="18" x14ac:dyDescent="0.5">
      <c r="A539" t="s">
        <v>609</v>
      </c>
      <c r="B539" t="s">
        <v>1608</v>
      </c>
      <c r="C539" s="6">
        <v>45943</v>
      </c>
      <c r="D539" t="s">
        <v>2086</v>
      </c>
      <c r="E539" t="s">
        <v>2078</v>
      </c>
      <c r="F539" t="str">
        <f>_xlfn.XLOOKUP(E539,Table8[City],Table8[State])</f>
        <v>Telangana</v>
      </c>
      <c r="G539" t="str">
        <f>_xlfn.XLOOKUP(E539,Table8[City],Table8[Region])</f>
        <v>South</v>
      </c>
      <c r="H539" t="s">
        <v>26</v>
      </c>
      <c r="I539" t="str">
        <f>_xlfn.XLOOKUP(H539,Table6[Product],Table6[Category])</f>
        <v>Office</v>
      </c>
      <c r="J539" t="s">
        <v>56</v>
      </c>
      <c r="K539">
        <v>9</v>
      </c>
      <c r="L539">
        <f>_xlfn.XLOOKUP(H539,Table6[Product],Table6[Unit Price])</f>
        <v>15000</v>
      </c>
      <c r="M539">
        <f>_xlfn.XLOOKUP(H539,Table6[Product],Table6[Cost Price])</f>
        <v>11500</v>
      </c>
      <c r="N539" s="7">
        <v>0.28999999999999998</v>
      </c>
      <c r="O539">
        <f t="shared" si="24"/>
        <v>95850</v>
      </c>
      <c r="P539">
        <f t="shared" si="25"/>
        <v>103500</v>
      </c>
      <c r="Q539">
        <f t="shared" si="26"/>
        <v>-7650</v>
      </c>
      <c r="R539" t="s">
        <v>47</v>
      </c>
      <c r="S539" t="s">
        <v>50</v>
      </c>
    </row>
    <row r="540" spans="1:19" ht="18" x14ac:dyDescent="0.5">
      <c r="A540" t="s">
        <v>610</v>
      </c>
      <c r="B540" t="s">
        <v>1609</v>
      </c>
      <c r="C540" s="6">
        <v>45444</v>
      </c>
      <c r="D540" t="s">
        <v>2097</v>
      </c>
      <c r="E540" t="s">
        <v>2104</v>
      </c>
      <c r="F540" t="str">
        <f>_xlfn.XLOOKUP(E540,Table8[City],Table8[State])</f>
        <v>Delhi</v>
      </c>
      <c r="G540" t="str">
        <f>_xlfn.XLOOKUP(E540,Table8[City],Table8[Region])</f>
        <v>North</v>
      </c>
      <c r="H540" t="s">
        <v>26</v>
      </c>
      <c r="I540" t="str">
        <f>_xlfn.XLOOKUP(H540,Table6[Product],Table6[Category])</f>
        <v>Office</v>
      </c>
      <c r="J540" t="s">
        <v>63</v>
      </c>
      <c r="K540">
        <v>2</v>
      </c>
      <c r="L540">
        <f>_xlfn.XLOOKUP(H540,Table6[Product],Table6[Unit Price])</f>
        <v>15000</v>
      </c>
      <c r="M540">
        <f>_xlfn.XLOOKUP(H540,Table6[Product],Table6[Cost Price])</f>
        <v>11500</v>
      </c>
      <c r="N540" s="7">
        <v>0.22</v>
      </c>
      <c r="O540">
        <f t="shared" si="24"/>
        <v>23400</v>
      </c>
      <c r="P540">
        <f t="shared" si="25"/>
        <v>23000</v>
      </c>
      <c r="Q540">
        <f t="shared" si="26"/>
        <v>400</v>
      </c>
      <c r="R540" t="s">
        <v>47</v>
      </c>
      <c r="S540" t="s">
        <v>51</v>
      </c>
    </row>
    <row r="541" spans="1:19" ht="18" x14ac:dyDescent="0.5">
      <c r="A541" t="s">
        <v>611</v>
      </c>
      <c r="B541" t="s">
        <v>1610</v>
      </c>
      <c r="C541" s="6">
        <v>45503</v>
      </c>
      <c r="D541" t="s">
        <v>2093</v>
      </c>
      <c r="E541" t="s">
        <v>2075</v>
      </c>
      <c r="F541" t="str">
        <f>_xlfn.XLOOKUP(E541,Table8[City],Table8[State])</f>
        <v>Tamil Nadu</v>
      </c>
      <c r="G541" t="str">
        <f>_xlfn.XLOOKUP(E541,Table8[City],Table8[Region])</f>
        <v>South</v>
      </c>
      <c r="H541" t="s">
        <v>20</v>
      </c>
      <c r="I541" t="str">
        <f>_xlfn.XLOOKUP(H541,Table6[Product],Table6[Category])</f>
        <v>Accessories</v>
      </c>
      <c r="J541" t="s">
        <v>59</v>
      </c>
      <c r="K541">
        <v>7</v>
      </c>
      <c r="L541">
        <f>_xlfn.XLOOKUP(H541,Table6[Product],Table6[Unit Price])</f>
        <v>3000</v>
      </c>
      <c r="M541">
        <f>_xlfn.XLOOKUP(H541,Table6[Product],Table6[Cost Price])</f>
        <v>1800</v>
      </c>
      <c r="N541" s="7">
        <v>0.28000000000000003</v>
      </c>
      <c r="O541">
        <f t="shared" si="24"/>
        <v>15120</v>
      </c>
      <c r="P541">
        <f t="shared" si="25"/>
        <v>12600</v>
      </c>
      <c r="Q541">
        <f t="shared" si="26"/>
        <v>2520</v>
      </c>
      <c r="R541" t="s">
        <v>47</v>
      </c>
      <c r="S541" t="s">
        <v>51</v>
      </c>
    </row>
    <row r="542" spans="1:19" ht="18" x14ac:dyDescent="0.5">
      <c r="A542" t="s">
        <v>612</v>
      </c>
      <c r="B542" t="s">
        <v>1611</v>
      </c>
      <c r="C542" s="6">
        <v>45905</v>
      </c>
      <c r="D542" t="s">
        <v>2085</v>
      </c>
      <c r="E542" t="s">
        <v>2080</v>
      </c>
      <c r="F542" t="str">
        <f>_xlfn.XLOOKUP(E542,Table8[City],Table8[State])</f>
        <v>Gujarat</v>
      </c>
      <c r="G542" t="str">
        <f>_xlfn.XLOOKUP(E542,Table8[City],Table8[Region])</f>
        <v>West</v>
      </c>
      <c r="H542" t="s">
        <v>24</v>
      </c>
      <c r="I542" t="str">
        <f>_xlfn.XLOOKUP(H542,Table6[Product],Table6[Category])</f>
        <v>Accessories</v>
      </c>
      <c r="J542" t="s">
        <v>55</v>
      </c>
      <c r="K542">
        <v>5</v>
      </c>
      <c r="L542">
        <f>_xlfn.XLOOKUP(H542,Table6[Product],Table6[Unit Price])</f>
        <v>1500</v>
      </c>
      <c r="M542">
        <f>_xlfn.XLOOKUP(H542,Table6[Product],Table6[Cost Price])</f>
        <v>900</v>
      </c>
      <c r="N542" s="7">
        <v>0.04</v>
      </c>
      <c r="O542">
        <f t="shared" si="24"/>
        <v>7200</v>
      </c>
      <c r="P542">
        <f t="shared" si="25"/>
        <v>4500</v>
      </c>
      <c r="Q542">
        <f t="shared" si="26"/>
        <v>2700</v>
      </c>
      <c r="R542" t="s">
        <v>46</v>
      </c>
      <c r="S542" t="s">
        <v>51</v>
      </c>
    </row>
    <row r="543" spans="1:19" ht="18" x14ac:dyDescent="0.5">
      <c r="A543" t="s">
        <v>613</v>
      </c>
      <c r="B543" t="s">
        <v>1612</v>
      </c>
      <c r="C543" s="6">
        <v>45956</v>
      </c>
      <c r="D543" t="s">
        <v>63</v>
      </c>
      <c r="E543" t="s">
        <v>2105</v>
      </c>
      <c r="F543" t="str">
        <f>_xlfn.XLOOKUP(E543,Table8[City],Table8[State])</f>
        <v>Rajasthan</v>
      </c>
      <c r="G543" t="str">
        <f>_xlfn.XLOOKUP(E543,Table8[City],Table8[Region])</f>
        <v>North</v>
      </c>
      <c r="H543" t="s">
        <v>26</v>
      </c>
      <c r="I543" t="str">
        <f>_xlfn.XLOOKUP(H543,Table6[Product],Table6[Category])</f>
        <v>Office</v>
      </c>
      <c r="J543" t="s">
        <v>58</v>
      </c>
      <c r="K543">
        <v>3</v>
      </c>
      <c r="L543">
        <f>_xlfn.XLOOKUP(H543,Table6[Product],Table6[Unit Price])</f>
        <v>15000</v>
      </c>
      <c r="M543">
        <f>_xlfn.XLOOKUP(H543,Table6[Product],Table6[Cost Price])</f>
        <v>11500</v>
      </c>
      <c r="N543" s="7">
        <v>0.14000000000000001</v>
      </c>
      <c r="O543">
        <f t="shared" si="24"/>
        <v>38700</v>
      </c>
      <c r="P543">
        <f t="shared" si="25"/>
        <v>34500</v>
      </c>
      <c r="Q543">
        <f t="shared" si="26"/>
        <v>4200</v>
      </c>
      <c r="R543" t="s">
        <v>45</v>
      </c>
      <c r="S543" t="s">
        <v>49</v>
      </c>
    </row>
    <row r="544" spans="1:19" ht="18" x14ac:dyDescent="0.5">
      <c r="A544" t="s">
        <v>614</v>
      </c>
      <c r="B544" t="s">
        <v>1613</v>
      </c>
      <c r="C544" s="6">
        <v>45780</v>
      </c>
      <c r="D544" t="s">
        <v>2087</v>
      </c>
      <c r="E544" t="s">
        <v>2077</v>
      </c>
      <c r="F544" t="str">
        <f>_xlfn.XLOOKUP(E544,Table8[City],Table8[State])</f>
        <v>Telangana</v>
      </c>
      <c r="G544" t="str">
        <f>_xlfn.XLOOKUP(E544,Table8[City],Table8[Region])</f>
        <v>South</v>
      </c>
      <c r="H544" t="s">
        <v>20</v>
      </c>
      <c r="I544" t="str">
        <f>_xlfn.XLOOKUP(H544,Table6[Product],Table6[Category])</f>
        <v>Accessories</v>
      </c>
      <c r="J544" t="s">
        <v>58</v>
      </c>
      <c r="K544">
        <v>2</v>
      </c>
      <c r="L544">
        <f>_xlfn.XLOOKUP(H544,Table6[Product],Table6[Unit Price])</f>
        <v>3000</v>
      </c>
      <c r="M544">
        <f>_xlfn.XLOOKUP(H544,Table6[Product],Table6[Cost Price])</f>
        <v>1800</v>
      </c>
      <c r="N544" s="7">
        <v>0.2</v>
      </c>
      <c r="O544">
        <f t="shared" si="24"/>
        <v>4800</v>
      </c>
      <c r="P544">
        <f t="shared" si="25"/>
        <v>3600</v>
      </c>
      <c r="Q544">
        <f t="shared" si="26"/>
        <v>1200</v>
      </c>
      <c r="R544" t="s">
        <v>44</v>
      </c>
      <c r="S544" t="s">
        <v>50</v>
      </c>
    </row>
    <row r="545" spans="1:19" ht="18" x14ac:dyDescent="0.5">
      <c r="A545" t="s">
        <v>615</v>
      </c>
      <c r="B545" t="s">
        <v>1614</v>
      </c>
      <c r="C545" s="6">
        <v>45951</v>
      </c>
      <c r="D545" t="s">
        <v>2090</v>
      </c>
      <c r="E545" t="s">
        <v>2078</v>
      </c>
      <c r="F545" t="str">
        <f>_xlfn.XLOOKUP(E545,Table8[City],Table8[State])</f>
        <v>Telangana</v>
      </c>
      <c r="G545" t="str">
        <f>_xlfn.XLOOKUP(E545,Table8[City],Table8[Region])</f>
        <v>South</v>
      </c>
      <c r="H545" t="s">
        <v>22</v>
      </c>
      <c r="I545" t="str">
        <f>_xlfn.XLOOKUP(H545,Table6[Product],Table6[Category])</f>
        <v>Wearables</v>
      </c>
      <c r="J545" t="s">
        <v>54</v>
      </c>
      <c r="K545">
        <v>3</v>
      </c>
      <c r="L545">
        <f>_xlfn.XLOOKUP(H545,Table6[Product],Table6[Unit Price])</f>
        <v>12000</v>
      </c>
      <c r="M545">
        <f>_xlfn.XLOOKUP(H545,Table6[Product],Table6[Cost Price])</f>
        <v>8500</v>
      </c>
      <c r="N545" s="7">
        <v>0.21</v>
      </c>
      <c r="O545">
        <f t="shared" si="24"/>
        <v>28440</v>
      </c>
      <c r="P545">
        <f t="shared" si="25"/>
        <v>25500</v>
      </c>
      <c r="Q545">
        <f t="shared" si="26"/>
        <v>2940</v>
      </c>
      <c r="R545" t="s">
        <v>45</v>
      </c>
      <c r="S545" t="s">
        <v>52</v>
      </c>
    </row>
    <row r="546" spans="1:19" ht="18" x14ac:dyDescent="0.5">
      <c r="A546" t="s">
        <v>616</v>
      </c>
      <c r="B546" t="s">
        <v>1615</v>
      </c>
      <c r="C546" s="6">
        <v>45856</v>
      </c>
      <c r="D546" t="s">
        <v>2093</v>
      </c>
      <c r="E546" t="s">
        <v>2080</v>
      </c>
      <c r="F546" t="str">
        <f>_xlfn.XLOOKUP(E546,Table8[City],Table8[State])</f>
        <v>Gujarat</v>
      </c>
      <c r="G546" t="str">
        <f>_xlfn.XLOOKUP(E546,Table8[City],Table8[Region])</f>
        <v>West</v>
      </c>
      <c r="H546" t="s">
        <v>26</v>
      </c>
      <c r="I546" t="str">
        <f>_xlfn.XLOOKUP(H546,Table6[Product],Table6[Category])</f>
        <v>Office</v>
      </c>
      <c r="J546" t="s">
        <v>61</v>
      </c>
      <c r="K546">
        <v>1</v>
      </c>
      <c r="L546">
        <f>_xlfn.XLOOKUP(H546,Table6[Product],Table6[Unit Price])</f>
        <v>15000</v>
      </c>
      <c r="M546">
        <f>_xlfn.XLOOKUP(H546,Table6[Product],Table6[Cost Price])</f>
        <v>11500</v>
      </c>
      <c r="N546" s="7">
        <v>0.3</v>
      </c>
      <c r="O546">
        <f t="shared" si="24"/>
        <v>10500</v>
      </c>
      <c r="P546">
        <f t="shared" si="25"/>
        <v>11500</v>
      </c>
      <c r="Q546">
        <f t="shared" si="26"/>
        <v>-1000</v>
      </c>
      <c r="R546" t="s">
        <v>43</v>
      </c>
      <c r="S546" t="s">
        <v>49</v>
      </c>
    </row>
    <row r="547" spans="1:19" ht="18" x14ac:dyDescent="0.5">
      <c r="A547" t="s">
        <v>617</v>
      </c>
      <c r="B547" t="s">
        <v>1616</v>
      </c>
      <c r="C547" s="6">
        <v>45527</v>
      </c>
      <c r="D547" t="s">
        <v>2096</v>
      </c>
      <c r="E547" t="s">
        <v>2074</v>
      </c>
      <c r="F547" t="str">
        <f>_xlfn.XLOOKUP(E547,Table8[City],Table8[State])</f>
        <v>Maharashtra</v>
      </c>
      <c r="G547" t="str">
        <f>_xlfn.XLOOKUP(E547,Table8[City],Table8[Region])</f>
        <v>West</v>
      </c>
      <c r="H547" t="s">
        <v>19</v>
      </c>
      <c r="I547" t="str">
        <f>_xlfn.XLOOKUP(H547,Table6[Product],Table6[Category])</f>
        <v>Electronics</v>
      </c>
      <c r="J547" t="s">
        <v>63</v>
      </c>
      <c r="K547">
        <v>10</v>
      </c>
      <c r="L547">
        <f>_xlfn.XLOOKUP(H547,Table6[Product],Table6[Unit Price])</f>
        <v>25000</v>
      </c>
      <c r="M547">
        <f>_xlfn.XLOOKUP(H547,Table6[Product],Table6[Cost Price])</f>
        <v>20000</v>
      </c>
      <c r="N547" s="7">
        <v>0.15</v>
      </c>
      <c r="O547">
        <f t="shared" si="24"/>
        <v>212500</v>
      </c>
      <c r="P547">
        <f t="shared" si="25"/>
        <v>200000</v>
      </c>
      <c r="Q547">
        <f t="shared" si="26"/>
        <v>12500</v>
      </c>
      <c r="R547" t="s">
        <v>45</v>
      </c>
      <c r="S547" t="s">
        <v>49</v>
      </c>
    </row>
    <row r="548" spans="1:19" ht="18" x14ac:dyDescent="0.5">
      <c r="A548" t="s">
        <v>618</v>
      </c>
      <c r="B548" t="s">
        <v>1617</v>
      </c>
      <c r="C548" s="6">
        <v>45729</v>
      </c>
      <c r="D548" t="s">
        <v>2090</v>
      </c>
      <c r="E548" t="s">
        <v>2105</v>
      </c>
      <c r="F548" t="str">
        <f>_xlfn.XLOOKUP(E548,Table8[City],Table8[State])</f>
        <v>Rajasthan</v>
      </c>
      <c r="G548" t="str">
        <f>_xlfn.XLOOKUP(E548,Table8[City],Table8[Region])</f>
        <v>North</v>
      </c>
      <c r="H548" t="s">
        <v>16</v>
      </c>
      <c r="I548" t="str">
        <f>_xlfn.XLOOKUP(H548,Table6[Product],Table6[Category])</f>
        <v>Electronics</v>
      </c>
      <c r="J548" t="s">
        <v>54</v>
      </c>
      <c r="K548">
        <v>7</v>
      </c>
      <c r="L548">
        <f>_xlfn.XLOOKUP(H548,Table6[Product],Table6[Unit Price])</f>
        <v>65000</v>
      </c>
      <c r="M548">
        <f>_xlfn.XLOOKUP(H548,Table6[Product],Table6[Cost Price])</f>
        <v>52000</v>
      </c>
      <c r="N548" s="7">
        <v>0.02</v>
      </c>
      <c r="O548">
        <f t="shared" si="24"/>
        <v>445900</v>
      </c>
      <c r="P548">
        <f t="shared" si="25"/>
        <v>364000</v>
      </c>
      <c r="Q548">
        <f t="shared" si="26"/>
        <v>81900</v>
      </c>
      <c r="R548" t="s">
        <v>45</v>
      </c>
      <c r="S548" t="s">
        <v>49</v>
      </c>
    </row>
    <row r="549" spans="1:19" ht="18" x14ac:dyDescent="0.5">
      <c r="A549" t="s">
        <v>619</v>
      </c>
      <c r="B549" t="s">
        <v>1618</v>
      </c>
      <c r="C549" s="6">
        <v>45411</v>
      </c>
      <c r="D549" t="s">
        <v>2097</v>
      </c>
      <c r="E549" t="s">
        <v>2074</v>
      </c>
      <c r="F549" t="str">
        <f>_xlfn.XLOOKUP(E549,Table8[City],Table8[State])</f>
        <v>Maharashtra</v>
      </c>
      <c r="G549" t="str">
        <f>_xlfn.XLOOKUP(E549,Table8[City],Table8[Region])</f>
        <v>West</v>
      </c>
      <c r="H549" t="s">
        <v>16</v>
      </c>
      <c r="I549" t="str">
        <f>_xlfn.XLOOKUP(H549,Table6[Product],Table6[Category])</f>
        <v>Electronics</v>
      </c>
      <c r="J549" t="s">
        <v>56</v>
      </c>
      <c r="K549">
        <v>2</v>
      </c>
      <c r="L549">
        <f>_xlfn.XLOOKUP(H549,Table6[Product],Table6[Unit Price])</f>
        <v>65000</v>
      </c>
      <c r="M549">
        <f>_xlfn.XLOOKUP(H549,Table6[Product],Table6[Cost Price])</f>
        <v>52000</v>
      </c>
      <c r="N549" s="7">
        <v>0.02</v>
      </c>
      <c r="O549">
        <f t="shared" si="24"/>
        <v>127400</v>
      </c>
      <c r="P549">
        <f t="shared" si="25"/>
        <v>104000</v>
      </c>
      <c r="Q549">
        <f t="shared" si="26"/>
        <v>23400</v>
      </c>
      <c r="R549" t="s">
        <v>44</v>
      </c>
      <c r="S549" t="s">
        <v>49</v>
      </c>
    </row>
    <row r="550" spans="1:19" ht="18" x14ac:dyDescent="0.5">
      <c r="A550" t="s">
        <v>620</v>
      </c>
      <c r="B550" t="s">
        <v>1619</v>
      </c>
      <c r="C550" s="6">
        <v>45351</v>
      </c>
      <c r="D550" t="s">
        <v>2099</v>
      </c>
      <c r="E550" t="s">
        <v>2076</v>
      </c>
      <c r="F550" t="str">
        <f>_xlfn.XLOOKUP(E550,Table8[City],Table8[State])</f>
        <v>Tamil Nadu</v>
      </c>
      <c r="G550" t="str">
        <f>_xlfn.XLOOKUP(E550,Table8[City],Table8[Region])</f>
        <v>South</v>
      </c>
      <c r="H550" t="s">
        <v>24</v>
      </c>
      <c r="I550" t="str">
        <f>_xlfn.XLOOKUP(H550,Table6[Product],Table6[Category])</f>
        <v>Accessories</v>
      </c>
      <c r="J550" t="s">
        <v>60</v>
      </c>
      <c r="K550">
        <v>7</v>
      </c>
      <c r="L550">
        <f>_xlfn.XLOOKUP(H550,Table6[Product],Table6[Unit Price])</f>
        <v>1500</v>
      </c>
      <c r="M550">
        <f>_xlfn.XLOOKUP(H550,Table6[Product],Table6[Cost Price])</f>
        <v>900</v>
      </c>
      <c r="N550" s="7">
        <v>0.22</v>
      </c>
      <c r="O550">
        <f t="shared" si="24"/>
        <v>8190</v>
      </c>
      <c r="P550">
        <f t="shared" si="25"/>
        <v>6300</v>
      </c>
      <c r="Q550">
        <f t="shared" si="26"/>
        <v>1890</v>
      </c>
      <c r="R550" t="s">
        <v>44</v>
      </c>
      <c r="S550" t="s">
        <v>51</v>
      </c>
    </row>
    <row r="551" spans="1:19" ht="18" x14ac:dyDescent="0.5">
      <c r="A551" t="s">
        <v>621</v>
      </c>
      <c r="B551" t="s">
        <v>1620</v>
      </c>
      <c r="C551" s="6">
        <v>45385</v>
      </c>
      <c r="D551" t="s">
        <v>69</v>
      </c>
      <c r="E551" t="s">
        <v>2104</v>
      </c>
      <c r="F551" t="str">
        <f>_xlfn.XLOOKUP(E551,Table8[City],Table8[State])</f>
        <v>Delhi</v>
      </c>
      <c r="G551" t="str">
        <f>_xlfn.XLOOKUP(E551,Table8[City],Table8[Region])</f>
        <v>North</v>
      </c>
      <c r="H551" t="s">
        <v>20</v>
      </c>
      <c r="I551" t="str">
        <f>_xlfn.XLOOKUP(H551,Table6[Product],Table6[Category])</f>
        <v>Accessories</v>
      </c>
      <c r="J551" t="s">
        <v>56</v>
      </c>
      <c r="K551">
        <v>2</v>
      </c>
      <c r="L551">
        <f>_xlfn.XLOOKUP(H551,Table6[Product],Table6[Unit Price])</f>
        <v>3000</v>
      </c>
      <c r="M551">
        <f>_xlfn.XLOOKUP(H551,Table6[Product],Table6[Cost Price])</f>
        <v>1800</v>
      </c>
      <c r="N551" s="7">
        <v>0.13</v>
      </c>
      <c r="O551">
        <f t="shared" si="24"/>
        <v>5220</v>
      </c>
      <c r="P551">
        <f t="shared" si="25"/>
        <v>3600</v>
      </c>
      <c r="Q551">
        <f t="shared" si="26"/>
        <v>1620</v>
      </c>
      <c r="R551" t="s">
        <v>47</v>
      </c>
      <c r="S551" t="s">
        <v>49</v>
      </c>
    </row>
    <row r="552" spans="1:19" ht="18" x14ac:dyDescent="0.5">
      <c r="A552" t="s">
        <v>622</v>
      </c>
      <c r="B552" t="s">
        <v>1621</v>
      </c>
      <c r="C552" s="6">
        <v>45416</v>
      </c>
      <c r="D552" t="s">
        <v>2095</v>
      </c>
      <c r="E552" t="s">
        <v>2079</v>
      </c>
      <c r="F552" t="str">
        <f>_xlfn.XLOOKUP(E552,Table8[City],Table8[State])</f>
        <v>Gujarat</v>
      </c>
      <c r="G552" t="str">
        <f>_xlfn.XLOOKUP(E552,Table8[City],Table8[Region])</f>
        <v>West</v>
      </c>
      <c r="H552" t="s">
        <v>24</v>
      </c>
      <c r="I552" t="str">
        <f>_xlfn.XLOOKUP(H552,Table6[Product],Table6[Category])</f>
        <v>Accessories</v>
      </c>
      <c r="J552" t="s">
        <v>59</v>
      </c>
      <c r="K552">
        <v>2</v>
      </c>
      <c r="L552">
        <f>_xlfn.XLOOKUP(H552,Table6[Product],Table6[Unit Price])</f>
        <v>1500</v>
      </c>
      <c r="M552">
        <f>_xlfn.XLOOKUP(H552,Table6[Product],Table6[Cost Price])</f>
        <v>900</v>
      </c>
      <c r="N552" s="7">
        <v>0.09</v>
      </c>
      <c r="O552">
        <f t="shared" si="24"/>
        <v>2730</v>
      </c>
      <c r="P552">
        <f t="shared" si="25"/>
        <v>1800</v>
      </c>
      <c r="Q552">
        <f t="shared" si="26"/>
        <v>930</v>
      </c>
      <c r="R552" t="s">
        <v>46</v>
      </c>
      <c r="S552" t="s">
        <v>52</v>
      </c>
    </row>
    <row r="553" spans="1:19" ht="18" x14ac:dyDescent="0.5">
      <c r="A553" t="s">
        <v>623</v>
      </c>
      <c r="B553" t="s">
        <v>1622</v>
      </c>
      <c r="C553" s="6">
        <v>45847</v>
      </c>
      <c r="D553" t="s">
        <v>59</v>
      </c>
      <c r="E553" t="s">
        <v>2080</v>
      </c>
      <c r="F553" t="str">
        <f>_xlfn.XLOOKUP(E553,Table8[City],Table8[State])</f>
        <v>Gujarat</v>
      </c>
      <c r="G553" t="str">
        <f>_xlfn.XLOOKUP(E553,Table8[City],Table8[Region])</f>
        <v>West</v>
      </c>
      <c r="H553" t="s">
        <v>18</v>
      </c>
      <c r="I553" t="str">
        <f>_xlfn.XLOOKUP(H553,Table6[Product],Table6[Category])</f>
        <v>Electronics</v>
      </c>
      <c r="J553" t="s">
        <v>57</v>
      </c>
      <c r="K553">
        <v>6</v>
      </c>
      <c r="L553">
        <f>_xlfn.XLOOKUP(H553,Table6[Product],Table6[Unit Price])</f>
        <v>35000</v>
      </c>
      <c r="M553">
        <f>_xlfn.XLOOKUP(H553,Table6[Product],Table6[Cost Price])</f>
        <v>28000</v>
      </c>
      <c r="N553" s="7">
        <v>0.08</v>
      </c>
      <c r="O553">
        <f t="shared" si="24"/>
        <v>193200</v>
      </c>
      <c r="P553">
        <f t="shared" si="25"/>
        <v>168000</v>
      </c>
      <c r="Q553">
        <f t="shared" si="26"/>
        <v>25200</v>
      </c>
      <c r="R553" t="s">
        <v>46</v>
      </c>
      <c r="S553" t="s">
        <v>50</v>
      </c>
    </row>
    <row r="554" spans="1:19" ht="18" x14ac:dyDescent="0.5">
      <c r="A554" t="s">
        <v>624</v>
      </c>
      <c r="B554" t="s">
        <v>1623</v>
      </c>
      <c r="C554" s="6">
        <v>45505</v>
      </c>
      <c r="D554" t="s">
        <v>2083</v>
      </c>
      <c r="E554" t="s">
        <v>2076</v>
      </c>
      <c r="F554" t="str">
        <f>_xlfn.XLOOKUP(E554,Table8[City],Table8[State])</f>
        <v>Tamil Nadu</v>
      </c>
      <c r="G554" t="str">
        <f>_xlfn.XLOOKUP(E554,Table8[City],Table8[Region])</f>
        <v>South</v>
      </c>
      <c r="H554" t="s">
        <v>16</v>
      </c>
      <c r="I554" t="str">
        <f>_xlfn.XLOOKUP(H554,Table6[Product],Table6[Category])</f>
        <v>Electronics</v>
      </c>
      <c r="J554" t="s">
        <v>58</v>
      </c>
      <c r="K554">
        <v>1</v>
      </c>
      <c r="L554">
        <f>_xlfn.XLOOKUP(H554,Table6[Product],Table6[Unit Price])</f>
        <v>65000</v>
      </c>
      <c r="M554">
        <f>_xlfn.XLOOKUP(H554,Table6[Product],Table6[Cost Price])</f>
        <v>52000</v>
      </c>
      <c r="N554" s="7">
        <v>0.28000000000000003</v>
      </c>
      <c r="O554">
        <f t="shared" si="24"/>
        <v>46800</v>
      </c>
      <c r="P554">
        <f t="shared" si="25"/>
        <v>52000</v>
      </c>
      <c r="Q554">
        <f t="shared" si="26"/>
        <v>-5200</v>
      </c>
      <c r="R554" t="s">
        <v>43</v>
      </c>
      <c r="S554" t="s">
        <v>49</v>
      </c>
    </row>
    <row r="555" spans="1:19" ht="18" x14ac:dyDescent="0.5">
      <c r="A555" t="s">
        <v>625</v>
      </c>
      <c r="B555" t="s">
        <v>1624</v>
      </c>
      <c r="C555" s="6">
        <v>45841</v>
      </c>
      <c r="D555" t="s">
        <v>63</v>
      </c>
      <c r="E555" t="s">
        <v>2106</v>
      </c>
      <c r="F555" t="str">
        <f>_xlfn.XLOOKUP(E555,Table8[City],Table8[State])</f>
        <v>West Bengal</v>
      </c>
      <c r="G555" t="str">
        <f>_xlfn.XLOOKUP(E555,Table8[City],Table8[Region])</f>
        <v>East</v>
      </c>
      <c r="H555" t="s">
        <v>26</v>
      </c>
      <c r="I555" t="str">
        <f>_xlfn.XLOOKUP(H555,Table6[Product],Table6[Category])</f>
        <v>Office</v>
      </c>
      <c r="J555" t="s">
        <v>62</v>
      </c>
      <c r="K555">
        <v>9</v>
      </c>
      <c r="L555">
        <f>_xlfn.XLOOKUP(H555,Table6[Product],Table6[Unit Price])</f>
        <v>15000</v>
      </c>
      <c r="M555">
        <f>_xlfn.XLOOKUP(H555,Table6[Product],Table6[Cost Price])</f>
        <v>11500</v>
      </c>
      <c r="N555" s="7">
        <v>0.3</v>
      </c>
      <c r="O555">
        <f t="shared" si="24"/>
        <v>94500</v>
      </c>
      <c r="P555">
        <f t="shared" si="25"/>
        <v>103500</v>
      </c>
      <c r="Q555">
        <f t="shared" si="26"/>
        <v>-9000</v>
      </c>
      <c r="R555" t="s">
        <v>43</v>
      </c>
      <c r="S555" t="s">
        <v>51</v>
      </c>
    </row>
    <row r="556" spans="1:19" ht="18" x14ac:dyDescent="0.5">
      <c r="A556" t="s">
        <v>626</v>
      </c>
      <c r="B556" t="s">
        <v>1625</v>
      </c>
      <c r="C556" s="6">
        <v>45678</v>
      </c>
      <c r="D556" t="s">
        <v>2083</v>
      </c>
      <c r="E556" t="s">
        <v>2079</v>
      </c>
      <c r="F556" t="str">
        <f>_xlfn.XLOOKUP(E556,Table8[City],Table8[State])</f>
        <v>Gujarat</v>
      </c>
      <c r="G556" t="str">
        <f>_xlfn.XLOOKUP(E556,Table8[City],Table8[Region])</f>
        <v>West</v>
      </c>
      <c r="H556" t="s">
        <v>16</v>
      </c>
      <c r="I556" t="str">
        <f>_xlfn.XLOOKUP(H556,Table6[Product],Table6[Category])</f>
        <v>Electronics</v>
      </c>
      <c r="J556" t="s">
        <v>63</v>
      </c>
      <c r="K556">
        <v>7</v>
      </c>
      <c r="L556">
        <f>_xlfn.XLOOKUP(H556,Table6[Product],Table6[Unit Price])</f>
        <v>65000</v>
      </c>
      <c r="M556">
        <f>_xlfn.XLOOKUP(H556,Table6[Product],Table6[Cost Price])</f>
        <v>52000</v>
      </c>
      <c r="N556" s="7">
        <v>0.12</v>
      </c>
      <c r="O556">
        <f t="shared" si="24"/>
        <v>400400</v>
      </c>
      <c r="P556">
        <f t="shared" si="25"/>
        <v>364000</v>
      </c>
      <c r="Q556">
        <f t="shared" si="26"/>
        <v>36400</v>
      </c>
      <c r="R556" t="s">
        <v>45</v>
      </c>
      <c r="S556" t="s">
        <v>50</v>
      </c>
    </row>
    <row r="557" spans="1:19" ht="18" x14ac:dyDescent="0.5">
      <c r="A557" t="s">
        <v>627</v>
      </c>
      <c r="B557" t="s">
        <v>1626</v>
      </c>
      <c r="C557" s="6">
        <v>45401</v>
      </c>
      <c r="D557" t="s">
        <v>2087</v>
      </c>
      <c r="E557" t="s">
        <v>2104</v>
      </c>
      <c r="F557" t="str">
        <f>_xlfn.XLOOKUP(E557,Table8[City],Table8[State])</f>
        <v>Delhi</v>
      </c>
      <c r="G557" t="str">
        <f>_xlfn.XLOOKUP(E557,Table8[City],Table8[Region])</f>
        <v>North</v>
      </c>
      <c r="H557" t="s">
        <v>19</v>
      </c>
      <c r="I557" t="str">
        <f>_xlfn.XLOOKUP(H557,Table6[Product],Table6[Category])</f>
        <v>Electronics</v>
      </c>
      <c r="J557" t="s">
        <v>61</v>
      </c>
      <c r="K557">
        <v>6</v>
      </c>
      <c r="L557">
        <f>_xlfn.XLOOKUP(H557,Table6[Product],Table6[Unit Price])</f>
        <v>25000</v>
      </c>
      <c r="M557">
        <f>_xlfn.XLOOKUP(H557,Table6[Product],Table6[Cost Price])</f>
        <v>20000</v>
      </c>
      <c r="N557" s="7">
        <v>0.28000000000000003</v>
      </c>
      <c r="O557">
        <f t="shared" si="24"/>
        <v>108000</v>
      </c>
      <c r="P557">
        <f t="shared" si="25"/>
        <v>120000</v>
      </c>
      <c r="Q557">
        <f t="shared" si="26"/>
        <v>-12000</v>
      </c>
      <c r="R557" t="s">
        <v>44</v>
      </c>
      <c r="S557" t="s">
        <v>51</v>
      </c>
    </row>
    <row r="558" spans="1:19" ht="18" x14ac:dyDescent="0.5">
      <c r="A558" t="s">
        <v>628</v>
      </c>
      <c r="B558" t="s">
        <v>1627</v>
      </c>
      <c r="C558" s="6">
        <v>45567</v>
      </c>
      <c r="D558" t="s">
        <v>2091</v>
      </c>
      <c r="E558" t="s">
        <v>2073</v>
      </c>
      <c r="F558" t="str">
        <f>_xlfn.XLOOKUP(E558,Table8[City],Table8[State])</f>
        <v>Maharashtra</v>
      </c>
      <c r="G558" t="str">
        <f>_xlfn.XLOOKUP(E558,Table8[City],Table8[Region])</f>
        <v>West</v>
      </c>
      <c r="H558" t="s">
        <v>29</v>
      </c>
      <c r="I558" t="str">
        <f>_xlfn.XLOOKUP(H558,Table6[Product],Table6[Category])</f>
        <v>Electronics</v>
      </c>
      <c r="J558" t="s">
        <v>58</v>
      </c>
      <c r="K558">
        <v>4</v>
      </c>
      <c r="L558">
        <f>_xlfn.XLOOKUP(H558,Table6[Product],Table6[Unit Price])</f>
        <v>5000</v>
      </c>
      <c r="M558">
        <f>_xlfn.XLOOKUP(H558,Table6[Product],Table6[Cost Price])</f>
        <v>3200</v>
      </c>
      <c r="N558" s="7">
        <v>0.15</v>
      </c>
      <c r="O558">
        <f t="shared" si="24"/>
        <v>17000</v>
      </c>
      <c r="P558">
        <f t="shared" si="25"/>
        <v>12800</v>
      </c>
      <c r="Q558">
        <f t="shared" si="26"/>
        <v>4200</v>
      </c>
      <c r="R558" t="s">
        <v>47</v>
      </c>
      <c r="S558" t="s">
        <v>51</v>
      </c>
    </row>
    <row r="559" spans="1:19" ht="18" x14ac:dyDescent="0.5">
      <c r="A559" t="s">
        <v>629</v>
      </c>
      <c r="B559" t="s">
        <v>1628</v>
      </c>
      <c r="C559" s="6">
        <v>45779</v>
      </c>
      <c r="D559" t="s">
        <v>59</v>
      </c>
      <c r="E559" t="s">
        <v>2104</v>
      </c>
      <c r="F559" t="str">
        <f>_xlfn.XLOOKUP(E559,Table8[City],Table8[State])</f>
        <v>Delhi</v>
      </c>
      <c r="G559" t="str">
        <f>_xlfn.XLOOKUP(E559,Table8[City],Table8[Region])</f>
        <v>North</v>
      </c>
      <c r="H559" t="s">
        <v>26</v>
      </c>
      <c r="I559" t="str">
        <f>_xlfn.XLOOKUP(H559,Table6[Product],Table6[Category])</f>
        <v>Office</v>
      </c>
      <c r="J559" t="s">
        <v>59</v>
      </c>
      <c r="K559">
        <v>1</v>
      </c>
      <c r="L559">
        <f>_xlfn.XLOOKUP(H559,Table6[Product],Table6[Unit Price])</f>
        <v>15000</v>
      </c>
      <c r="M559">
        <f>_xlfn.XLOOKUP(H559,Table6[Product],Table6[Cost Price])</f>
        <v>11500</v>
      </c>
      <c r="N559" s="7">
        <v>7.0000000000000007E-2</v>
      </c>
      <c r="O559">
        <f t="shared" si="24"/>
        <v>13949.999999999998</v>
      </c>
      <c r="P559">
        <f t="shared" si="25"/>
        <v>11500</v>
      </c>
      <c r="Q559">
        <f t="shared" si="26"/>
        <v>2449.9999999999982</v>
      </c>
      <c r="R559" t="s">
        <v>43</v>
      </c>
      <c r="S559" t="s">
        <v>51</v>
      </c>
    </row>
    <row r="560" spans="1:19" ht="18" x14ac:dyDescent="0.5">
      <c r="A560" t="s">
        <v>630</v>
      </c>
      <c r="B560" t="s">
        <v>1629</v>
      </c>
      <c r="C560" s="6">
        <v>45722</v>
      </c>
      <c r="D560" t="s">
        <v>63</v>
      </c>
      <c r="E560" t="s">
        <v>2105</v>
      </c>
      <c r="F560" t="str">
        <f>_xlfn.XLOOKUP(E560,Table8[City],Table8[State])</f>
        <v>Rajasthan</v>
      </c>
      <c r="G560" t="str">
        <f>_xlfn.XLOOKUP(E560,Table8[City],Table8[Region])</f>
        <v>North</v>
      </c>
      <c r="H560" t="s">
        <v>26</v>
      </c>
      <c r="I560" t="str">
        <f>_xlfn.XLOOKUP(H560,Table6[Product],Table6[Category])</f>
        <v>Office</v>
      </c>
      <c r="J560" t="s">
        <v>59</v>
      </c>
      <c r="K560">
        <v>4</v>
      </c>
      <c r="L560">
        <f>_xlfn.XLOOKUP(H560,Table6[Product],Table6[Unit Price])</f>
        <v>15000</v>
      </c>
      <c r="M560">
        <f>_xlfn.XLOOKUP(H560,Table6[Product],Table6[Cost Price])</f>
        <v>11500</v>
      </c>
      <c r="N560" s="7">
        <v>0.18</v>
      </c>
      <c r="O560">
        <f t="shared" si="24"/>
        <v>49200.000000000007</v>
      </c>
      <c r="P560">
        <f t="shared" si="25"/>
        <v>46000</v>
      </c>
      <c r="Q560">
        <f t="shared" si="26"/>
        <v>3200.0000000000073</v>
      </c>
      <c r="R560" t="s">
        <v>47</v>
      </c>
      <c r="S560" t="s">
        <v>52</v>
      </c>
    </row>
    <row r="561" spans="1:19" ht="18" x14ac:dyDescent="0.5">
      <c r="A561" t="s">
        <v>631</v>
      </c>
      <c r="B561" t="s">
        <v>1630</v>
      </c>
      <c r="C561" s="6">
        <v>45796</v>
      </c>
      <c r="D561" t="s">
        <v>2086</v>
      </c>
      <c r="E561" t="s">
        <v>2105</v>
      </c>
      <c r="F561" t="str">
        <f>_xlfn.XLOOKUP(E561,Table8[City],Table8[State])</f>
        <v>Rajasthan</v>
      </c>
      <c r="G561" t="str">
        <f>_xlfn.XLOOKUP(E561,Table8[City],Table8[Region])</f>
        <v>North</v>
      </c>
      <c r="H561" t="s">
        <v>24</v>
      </c>
      <c r="I561" t="str">
        <f>_xlfn.XLOOKUP(H561,Table6[Product],Table6[Category])</f>
        <v>Accessories</v>
      </c>
      <c r="J561" t="s">
        <v>54</v>
      </c>
      <c r="K561">
        <v>10</v>
      </c>
      <c r="L561">
        <f>_xlfn.XLOOKUP(H561,Table6[Product],Table6[Unit Price])</f>
        <v>1500</v>
      </c>
      <c r="M561">
        <f>_xlfn.XLOOKUP(H561,Table6[Product],Table6[Cost Price])</f>
        <v>900</v>
      </c>
      <c r="N561" s="7">
        <v>0.26</v>
      </c>
      <c r="O561">
        <f t="shared" si="24"/>
        <v>11100</v>
      </c>
      <c r="P561">
        <f t="shared" si="25"/>
        <v>9000</v>
      </c>
      <c r="Q561">
        <f t="shared" si="26"/>
        <v>2100</v>
      </c>
      <c r="R561" t="s">
        <v>43</v>
      </c>
      <c r="S561" t="s">
        <v>51</v>
      </c>
    </row>
    <row r="562" spans="1:19" ht="18" x14ac:dyDescent="0.5">
      <c r="A562" t="s">
        <v>632</v>
      </c>
      <c r="B562" t="s">
        <v>1631</v>
      </c>
      <c r="C562" s="6">
        <v>45648</v>
      </c>
      <c r="D562" t="s">
        <v>2099</v>
      </c>
      <c r="E562" t="s">
        <v>2104</v>
      </c>
      <c r="F562" t="str">
        <f>_xlfn.XLOOKUP(E562,Table8[City],Table8[State])</f>
        <v>Delhi</v>
      </c>
      <c r="G562" t="str">
        <f>_xlfn.XLOOKUP(E562,Table8[City],Table8[Region])</f>
        <v>North</v>
      </c>
      <c r="H562" t="s">
        <v>28</v>
      </c>
      <c r="I562" t="str">
        <f>_xlfn.XLOOKUP(H562,Table6[Product],Table6[Category])</f>
        <v>Office</v>
      </c>
      <c r="J562" t="s">
        <v>60</v>
      </c>
      <c r="K562">
        <v>6</v>
      </c>
      <c r="L562">
        <f>_xlfn.XLOOKUP(H562,Table6[Product],Table6[Unit Price])</f>
        <v>18000</v>
      </c>
      <c r="M562">
        <f>_xlfn.XLOOKUP(H562,Table6[Product],Table6[Cost Price])</f>
        <v>14000</v>
      </c>
      <c r="N562" s="7">
        <v>0.21</v>
      </c>
      <c r="O562">
        <f t="shared" si="24"/>
        <v>85320</v>
      </c>
      <c r="P562">
        <f t="shared" si="25"/>
        <v>84000</v>
      </c>
      <c r="Q562">
        <f t="shared" si="26"/>
        <v>1320</v>
      </c>
      <c r="R562" t="s">
        <v>47</v>
      </c>
      <c r="S562" t="s">
        <v>49</v>
      </c>
    </row>
    <row r="563" spans="1:19" ht="18" x14ac:dyDescent="0.5">
      <c r="A563" t="s">
        <v>633</v>
      </c>
      <c r="B563" t="s">
        <v>1632</v>
      </c>
      <c r="C563" s="6">
        <v>45615</v>
      </c>
      <c r="D563" t="s">
        <v>2088</v>
      </c>
      <c r="E563" t="s">
        <v>2105</v>
      </c>
      <c r="F563" t="str">
        <f>_xlfn.XLOOKUP(E563,Table8[City],Table8[State])</f>
        <v>Rajasthan</v>
      </c>
      <c r="G563" t="str">
        <f>_xlfn.XLOOKUP(E563,Table8[City],Table8[Region])</f>
        <v>North</v>
      </c>
      <c r="H563" t="s">
        <v>19</v>
      </c>
      <c r="I563" t="str">
        <f>_xlfn.XLOOKUP(H563,Table6[Product],Table6[Category])</f>
        <v>Electronics</v>
      </c>
      <c r="J563" t="s">
        <v>54</v>
      </c>
      <c r="K563">
        <v>7</v>
      </c>
      <c r="L563">
        <f>_xlfn.XLOOKUP(H563,Table6[Product],Table6[Unit Price])</f>
        <v>25000</v>
      </c>
      <c r="M563">
        <f>_xlfn.XLOOKUP(H563,Table6[Product],Table6[Cost Price])</f>
        <v>20000</v>
      </c>
      <c r="N563" s="7">
        <v>0</v>
      </c>
      <c r="O563">
        <f t="shared" si="24"/>
        <v>175000</v>
      </c>
      <c r="P563">
        <f t="shared" si="25"/>
        <v>140000</v>
      </c>
      <c r="Q563">
        <f t="shared" si="26"/>
        <v>35000</v>
      </c>
      <c r="R563" t="s">
        <v>47</v>
      </c>
      <c r="S563" t="s">
        <v>49</v>
      </c>
    </row>
    <row r="564" spans="1:19" ht="18" x14ac:dyDescent="0.5">
      <c r="A564" t="s">
        <v>634</v>
      </c>
      <c r="B564" t="s">
        <v>1633</v>
      </c>
      <c r="C564" s="6">
        <v>45295</v>
      </c>
      <c r="D564" t="s">
        <v>2091</v>
      </c>
      <c r="E564" t="s">
        <v>2076</v>
      </c>
      <c r="F564" t="str">
        <f>_xlfn.XLOOKUP(E564,Table8[City],Table8[State])</f>
        <v>Tamil Nadu</v>
      </c>
      <c r="G564" t="str">
        <f>_xlfn.XLOOKUP(E564,Table8[City],Table8[Region])</f>
        <v>South</v>
      </c>
      <c r="H564" t="s">
        <v>16</v>
      </c>
      <c r="I564" t="str">
        <f>_xlfn.XLOOKUP(H564,Table6[Product],Table6[Category])</f>
        <v>Electronics</v>
      </c>
      <c r="J564" t="s">
        <v>56</v>
      </c>
      <c r="K564">
        <v>1</v>
      </c>
      <c r="L564">
        <f>_xlfn.XLOOKUP(H564,Table6[Product],Table6[Unit Price])</f>
        <v>65000</v>
      </c>
      <c r="M564">
        <f>_xlfn.XLOOKUP(H564,Table6[Product],Table6[Cost Price])</f>
        <v>52000</v>
      </c>
      <c r="N564" s="7">
        <v>0.17</v>
      </c>
      <c r="O564">
        <f t="shared" si="24"/>
        <v>53950</v>
      </c>
      <c r="P564">
        <f t="shared" si="25"/>
        <v>52000</v>
      </c>
      <c r="Q564">
        <f t="shared" si="26"/>
        <v>1950</v>
      </c>
      <c r="R564" t="s">
        <v>44</v>
      </c>
      <c r="S564" t="s">
        <v>50</v>
      </c>
    </row>
    <row r="565" spans="1:19" ht="18" x14ac:dyDescent="0.5">
      <c r="A565" t="s">
        <v>635</v>
      </c>
      <c r="B565" t="s">
        <v>1634</v>
      </c>
      <c r="C565" s="6">
        <v>45728</v>
      </c>
      <c r="D565" t="s">
        <v>2085</v>
      </c>
      <c r="E565" t="s">
        <v>70</v>
      </c>
      <c r="F565" t="str">
        <f>_xlfn.XLOOKUP(E565,Table8[City],Table8[State])</f>
        <v>Karnataka</v>
      </c>
      <c r="G565" t="str">
        <f>_xlfn.XLOOKUP(E565,Table8[City],Table8[Region])</f>
        <v>South</v>
      </c>
      <c r="H565" t="s">
        <v>29</v>
      </c>
      <c r="I565" t="str">
        <f>_xlfn.XLOOKUP(H565,Table6[Product],Table6[Category])</f>
        <v>Electronics</v>
      </c>
      <c r="J565" t="s">
        <v>57</v>
      </c>
      <c r="K565">
        <v>10</v>
      </c>
      <c r="L565">
        <f>_xlfn.XLOOKUP(H565,Table6[Product],Table6[Unit Price])</f>
        <v>5000</v>
      </c>
      <c r="M565">
        <f>_xlfn.XLOOKUP(H565,Table6[Product],Table6[Cost Price])</f>
        <v>3200</v>
      </c>
      <c r="N565" s="7">
        <v>0.24</v>
      </c>
      <c r="O565">
        <f t="shared" si="24"/>
        <v>38000</v>
      </c>
      <c r="P565">
        <f t="shared" si="25"/>
        <v>32000</v>
      </c>
      <c r="Q565">
        <f t="shared" si="26"/>
        <v>6000</v>
      </c>
      <c r="R565" t="s">
        <v>44</v>
      </c>
      <c r="S565" t="s">
        <v>52</v>
      </c>
    </row>
    <row r="566" spans="1:19" ht="18" x14ac:dyDescent="0.5">
      <c r="A566" t="s">
        <v>636</v>
      </c>
      <c r="B566" t="s">
        <v>1635</v>
      </c>
      <c r="C566" s="6">
        <v>45568</v>
      </c>
      <c r="D566" t="s">
        <v>2088</v>
      </c>
      <c r="E566" t="s">
        <v>2073</v>
      </c>
      <c r="F566" t="str">
        <f>_xlfn.XLOOKUP(E566,Table8[City],Table8[State])</f>
        <v>Maharashtra</v>
      </c>
      <c r="G566" t="str">
        <f>_xlfn.XLOOKUP(E566,Table8[City],Table8[Region])</f>
        <v>West</v>
      </c>
      <c r="H566" t="s">
        <v>18</v>
      </c>
      <c r="I566" t="str">
        <f>_xlfn.XLOOKUP(H566,Table6[Product],Table6[Category])</f>
        <v>Electronics</v>
      </c>
      <c r="J566" t="s">
        <v>57</v>
      </c>
      <c r="K566">
        <v>7</v>
      </c>
      <c r="L566">
        <f>_xlfn.XLOOKUP(H566,Table6[Product],Table6[Unit Price])</f>
        <v>35000</v>
      </c>
      <c r="M566">
        <f>_xlfn.XLOOKUP(H566,Table6[Product],Table6[Cost Price])</f>
        <v>28000</v>
      </c>
      <c r="N566" s="7">
        <v>0.05</v>
      </c>
      <c r="O566">
        <f t="shared" si="24"/>
        <v>232750</v>
      </c>
      <c r="P566">
        <f t="shared" si="25"/>
        <v>196000</v>
      </c>
      <c r="Q566">
        <f t="shared" si="26"/>
        <v>36750</v>
      </c>
      <c r="R566" t="s">
        <v>44</v>
      </c>
      <c r="S566" t="s">
        <v>49</v>
      </c>
    </row>
    <row r="567" spans="1:19" ht="18" x14ac:dyDescent="0.5">
      <c r="A567" t="s">
        <v>637</v>
      </c>
      <c r="B567" t="s">
        <v>1636</v>
      </c>
      <c r="C567" s="6">
        <v>45328</v>
      </c>
      <c r="D567" t="s">
        <v>2098</v>
      </c>
      <c r="E567" t="s">
        <v>2080</v>
      </c>
      <c r="F567" t="str">
        <f>_xlfn.XLOOKUP(E567,Table8[City],Table8[State])</f>
        <v>Gujarat</v>
      </c>
      <c r="G567" t="str">
        <f>_xlfn.XLOOKUP(E567,Table8[City],Table8[Region])</f>
        <v>West</v>
      </c>
      <c r="H567" t="s">
        <v>16</v>
      </c>
      <c r="I567" t="str">
        <f>_xlfn.XLOOKUP(H567,Table6[Product],Table6[Category])</f>
        <v>Electronics</v>
      </c>
      <c r="J567" t="s">
        <v>55</v>
      </c>
      <c r="K567">
        <v>9</v>
      </c>
      <c r="L567">
        <f>_xlfn.XLOOKUP(H567,Table6[Product],Table6[Unit Price])</f>
        <v>65000</v>
      </c>
      <c r="M567">
        <f>_xlfn.XLOOKUP(H567,Table6[Product],Table6[Cost Price])</f>
        <v>52000</v>
      </c>
      <c r="N567" s="7">
        <v>0.19</v>
      </c>
      <c r="O567">
        <f t="shared" si="24"/>
        <v>473850.00000000006</v>
      </c>
      <c r="P567">
        <f t="shared" si="25"/>
        <v>468000</v>
      </c>
      <c r="Q567">
        <f t="shared" si="26"/>
        <v>5850.0000000000582</v>
      </c>
      <c r="R567" t="s">
        <v>46</v>
      </c>
      <c r="S567" t="s">
        <v>51</v>
      </c>
    </row>
    <row r="568" spans="1:19" ht="18" x14ac:dyDescent="0.5">
      <c r="A568" t="s">
        <v>638</v>
      </c>
      <c r="B568" t="s">
        <v>1637</v>
      </c>
      <c r="C568" s="6">
        <v>45984</v>
      </c>
      <c r="D568" t="s">
        <v>59</v>
      </c>
      <c r="E568" t="s">
        <v>2079</v>
      </c>
      <c r="F568" t="str">
        <f>_xlfn.XLOOKUP(E568,Table8[City],Table8[State])</f>
        <v>Gujarat</v>
      </c>
      <c r="G568" t="str">
        <f>_xlfn.XLOOKUP(E568,Table8[City],Table8[Region])</f>
        <v>West</v>
      </c>
      <c r="H568" t="s">
        <v>28</v>
      </c>
      <c r="I568" t="str">
        <f>_xlfn.XLOOKUP(H568,Table6[Product],Table6[Category])</f>
        <v>Office</v>
      </c>
      <c r="J568" t="s">
        <v>54</v>
      </c>
      <c r="K568">
        <v>8</v>
      </c>
      <c r="L568">
        <f>_xlfn.XLOOKUP(H568,Table6[Product],Table6[Unit Price])</f>
        <v>18000</v>
      </c>
      <c r="M568">
        <f>_xlfn.XLOOKUP(H568,Table6[Product],Table6[Cost Price])</f>
        <v>14000</v>
      </c>
      <c r="N568" s="7">
        <v>0.01</v>
      </c>
      <c r="O568">
        <f t="shared" si="24"/>
        <v>142560</v>
      </c>
      <c r="P568">
        <f t="shared" si="25"/>
        <v>112000</v>
      </c>
      <c r="Q568">
        <f t="shared" si="26"/>
        <v>30560</v>
      </c>
      <c r="R568" t="s">
        <v>46</v>
      </c>
      <c r="S568" t="s">
        <v>51</v>
      </c>
    </row>
    <row r="569" spans="1:19" ht="18" x14ac:dyDescent="0.5">
      <c r="A569" t="s">
        <v>639</v>
      </c>
      <c r="B569" t="s">
        <v>1638</v>
      </c>
      <c r="C569" s="6">
        <v>45448</v>
      </c>
      <c r="D569" t="s">
        <v>59</v>
      </c>
      <c r="E569" t="s">
        <v>2105</v>
      </c>
      <c r="F569" t="str">
        <f>_xlfn.XLOOKUP(E569,Table8[City],Table8[State])</f>
        <v>Rajasthan</v>
      </c>
      <c r="G569" t="str">
        <f>_xlfn.XLOOKUP(E569,Table8[City],Table8[Region])</f>
        <v>North</v>
      </c>
      <c r="H569" t="s">
        <v>19</v>
      </c>
      <c r="I569" t="str">
        <f>_xlfn.XLOOKUP(H569,Table6[Product],Table6[Category])</f>
        <v>Electronics</v>
      </c>
      <c r="J569" t="s">
        <v>54</v>
      </c>
      <c r="K569">
        <v>3</v>
      </c>
      <c r="L569">
        <f>_xlfn.XLOOKUP(H569,Table6[Product],Table6[Unit Price])</f>
        <v>25000</v>
      </c>
      <c r="M569">
        <f>_xlfn.XLOOKUP(H569,Table6[Product],Table6[Cost Price])</f>
        <v>20000</v>
      </c>
      <c r="N569" s="7">
        <v>0.3</v>
      </c>
      <c r="O569">
        <f t="shared" si="24"/>
        <v>52500</v>
      </c>
      <c r="P569">
        <f t="shared" si="25"/>
        <v>60000</v>
      </c>
      <c r="Q569">
        <f t="shared" si="26"/>
        <v>-7500</v>
      </c>
      <c r="R569" t="s">
        <v>44</v>
      </c>
      <c r="S569" t="s">
        <v>52</v>
      </c>
    </row>
    <row r="570" spans="1:19" ht="18" x14ac:dyDescent="0.5">
      <c r="A570" t="s">
        <v>640</v>
      </c>
      <c r="B570" t="s">
        <v>1639</v>
      </c>
      <c r="C570" s="6">
        <v>45335</v>
      </c>
      <c r="D570" t="s">
        <v>2099</v>
      </c>
      <c r="E570" t="s">
        <v>2079</v>
      </c>
      <c r="F570" t="str">
        <f>_xlfn.XLOOKUP(E570,Table8[City],Table8[State])</f>
        <v>Gujarat</v>
      </c>
      <c r="G570" t="str">
        <f>_xlfn.XLOOKUP(E570,Table8[City],Table8[Region])</f>
        <v>West</v>
      </c>
      <c r="H570" t="s">
        <v>26</v>
      </c>
      <c r="I570" t="str">
        <f>_xlfn.XLOOKUP(H570,Table6[Product],Table6[Category])</f>
        <v>Office</v>
      </c>
      <c r="J570" t="s">
        <v>62</v>
      </c>
      <c r="K570">
        <v>8</v>
      </c>
      <c r="L570">
        <f>_xlfn.XLOOKUP(H570,Table6[Product],Table6[Unit Price])</f>
        <v>15000</v>
      </c>
      <c r="M570">
        <f>_xlfn.XLOOKUP(H570,Table6[Product],Table6[Cost Price])</f>
        <v>11500</v>
      </c>
      <c r="N570" s="7">
        <v>0.23</v>
      </c>
      <c r="O570">
        <f t="shared" si="24"/>
        <v>92400</v>
      </c>
      <c r="P570">
        <f t="shared" si="25"/>
        <v>92000</v>
      </c>
      <c r="Q570">
        <f t="shared" si="26"/>
        <v>400</v>
      </c>
      <c r="R570" t="s">
        <v>43</v>
      </c>
      <c r="S570" t="s">
        <v>49</v>
      </c>
    </row>
    <row r="571" spans="1:19" ht="18" x14ac:dyDescent="0.5">
      <c r="A571" t="s">
        <v>641</v>
      </c>
      <c r="B571" t="s">
        <v>1640</v>
      </c>
      <c r="C571" s="6">
        <v>45530</v>
      </c>
      <c r="D571" t="s">
        <v>2092</v>
      </c>
      <c r="E571" t="s">
        <v>2105</v>
      </c>
      <c r="F571" t="str">
        <f>_xlfn.XLOOKUP(E571,Table8[City],Table8[State])</f>
        <v>Rajasthan</v>
      </c>
      <c r="G571" t="str">
        <f>_xlfn.XLOOKUP(E571,Table8[City],Table8[Region])</f>
        <v>North</v>
      </c>
      <c r="H571" t="s">
        <v>19</v>
      </c>
      <c r="I571" t="str">
        <f>_xlfn.XLOOKUP(H571,Table6[Product],Table6[Category])</f>
        <v>Electronics</v>
      </c>
      <c r="J571" t="s">
        <v>63</v>
      </c>
      <c r="K571">
        <v>10</v>
      </c>
      <c r="L571">
        <f>_xlfn.XLOOKUP(H571,Table6[Product],Table6[Unit Price])</f>
        <v>25000</v>
      </c>
      <c r="M571">
        <f>_xlfn.XLOOKUP(H571,Table6[Product],Table6[Cost Price])</f>
        <v>20000</v>
      </c>
      <c r="N571" s="7">
        <v>0.04</v>
      </c>
      <c r="O571">
        <f t="shared" si="24"/>
        <v>240000</v>
      </c>
      <c r="P571">
        <f t="shared" si="25"/>
        <v>200000</v>
      </c>
      <c r="Q571">
        <f t="shared" si="26"/>
        <v>40000</v>
      </c>
      <c r="R571" t="s">
        <v>46</v>
      </c>
      <c r="S571" t="s">
        <v>49</v>
      </c>
    </row>
    <row r="572" spans="1:19" ht="18" x14ac:dyDescent="0.5">
      <c r="A572" t="s">
        <v>642</v>
      </c>
      <c r="B572" t="s">
        <v>1641</v>
      </c>
      <c r="C572" s="6">
        <v>45738</v>
      </c>
      <c r="D572" t="s">
        <v>2094</v>
      </c>
      <c r="E572" t="s">
        <v>2074</v>
      </c>
      <c r="F572" t="str">
        <f>_xlfn.XLOOKUP(E572,Table8[City],Table8[State])</f>
        <v>Maharashtra</v>
      </c>
      <c r="G572" t="str">
        <f>_xlfn.XLOOKUP(E572,Table8[City],Table8[Region])</f>
        <v>West</v>
      </c>
      <c r="H572" t="s">
        <v>16</v>
      </c>
      <c r="I572" t="str">
        <f>_xlfn.XLOOKUP(H572,Table6[Product],Table6[Category])</f>
        <v>Electronics</v>
      </c>
      <c r="J572" t="s">
        <v>59</v>
      </c>
      <c r="K572">
        <v>2</v>
      </c>
      <c r="L572">
        <f>_xlfn.XLOOKUP(H572,Table6[Product],Table6[Unit Price])</f>
        <v>65000</v>
      </c>
      <c r="M572">
        <f>_xlfn.XLOOKUP(H572,Table6[Product],Table6[Cost Price])</f>
        <v>52000</v>
      </c>
      <c r="N572" s="7">
        <v>0.11</v>
      </c>
      <c r="O572">
        <f t="shared" si="24"/>
        <v>115700</v>
      </c>
      <c r="P572">
        <f t="shared" si="25"/>
        <v>104000</v>
      </c>
      <c r="Q572">
        <f t="shared" si="26"/>
        <v>11700</v>
      </c>
      <c r="R572" t="s">
        <v>46</v>
      </c>
      <c r="S572" t="s">
        <v>50</v>
      </c>
    </row>
    <row r="573" spans="1:19" ht="18" x14ac:dyDescent="0.5">
      <c r="A573" t="s">
        <v>643</v>
      </c>
      <c r="B573" t="s">
        <v>1642</v>
      </c>
      <c r="C573" s="6">
        <v>46000</v>
      </c>
      <c r="D573" t="s">
        <v>2097</v>
      </c>
      <c r="E573" t="s">
        <v>2076</v>
      </c>
      <c r="F573" t="str">
        <f>_xlfn.XLOOKUP(E573,Table8[City],Table8[State])</f>
        <v>Tamil Nadu</v>
      </c>
      <c r="G573" t="str">
        <f>_xlfn.XLOOKUP(E573,Table8[City],Table8[Region])</f>
        <v>South</v>
      </c>
      <c r="H573" t="s">
        <v>28</v>
      </c>
      <c r="I573" t="str">
        <f>_xlfn.XLOOKUP(H573,Table6[Product],Table6[Category])</f>
        <v>Office</v>
      </c>
      <c r="J573" t="s">
        <v>62</v>
      </c>
      <c r="K573">
        <v>6</v>
      </c>
      <c r="L573">
        <f>_xlfn.XLOOKUP(H573,Table6[Product],Table6[Unit Price])</f>
        <v>18000</v>
      </c>
      <c r="M573">
        <f>_xlfn.XLOOKUP(H573,Table6[Product],Table6[Cost Price])</f>
        <v>14000</v>
      </c>
      <c r="N573" s="7">
        <v>0.04</v>
      </c>
      <c r="O573">
        <f t="shared" si="24"/>
        <v>103680</v>
      </c>
      <c r="P573">
        <f t="shared" si="25"/>
        <v>84000</v>
      </c>
      <c r="Q573">
        <f t="shared" si="26"/>
        <v>19680</v>
      </c>
      <c r="R573" t="s">
        <v>45</v>
      </c>
      <c r="S573" t="s">
        <v>52</v>
      </c>
    </row>
    <row r="574" spans="1:19" ht="18" x14ac:dyDescent="0.5">
      <c r="A574" t="s">
        <v>644</v>
      </c>
      <c r="B574" t="s">
        <v>1643</v>
      </c>
      <c r="C574" s="6">
        <v>45404</v>
      </c>
      <c r="D574" t="s">
        <v>59</v>
      </c>
      <c r="E574" t="s">
        <v>2106</v>
      </c>
      <c r="F574" t="str">
        <f>_xlfn.XLOOKUP(E574,Table8[City],Table8[State])</f>
        <v>West Bengal</v>
      </c>
      <c r="G574" t="str">
        <f>_xlfn.XLOOKUP(E574,Table8[City],Table8[Region])</f>
        <v>East</v>
      </c>
      <c r="H574" t="s">
        <v>29</v>
      </c>
      <c r="I574" t="str">
        <f>_xlfn.XLOOKUP(H574,Table6[Product],Table6[Category])</f>
        <v>Electronics</v>
      </c>
      <c r="J574" t="s">
        <v>59</v>
      </c>
      <c r="K574">
        <v>7</v>
      </c>
      <c r="L574">
        <f>_xlfn.XLOOKUP(H574,Table6[Product],Table6[Unit Price])</f>
        <v>5000</v>
      </c>
      <c r="M574">
        <f>_xlfn.XLOOKUP(H574,Table6[Product],Table6[Cost Price])</f>
        <v>3200</v>
      </c>
      <c r="N574" s="7">
        <v>0.18</v>
      </c>
      <c r="O574">
        <f t="shared" si="24"/>
        <v>28700.000000000004</v>
      </c>
      <c r="P574">
        <f t="shared" si="25"/>
        <v>22400</v>
      </c>
      <c r="Q574">
        <f t="shared" si="26"/>
        <v>6300.0000000000036</v>
      </c>
      <c r="R574" t="s">
        <v>43</v>
      </c>
      <c r="S574" t="s">
        <v>50</v>
      </c>
    </row>
    <row r="575" spans="1:19" ht="18" x14ac:dyDescent="0.5">
      <c r="A575" t="s">
        <v>645</v>
      </c>
      <c r="B575" t="s">
        <v>1644</v>
      </c>
      <c r="C575" s="6">
        <v>45485</v>
      </c>
      <c r="D575" t="s">
        <v>2091</v>
      </c>
      <c r="E575" t="s">
        <v>70</v>
      </c>
      <c r="F575" t="str">
        <f>_xlfn.XLOOKUP(E575,Table8[City],Table8[State])</f>
        <v>Karnataka</v>
      </c>
      <c r="G575" t="str">
        <f>_xlfn.XLOOKUP(E575,Table8[City],Table8[Region])</f>
        <v>South</v>
      </c>
      <c r="H575" t="s">
        <v>26</v>
      </c>
      <c r="I575" t="str">
        <f>_xlfn.XLOOKUP(H575,Table6[Product],Table6[Category])</f>
        <v>Office</v>
      </c>
      <c r="J575" t="s">
        <v>54</v>
      </c>
      <c r="K575">
        <v>9</v>
      </c>
      <c r="L575">
        <f>_xlfn.XLOOKUP(H575,Table6[Product],Table6[Unit Price])</f>
        <v>15000</v>
      </c>
      <c r="M575">
        <f>_xlfn.XLOOKUP(H575,Table6[Product],Table6[Cost Price])</f>
        <v>11500</v>
      </c>
      <c r="N575" s="7">
        <v>0.1</v>
      </c>
      <c r="O575">
        <f t="shared" si="24"/>
        <v>121500</v>
      </c>
      <c r="P575">
        <f t="shared" si="25"/>
        <v>103500</v>
      </c>
      <c r="Q575">
        <f t="shared" si="26"/>
        <v>18000</v>
      </c>
      <c r="R575" t="s">
        <v>45</v>
      </c>
      <c r="S575" t="s">
        <v>50</v>
      </c>
    </row>
    <row r="576" spans="1:19" ht="18" x14ac:dyDescent="0.5">
      <c r="A576" t="s">
        <v>646</v>
      </c>
      <c r="B576" t="s">
        <v>1645</v>
      </c>
      <c r="C576" s="6">
        <v>45306</v>
      </c>
      <c r="D576" t="s">
        <v>2086</v>
      </c>
      <c r="E576" t="s">
        <v>2080</v>
      </c>
      <c r="F576" t="str">
        <f>_xlfn.XLOOKUP(E576,Table8[City],Table8[State])</f>
        <v>Gujarat</v>
      </c>
      <c r="G576" t="str">
        <f>_xlfn.XLOOKUP(E576,Table8[City],Table8[Region])</f>
        <v>West</v>
      </c>
      <c r="H576" t="s">
        <v>18</v>
      </c>
      <c r="I576" t="str">
        <f>_xlfn.XLOOKUP(H576,Table6[Product],Table6[Category])</f>
        <v>Electronics</v>
      </c>
      <c r="J576" t="s">
        <v>58</v>
      </c>
      <c r="K576">
        <v>6</v>
      </c>
      <c r="L576">
        <f>_xlfn.XLOOKUP(H576,Table6[Product],Table6[Unit Price])</f>
        <v>35000</v>
      </c>
      <c r="M576">
        <f>_xlfn.XLOOKUP(H576,Table6[Product],Table6[Cost Price])</f>
        <v>28000</v>
      </c>
      <c r="N576" s="7">
        <v>0.09</v>
      </c>
      <c r="O576">
        <f t="shared" si="24"/>
        <v>191100</v>
      </c>
      <c r="P576">
        <f t="shared" si="25"/>
        <v>168000</v>
      </c>
      <c r="Q576">
        <f t="shared" si="26"/>
        <v>23100</v>
      </c>
      <c r="R576" t="s">
        <v>47</v>
      </c>
      <c r="S576" t="s">
        <v>51</v>
      </c>
    </row>
    <row r="577" spans="1:19" ht="18" x14ac:dyDescent="0.5">
      <c r="A577" t="s">
        <v>647</v>
      </c>
      <c r="B577" t="s">
        <v>1646</v>
      </c>
      <c r="C577" s="6">
        <v>45531</v>
      </c>
      <c r="D577" t="s">
        <v>2086</v>
      </c>
      <c r="E577" t="s">
        <v>2073</v>
      </c>
      <c r="F577" t="str">
        <f>_xlfn.XLOOKUP(E577,Table8[City],Table8[State])</f>
        <v>Maharashtra</v>
      </c>
      <c r="G577" t="str">
        <f>_xlfn.XLOOKUP(E577,Table8[City],Table8[Region])</f>
        <v>West</v>
      </c>
      <c r="H577" t="s">
        <v>22</v>
      </c>
      <c r="I577" t="str">
        <f>_xlfn.XLOOKUP(H577,Table6[Product],Table6[Category])</f>
        <v>Wearables</v>
      </c>
      <c r="J577" t="s">
        <v>59</v>
      </c>
      <c r="K577">
        <v>8</v>
      </c>
      <c r="L577">
        <f>_xlfn.XLOOKUP(H577,Table6[Product],Table6[Unit Price])</f>
        <v>12000</v>
      </c>
      <c r="M577">
        <f>_xlfn.XLOOKUP(H577,Table6[Product],Table6[Cost Price])</f>
        <v>8500</v>
      </c>
      <c r="N577" s="7">
        <v>0.23</v>
      </c>
      <c r="O577">
        <f t="shared" si="24"/>
        <v>73920</v>
      </c>
      <c r="P577">
        <f t="shared" si="25"/>
        <v>68000</v>
      </c>
      <c r="Q577">
        <f t="shared" si="26"/>
        <v>5920</v>
      </c>
      <c r="R577" t="s">
        <v>45</v>
      </c>
      <c r="S577" t="s">
        <v>51</v>
      </c>
    </row>
    <row r="578" spans="1:19" ht="18" x14ac:dyDescent="0.5">
      <c r="A578" t="s">
        <v>648</v>
      </c>
      <c r="B578" t="s">
        <v>1647</v>
      </c>
      <c r="C578" s="6">
        <v>45800</v>
      </c>
      <c r="D578" t="s">
        <v>2092</v>
      </c>
      <c r="E578" t="s">
        <v>2106</v>
      </c>
      <c r="F578" t="str">
        <f>_xlfn.XLOOKUP(E578,Table8[City],Table8[State])</f>
        <v>West Bengal</v>
      </c>
      <c r="G578" t="str">
        <f>_xlfn.XLOOKUP(E578,Table8[City],Table8[Region])</f>
        <v>East</v>
      </c>
      <c r="H578" t="s">
        <v>24</v>
      </c>
      <c r="I578" t="str">
        <f>_xlfn.XLOOKUP(H578,Table6[Product],Table6[Category])</f>
        <v>Accessories</v>
      </c>
      <c r="J578" t="s">
        <v>62</v>
      </c>
      <c r="K578">
        <v>5</v>
      </c>
      <c r="L578">
        <f>_xlfn.XLOOKUP(H578,Table6[Product],Table6[Unit Price])</f>
        <v>1500</v>
      </c>
      <c r="M578">
        <f>_xlfn.XLOOKUP(H578,Table6[Product],Table6[Cost Price])</f>
        <v>900</v>
      </c>
      <c r="N578" s="7">
        <v>0.06</v>
      </c>
      <c r="O578">
        <f t="shared" si="24"/>
        <v>7050</v>
      </c>
      <c r="P578">
        <f t="shared" si="25"/>
        <v>4500</v>
      </c>
      <c r="Q578">
        <f t="shared" si="26"/>
        <v>2550</v>
      </c>
      <c r="R578" t="s">
        <v>45</v>
      </c>
      <c r="S578" t="s">
        <v>50</v>
      </c>
    </row>
    <row r="579" spans="1:19" ht="18" x14ac:dyDescent="0.5">
      <c r="A579" t="s">
        <v>649</v>
      </c>
      <c r="B579" t="s">
        <v>1648</v>
      </c>
      <c r="C579" s="6">
        <v>45471</v>
      </c>
      <c r="D579" t="s">
        <v>2099</v>
      </c>
      <c r="E579" t="s">
        <v>2078</v>
      </c>
      <c r="F579" t="str">
        <f>_xlfn.XLOOKUP(E579,Table8[City],Table8[State])</f>
        <v>Telangana</v>
      </c>
      <c r="G579" t="str">
        <f>_xlfn.XLOOKUP(E579,Table8[City],Table8[Region])</f>
        <v>South</v>
      </c>
      <c r="H579" t="s">
        <v>28</v>
      </c>
      <c r="I579" t="str">
        <f>_xlfn.XLOOKUP(H579,Table6[Product],Table6[Category])</f>
        <v>Office</v>
      </c>
      <c r="J579" t="s">
        <v>55</v>
      </c>
      <c r="K579">
        <v>9</v>
      </c>
      <c r="L579">
        <f>_xlfn.XLOOKUP(H579,Table6[Product],Table6[Unit Price])</f>
        <v>18000</v>
      </c>
      <c r="M579">
        <f>_xlfn.XLOOKUP(H579,Table6[Product],Table6[Cost Price])</f>
        <v>14000</v>
      </c>
      <c r="N579" s="7">
        <v>0.22</v>
      </c>
      <c r="O579">
        <f t="shared" ref="O579:O642" si="27">(L579*K579)*(1-N579)</f>
        <v>126360</v>
      </c>
      <c r="P579">
        <f t="shared" ref="P579:P642" si="28">M579*K579</f>
        <v>126000</v>
      </c>
      <c r="Q579">
        <f t="shared" ref="Q579:Q642" si="29">O579-P579</f>
        <v>360</v>
      </c>
      <c r="R579" t="s">
        <v>44</v>
      </c>
      <c r="S579" t="s">
        <v>49</v>
      </c>
    </row>
    <row r="580" spans="1:19" ht="18" x14ac:dyDescent="0.5">
      <c r="A580" t="s">
        <v>650</v>
      </c>
      <c r="B580" t="s">
        <v>1649</v>
      </c>
      <c r="C580" s="6">
        <v>45889</v>
      </c>
      <c r="D580" t="s">
        <v>2083</v>
      </c>
      <c r="E580" t="s">
        <v>2079</v>
      </c>
      <c r="F580" t="str">
        <f>_xlfn.XLOOKUP(E580,Table8[City],Table8[State])</f>
        <v>Gujarat</v>
      </c>
      <c r="G580" t="str">
        <f>_xlfn.XLOOKUP(E580,Table8[City],Table8[Region])</f>
        <v>West</v>
      </c>
      <c r="H580" t="s">
        <v>26</v>
      </c>
      <c r="I580" t="str">
        <f>_xlfn.XLOOKUP(H580,Table6[Product],Table6[Category])</f>
        <v>Office</v>
      </c>
      <c r="J580" t="s">
        <v>60</v>
      </c>
      <c r="K580">
        <v>10</v>
      </c>
      <c r="L580">
        <f>_xlfn.XLOOKUP(H580,Table6[Product],Table6[Unit Price])</f>
        <v>15000</v>
      </c>
      <c r="M580">
        <f>_xlfn.XLOOKUP(H580,Table6[Product],Table6[Cost Price])</f>
        <v>11500</v>
      </c>
      <c r="N580" s="7">
        <v>0.15</v>
      </c>
      <c r="O580">
        <f t="shared" si="27"/>
        <v>127500</v>
      </c>
      <c r="P580">
        <f t="shared" si="28"/>
        <v>115000</v>
      </c>
      <c r="Q580">
        <f t="shared" si="29"/>
        <v>12500</v>
      </c>
      <c r="R580" t="s">
        <v>45</v>
      </c>
      <c r="S580" t="s">
        <v>52</v>
      </c>
    </row>
    <row r="581" spans="1:19" ht="18" x14ac:dyDescent="0.5">
      <c r="A581" t="s">
        <v>651</v>
      </c>
      <c r="B581" t="s">
        <v>1650</v>
      </c>
      <c r="C581" s="6">
        <v>45638</v>
      </c>
      <c r="D581" t="s">
        <v>2097</v>
      </c>
      <c r="E581" t="s">
        <v>2104</v>
      </c>
      <c r="F581" t="str">
        <f>_xlfn.XLOOKUP(E581,Table8[City],Table8[State])</f>
        <v>Delhi</v>
      </c>
      <c r="G581" t="str">
        <f>_xlfn.XLOOKUP(E581,Table8[City],Table8[Region])</f>
        <v>North</v>
      </c>
      <c r="H581" t="s">
        <v>29</v>
      </c>
      <c r="I581" t="str">
        <f>_xlfn.XLOOKUP(H581,Table6[Product],Table6[Category])</f>
        <v>Electronics</v>
      </c>
      <c r="J581" t="s">
        <v>54</v>
      </c>
      <c r="K581">
        <v>6</v>
      </c>
      <c r="L581">
        <f>_xlfn.XLOOKUP(H581,Table6[Product],Table6[Unit Price])</f>
        <v>5000</v>
      </c>
      <c r="M581">
        <f>_xlfn.XLOOKUP(H581,Table6[Product],Table6[Cost Price])</f>
        <v>3200</v>
      </c>
      <c r="N581" s="7">
        <v>0.28999999999999998</v>
      </c>
      <c r="O581">
        <f t="shared" si="27"/>
        <v>21300</v>
      </c>
      <c r="P581">
        <f t="shared" si="28"/>
        <v>19200</v>
      </c>
      <c r="Q581">
        <f t="shared" si="29"/>
        <v>2100</v>
      </c>
      <c r="R581" t="s">
        <v>45</v>
      </c>
      <c r="S581" t="s">
        <v>51</v>
      </c>
    </row>
    <row r="582" spans="1:19" ht="18" x14ac:dyDescent="0.5">
      <c r="A582" t="s">
        <v>652</v>
      </c>
      <c r="B582" t="s">
        <v>1651</v>
      </c>
      <c r="C582" s="6">
        <v>45955</v>
      </c>
      <c r="D582" t="s">
        <v>2086</v>
      </c>
      <c r="E582" t="s">
        <v>2075</v>
      </c>
      <c r="F582" t="str">
        <f>_xlfn.XLOOKUP(E582,Table8[City],Table8[State])</f>
        <v>Tamil Nadu</v>
      </c>
      <c r="G582" t="str">
        <f>_xlfn.XLOOKUP(E582,Table8[City],Table8[Region])</f>
        <v>South</v>
      </c>
      <c r="H582" t="s">
        <v>28</v>
      </c>
      <c r="I582" t="str">
        <f>_xlfn.XLOOKUP(H582,Table6[Product],Table6[Category])</f>
        <v>Office</v>
      </c>
      <c r="J582" t="s">
        <v>62</v>
      </c>
      <c r="K582">
        <v>8</v>
      </c>
      <c r="L582">
        <f>_xlfn.XLOOKUP(H582,Table6[Product],Table6[Unit Price])</f>
        <v>18000</v>
      </c>
      <c r="M582">
        <f>_xlfn.XLOOKUP(H582,Table6[Product],Table6[Cost Price])</f>
        <v>14000</v>
      </c>
      <c r="N582" s="7">
        <v>0.25</v>
      </c>
      <c r="O582">
        <f t="shared" si="27"/>
        <v>108000</v>
      </c>
      <c r="P582">
        <f t="shared" si="28"/>
        <v>112000</v>
      </c>
      <c r="Q582">
        <f t="shared" si="29"/>
        <v>-4000</v>
      </c>
      <c r="R582" t="s">
        <v>45</v>
      </c>
      <c r="S582" t="s">
        <v>52</v>
      </c>
    </row>
    <row r="583" spans="1:19" ht="18" x14ac:dyDescent="0.5">
      <c r="A583" t="s">
        <v>653</v>
      </c>
      <c r="B583" t="s">
        <v>1652</v>
      </c>
      <c r="C583" s="6">
        <v>45847</v>
      </c>
      <c r="D583" t="s">
        <v>2083</v>
      </c>
      <c r="E583" t="s">
        <v>2079</v>
      </c>
      <c r="F583" t="str">
        <f>_xlfn.XLOOKUP(E583,Table8[City],Table8[State])</f>
        <v>Gujarat</v>
      </c>
      <c r="G583" t="str">
        <f>_xlfn.XLOOKUP(E583,Table8[City],Table8[Region])</f>
        <v>West</v>
      </c>
      <c r="H583" t="s">
        <v>29</v>
      </c>
      <c r="I583" t="str">
        <f>_xlfn.XLOOKUP(H583,Table6[Product],Table6[Category])</f>
        <v>Electronics</v>
      </c>
      <c r="J583" t="s">
        <v>63</v>
      </c>
      <c r="K583">
        <v>9</v>
      </c>
      <c r="L583">
        <f>_xlfn.XLOOKUP(H583,Table6[Product],Table6[Unit Price])</f>
        <v>5000</v>
      </c>
      <c r="M583">
        <f>_xlfn.XLOOKUP(H583,Table6[Product],Table6[Cost Price])</f>
        <v>3200</v>
      </c>
      <c r="N583" s="7">
        <v>0.11</v>
      </c>
      <c r="O583">
        <f t="shared" si="27"/>
        <v>40050</v>
      </c>
      <c r="P583">
        <f t="shared" si="28"/>
        <v>28800</v>
      </c>
      <c r="Q583">
        <f t="shared" si="29"/>
        <v>11250</v>
      </c>
      <c r="R583" t="s">
        <v>44</v>
      </c>
      <c r="S583" t="s">
        <v>49</v>
      </c>
    </row>
    <row r="584" spans="1:19" ht="18" x14ac:dyDescent="0.5">
      <c r="A584" t="s">
        <v>654</v>
      </c>
      <c r="B584" t="s">
        <v>1653</v>
      </c>
      <c r="C584" s="6">
        <v>45606</v>
      </c>
      <c r="D584" t="s">
        <v>2089</v>
      </c>
      <c r="E584" t="s">
        <v>2104</v>
      </c>
      <c r="F584" t="str">
        <f>_xlfn.XLOOKUP(E584,Table8[City],Table8[State])</f>
        <v>Delhi</v>
      </c>
      <c r="G584" t="str">
        <f>_xlfn.XLOOKUP(E584,Table8[City],Table8[Region])</f>
        <v>North</v>
      </c>
      <c r="H584" t="s">
        <v>25</v>
      </c>
      <c r="I584" t="str">
        <f>_xlfn.XLOOKUP(H584,Table6[Product],Table6[Category])</f>
        <v>Accessories</v>
      </c>
      <c r="J584" t="s">
        <v>60</v>
      </c>
      <c r="K584">
        <v>6</v>
      </c>
      <c r="L584">
        <f>_xlfn.XLOOKUP(H584,Table6[Product],Table6[Unit Price])</f>
        <v>800</v>
      </c>
      <c r="M584">
        <f>_xlfn.XLOOKUP(H584,Table6[Product],Table6[Cost Price])</f>
        <v>450</v>
      </c>
      <c r="N584" s="7">
        <v>0.24</v>
      </c>
      <c r="O584">
        <f t="shared" si="27"/>
        <v>3648</v>
      </c>
      <c r="P584">
        <f t="shared" si="28"/>
        <v>2700</v>
      </c>
      <c r="Q584">
        <f t="shared" si="29"/>
        <v>948</v>
      </c>
      <c r="R584" t="s">
        <v>45</v>
      </c>
      <c r="S584" t="s">
        <v>50</v>
      </c>
    </row>
    <row r="585" spans="1:19" ht="18" x14ac:dyDescent="0.5">
      <c r="A585" t="s">
        <v>655</v>
      </c>
      <c r="B585" t="s">
        <v>1654</v>
      </c>
      <c r="C585" s="6">
        <v>45876</v>
      </c>
      <c r="D585" t="s">
        <v>2086</v>
      </c>
      <c r="E585" t="s">
        <v>2079</v>
      </c>
      <c r="F585" t="str">
        <f>_xlfn.XLOOKUP(E585,Table8[City],Table8[State])</f>
        <v>Gujarat</v>
      </c>
      <c r="G585" t="str">
        <f>_xlfn.XLOOKUP(E585,Table8[City],Table8[Region])</f>
        <v>West</v>
      </c>
      <c r="H585" t="s">
        <v>16</v>
      </c>
      <c r="I585" t="str">
        <f>_xlfn.XLOOKUP(H585,Table6[Product],Table6[Category])</f>
        <v>Electronics</v>
      </c>
      <c r="J585" t="s">
        <v>55</v>
      </c>
      <c r="K585">
        <v>9</v>
      </c>
      <c r="L585">
        <f>_xlfn.XLOOKUP(H585,Table6[Product],Table6[Unit Price])</f>
        <v>65000</v>
      </c>
      <c r="M585">
        <f>_xlfn.XLOOKUP(H585,Table6[Product],Table6[Cost Price])</f>
        <v>52000</v>
      </c>
      <c r="N585" s="7">
        <v>0.09</v>
      </c>
      <c r="O585">
        <f t="shared" si="27"/>
        <v>532350</v>
      </c>
      <c r="P585">
        <f t="shared" si="28"/>
        <v>468000</v>
      </c>
      <c r="Q585">
        <f t="shared" si="29"/>
        <v>64350</v>
      </c>
      <c r="R585" t="s">
        <v>46</v>
      </c>
      <c r="S585" t="s">
        <v>49</v>
      </c>
    </row>
    <row r="586" spans="1:19" ht="18" x14ac:dyDescent="0.5">
      <c r="A586" t="s">
        <v>656</v>
      </c>
      <c r="B586" t="s">
        <v>1655</v>
      </c>
      <c r="C586" s="6">
        <v>45431</v>
      </c>
      <c r="D586" t="s">
        <v>69</v>
      </c>
      <c r="E586" t="s">
        <v>70</v>
      </c>
      <c r="F586" t="str">
        <f>_xlfn.XLOOKUP(E586,Table8[City],Table8[State])</f>
        <v>Karnataka</v>
      </c>
      <c r="G586" t="str">
        <f>_xlfn.XLOOKUP(E586,Table8[City],Table8[Region])</f>
        <v>South</v>
      </c>
      <c r="H586" t="s">
        <v>22</v>
      </c>
      <c r="I586" t="str">
        <f>_xlfn.XLOOKUP(H586,Table6[Product],Table6[Category])</f>
        <v>Wearables</v>
      </c>
      <c r="J586" t="s">
        <v>57</v>
      </c>
      <c r="K586">
        <v>1</v>
      </c>
      <c r="L586">
        <f>_xlfn.XLOOKUP(H586,Table6[Product],Table6[Unit Price])</f>
        <v>12000</v>
      </c>
      <c r="M586">
        <f>_xlfn.XLOOKUP(H586,Table6[Product],Table6[Cost Price])</f>
        <v>8500</v>
      </c>
      <c r="N586" s="7">
        <v>0.06</v>
      </c>
      <c r="O586">
        <f t="shared" si="27"/>
        <v>11280</v>
      </c>
      <c r="P586">
        <f t="shared" si="28"/>
        <v>8500</v>
      </c>
      <c r="Q586">
        <f t="shared" si="29"/>
        <v>2780</v>
      </c>
      <c r="R586" t="s">
        <v>46</v>
      </c>
      <c r="S586" t="s">
        <v>51</v>
      </c>
    </row>
    <row r="587" spans="1:19" ht="18" x14ac:dyDescent="0.5">
      <c r="A587" t="s">
        <v>657</v>
      </c>
      <c r="B587" t="s">
        <v>1656</v>
      </c>
      <c r="C587" s="6">
        <v>45868</v>
      </c>
      <c r="D587" t="s">
        <v>2084</v>
      </c>
      <c r="E587" t="s">
        <v>2105</v>
      </c>
      <c r="F587" t="str">
        <f>_xlfn.XLOOKUP(E587,Table8[City],Table8[State])</f>
        <v>Rajasthan</v>
      </c>
      <c r="G587" t="str">
        <f>_xlfn.XLOOKUP(E587,Table8[City],Table8[Region])</f>
        <v>North</v>
      </c>
      <c r="H587" t="s">
        <v>22</v>
      </c>
      <c r="I587" t="str">
        <f>_xlfn.XLOOKUP(H587,Table6[Product],Table6[Category])</f>
        <v>Wearables</v>
      </c>
      <c r="J587" t="s">
        <v>63</v>
      </c>
      <c r="K587">
        <v>1</v>
      </c>
      <c r="L587">
        <f>_xlfn.XLOOKUP(H587,Table6[Product],Table6[Unit Price])</f>
        <v>12000</v>
      </c>
      <c r="M587">
        <f>_xlfn.XLOOKUP(H587,Table6[Product],Table6[Cost Price])</f>
        <v>8500</v>
      </c>
      <c r="N587" s="7">
        <v>0.03</v>
      </c>
      <c r="O587">
        <f t="shared" si="27"/>
        <v>11640</v>
      </c>
      <c r="P587">
        <f t="shared" si="28"/>
        <v>8500</v>
      </c>
      <c r="Q587">
        <f t="shared" si="29"/>
        <v>3140</v>
      </c>
      <c r="R587" t="s">
        <v>45</v>
      </c>
      <c r="S587" t="s">
        <v>50</v>
      </c>
    </row>
    <row r="588" spans="1:19" ht="18" x14ac:dyDescent="0.5">
      <c r="A588" t="s">
        <v>658</v>
      </c>
      <c r="B588" t="s">
        <v>1657</v>
      </c>
      <c r="C588" s="6">
        <v>45833</v>
      </c>
      <c r="D588" t="s">
        <v>2085</v>
      </c>
      <c r="E588" t="s">
        <v>2078</v>
      </c>
      <c r="F588" t="str">
        <f>_xlfn.XLOOKUP(E588,Table8[City],Table8[State])</f>
        <v>Telangana</v>
      </c>
      <c r="G588" t="str">
        <f>_xlfn.XLOOKUP(E588,Table8[City],Table8[Region])</f>
        <v>South</v>
      </c>
      <c r="H588" t="s">
        <v>20</v>
      </c>
      <c r="I588" t="str">
        <f>_xlfn.XLOOKUP(H588,Table6[Product],Table6[Category])</f>
        <v>Accessories</v>
      </c>
      <c r="J588" t="s">
        <v>62</v>
      </c>
      <c r="K588">
        <v>9</v>
      </c>
      <c r="L588">
        <f>_xlfn.XLOOKUP(H588,Table6[Product],Table6[Unit Price])</f>
        <v>3000</v>
      </c>
      <c r="M588">
        <f>_xlfn.XLOOKUP(H588,Table6[Product],Table6[Cost Price])</f>
        <v>1800</v>
      </c>
      <c r="N588" s="7">
        <v>0.08</v>
      </c>
      <c r="O588">
        <f t="shared" si="27"/>
        <v>24840</v>
      </c>
      <c r="P588">
        <f t="shared" si="28"/>
        <v>16200</v>
      </c>
      <c r="Q588">
        <f t="shared" si="29"/>
        <v>8640</v>
      </c>
      <c r="R588" t="s">
        <v>46</v>
      </c>
      <c r="S588" t="s">
        <v>52</v>
      </c>
    </row>
    <row r="589" spans="1:19" ht="18" x14ac:dyDescent="0.5">
      <c r="A589" t="s">
        <v>659</v>
      </c>
      <c r="B589" t="s">
        <v>1658</v>
      </c>
      <c r="C589" s="6">
        <v>45494</v>
      </c>
      <c r="D589" t="s">
        <v>2098</v>
      </c>
      <c r="E589" t="s">
        <v>2072</v>
      </c>
      <c r="F589" t="str">
        <f>_xlfn.XLOOKUP(E589,Table8[City],Table8[State])</f>
        <v>Karnataka</v>
      </c>
      <c r="G589" t="str">
        <f>_xlfn.XLOOKUP(E589,Table8[City],Table8[Region])</f>
        <v>South</v>
      </c>
      <c r="H589" t="s">
        <v>16</v>
      </c>
      <c r="I589" t="str">
        <f>_xlfn.XLOOKUP(H589,Table6[Product],Table6[Category])</f>
        <v>Electronics</v>
      </c>
      <c r="J589" t="s">
        <v>58</v>
      </c>
      <c r="K589">
        <v>7</v>
      </c>
      <c r="L589">
        <f>_xlfn.XLOOKUP(H589,Table6[Product],Table6[Unit Price])</f>
        <v>65000</v>
      </c>
      <c r="M589">
        <f>_xlfn.XLOOKUP(H589,Table6[Product],Table6[Cost Price])</f>
        <v>52000</v>
      </c>
      <c r="N589" s="7">
        <v>0.19</v>
      </c>
      <c r="O589">
        <f t="shared" si="27"/>
        <v>368550</v>
      </c>
      <c r="P589">
        <f t="shared" si="28"/>
        <v>364000</v>
      </c>
      <c r="Q589">
        <f t="shared" si="29"/>
        <v>4550</v>
      </c>
      <c r="R589" t="s">
        <v>46</v>
      </c>
      <c r="S589" t="s">
        <v>51</v>
      </c>
    </row>
    <row r="590" spans="1:19" ht="18" x14ac:dyDescent="0.5">
      <c r="A590" t="s">
        <v>660</v>
      </c>
      <c r="B590" t="s">
        <v>1659</v>
      </c>
      <c r="C590" s="6">
        <v>45300</v>
      </c>
      <c r="D590" t="s">
        <v>2090</v>
      </c>
      <c r="E590" t="s">
        <v>70</v>
      </c>
      <c r="F590" t="str">
        <f>_xlfn.XLOOKUP(E590,Table8[City],Table8[State])</f>
        <v>Karnataka</v>
      </c>
      <c r="G590" t="str">
        <f>_xlfn.XLOOKUP(E590,Table8[City],Table8[Region])</f>
        <v>South</v>
      </c>
      <c r="H590" t="s">
        <v>28</v>
      </c>
      <c r="I590" t="str">
        <f>_xlfn.XLOOKUP(H590,Table6[Product],Table6[Category])</f>
        <v>Office</v>
      </c>
      <c r="J590" t="s">
        <v>62</v>
      </c>
      <c r="K590">
        <v>5</v>
      </c>
      <c r="L590">
        <f>_xlfn.XLOOKUP(H590,Table6[Product],Table6[Unit Price])</f>
        <v>18000</v>
      </c>
      <c r="M590">
        <f>_xlfn.XLOOKUP(H590,Table6[Product],Table6[Cost Price])</f>
        <v>14000</v>
      </c>
      <c r="N590" s="7">
        <v>0.3</v>
      </c>
      <c r="O590">
        <f t="shared" si="27"/>
        <v>62999.999999999993</v>
      </c>
      <c r="P590">
        <f t="shared" si="28"/>
        <v>70000</v>
      </c>
      <c r="Q590">
        <f t="shared" si="29"/>
        <v>-7000.0000000000073</v>
      </c>
      <c r="R590" t="s">
        <v>44</v>
      </c>
      <c r="S590" t="s">
        <v>50</v>
      </c>
    </row>
    <row r="591" spans="1:19" ht="18" x14ac:dyDescent="0.5">
      <c r="A591" t="s">
        <v>661</v>
      </c>
      <c r="B591" t="s">
        <v>1660</v>
      </c>
      <c r="C591" s="6">
        <v>45388</v>
      </c>
      <c r="D591" t="s">
        <v>2098</v>
      </c>
      <c r="E591" t="s">
        <v>2076</v>
      </c>
      <c r="F591" t="str">
        <f>_xlfn.XLOOKUP(E591,Table8[City],Table8[State])</f>
        <v>Tamil Nadu</v>
      </c>
      <c r="G591" t="str">
        <f>_xlfn.XLOOKUP(E591,Table8[City],Table8[Region])</f>
        <v>South</v>
      </c>
      <c r="H591" t="s">
        <v>24</v>
      </c>
      <c r="I591" t="str">
        <f>_xlfn.XLOOKUP(H591,Table6[Product],Table6[Category])</f>
        <v>Accessories</v>
      </c>
      <c r="J591" t="s">
        <v>57</v>
      </c>
      <c r="K591">
        <v>4</v>
      </c>
      <c r="L591">
        <f>_xlfn.XLOOKUP(H591,Table6[Product],Table6[Unit Price])</f>
        <v>1500</v>
      </c>
      <c r="M591">
        <f>_xlfn.XLOOKUP(H591,Table6[Product],Table6[Cost Price])</f>
        <v>900</v>
      </c>
      <c r="N591" s="7">
        <v>0.01</v>
      </c>
      <c r="O591">
        <f t="shared" si="27"/>
        <v>5940</v>
      </c>
      <c r="P591">
        <f t="shared" si="28"/>
        <v>3600</v>
      </c>
      <c r="Q591">
        <f t="shared" si="29"/>
        <v>2340</v>
      </c>
      <c r="R591" t="s">
        <v>46</v>
      </c>
      <c r="S591" t="s">
        <v>52</v>
      </c>
    </row>
    <row r="592" spans="1:19" ht="18" x14ac:dyDescent="0.5">
      <c r="A592" t="s">
        <v>662</v>
      </c>
      <c r="B592" t="s">
        <v>1661</v>
      </c>
      <c r="C592" s="6">
        <v>45988</v>
      </c>
      <c r="D592" t="s">
        <v>2097</v>
      </c>
      <c r="E592" t="s">
        <v>2080</v>
      </c>
      <c r="F592" t="str">
        <f>_xlfn.XLOOKUP(E592,Table8[City],Table8[State])</f>
        <v>Gujarat</v>
      </c>
      <c r="G592" t="str">
        <f>_xlfn.XLOOKUP(E592,Table8[City],Table8[Region])</f>
        <v>West</v>
      </c>
      <c r="H592" t="s">
        <v>20</v>
      </c>
      <c r="I592" t="str">
        <f>_xlfn.XLOOKUP(H592,Table6[Product],Table6[Category])</f>
        <v>Accessories</v>
      </c>
      <c r="J592" t="s">
        <v>57</v>
      </c>
      <c r="K592">
        <v>6</v>
      </c>
      <c r="L592">
        <f>_xlfn.XLOOKUP(H592,Table6[Product],Table6[Unit Price])</f>
        <v>3000</v>
      </c>
      <c r="M592">
        <f>_xlfn.XLOOKUP(H592,Table6[Product],Table6[Cost Price])</f>
        <v>1800</v>
      </c>
      <c r="N592" s="7">
        <v>0.28999999999999998</v>
      </c>
      <c r="O592">
        <f t="shared" si="27"/>
        <v>12780</v>
      </c>
      <c r="P592">
        <f t="shared" si="28"/>
        <v>10800</v>
      </c>
      <c r="Q592">
        <f t="shared" si="29"/>
        <v>1980</v>
      </c>
      <c r="R592" t="s">
        <v>43</v>
      </c>
      <c r="S592" t="s">
        <v>50</v>
      </c>
    </row>
    <row r="593" spans="1:19" ht="18" x14ac:dyDescent="0.5">
      <c r="A593" t="s">
        <v>663</v>
      </c>
      <c r="B593" t="s">
        <v>1662</v>
      </c>
      <c r="C593" s="6">
        <v>45648</v>
      </c>
      <c r="D593" t="s">
        <v>59</v>
      </c>
      <c r="E593" t="s">
        <v>2104</v>
      </c>
      <c r="F593" t="str">
        <f>_xlfn.XLOOKUP(E593,Table8[City],Table8[State])</f>
        <v>Delhi</v>
      </c>
      <c r="G593" t="str">
        <f>_xlfn.XLOOKUP(E593,Table8[City],Table8[Region])</f>
        <v>North</v>
      </c>
      <c r="H593" t="s">
        <v>26</v>
      </c>
      <c r="I593" t="str">
        <f>_xlfn.XLOOKUP(H593,Table6[Product],Table6[Category])</f>
        <v>Office</v>
      </c>
      <c r="J593" t="s">
        <v>61</v>
      </c>
      <c r="K593">
        <v>8</v>
      </c>
      <c r="L593">
        <f>_xlfn.XLOOKUP(H593,Table6[Product],Table6[Unit Price])</f>
        <v>15000</v>
      </c>
      <c r="M593">
        <f>_xlfn.XLOOKUP(H593,Table6[Product],Table6[Cost Price])</f>
        <v>11500</v>
      </c>
      <c r="N593" s="7">
        <v>0.22</v>
      </c>
      <c r="O593">
        <f t="shared" si="27"/>
        <v>93600</v>
      </c>
      <c r="P593">
        <f t="shared" si="28"/>
        <v>92000</v>
      </c>
      <c r="Q593">
        <f t="shared" si="29"/>
        <v>1600</v>
      </c>
      <c r="R593" t="s">
        <v>44</v>
      </c>
      <c r="S593" t="s">
        <v>52</v>
      </c>
    </row>
    <row r="594" spans="1:19" ht="18" x14ac:dyDescent="0.5">
      <c r="A594" t="s">
        <v>664</v>
      </c>
      <c r="B594" t="s">
        <v>1663</v>
      </c>
      <c r="C594" s="6">
        <v>45316</v>
      </c>
      <c r="D594" t="s">
        <v>2094</v>
      </c>
      <c r="E594" t="s">
        <v>2105</v>
      </c>
      <c r="F594" t="str">
        <f>_xlfn.XLOOKUP(E594,Table8[City],Table8[State])</f>
        <v>Rajasthan</v>
      </c>
      <c r="G594" t="str">
        <f>_xlfn.XLOOKUP(E594,Table8[City],Table8[Region])</f>
        <v>North</v>
      </c>
      <c r="H594" t="s">
        <v>19</v>
      </c>
      <c r="I594" t="str">
        <f>_xlfn.XLOOKUP(H594,Table6[Product],Table6[Category])</f>
        <v>Electronics</v>
      </c>
      <c r="J594" t="s">
        <v>58</v>
      </c>
      <c r="K594">
        <v>5</v>
      </c>
      <c r="L594">
        <f>_xlfn.XLOOKUP(H594,Table6[Product],Table6[Unit Price])</f>
        <v>25000</v>
      </c>
      <c r="M594">
        <f>_xlfn.XLOOKUP(H594,Table6[Product],Table6[Cost Price])</f>
        <v>20000</v>
      </c>
      <c r="N594" s="7">
        <v>7.0000000000000007E-2</v>
      </c>
      <c r="O594">
        <f t="shared" si="27"/>
        <v>116249.99999999999</v>
      </c>
      <c r="P594">
        <f t="shared" si="28"/>
        <v>100000</v>
      </c>
      <c r="Q594">
        <f t="shared" si="29"/>
        <v>16249.999999999985</v>
      </c>
      <c r="R594" t="s">
        <v>43</v>
      </c>
      <c r="S594" t="s">
        <v>50</v>
      </c>
    </row>
    <row r="595" spans="1:19" ht="18" x14ac:dyDescent="0.5">
      <c r="A595" t="s">
        <v>665</v>
      </c>
      <c r="B595" t="s">
        <v>1664</v>
      </c>
      <c r="C595" s="6">
        <v>45779</v>
      </c>
      <c r="D595" t="s">
        <v>59</v>
      </c>
      <c r="E595" t="s">
        <v>2075</v>
      </c>
      <c r="F595" t="str">
        <f>_xlfn.XLOOKUP(E595,Table8[City],Table8[State])</f>
        <v>Tamil Nadu</v>
      </c>
      <c r="G595" t="str">
        <f>_xlfn.XLOOKUP(E595,Table8[City],Table8[Region])</f>
        <v>South</v>
      </c>
      <c r="H595" t="s">
        <v>24</v>
      </c>
      <c r="I595" t="str">
        <f>_xlfn.XLOOKUP(H595,Table6[Product],Table6[Category])</f>
        <v>Accessories</v>
      </c>
      <c r="J595" t="s">
        <v>57</v>
      </c>
      <c r="K595">
        <v>7</v>
      </c>
      <c r="L595">
        <f>_xlfn.XLOOKUP(H595,Table6[Product],Table6[Unit Price])</f>
        <v>1500</v>
      </c>
      <c r="M595">
        <f>_xlfn.XLOOKUP(H595,Table6[Product],Table6[Cost Price])</f>
        <v>900</v>
      </c>
      <c r="N595" s="7">
        <v>0.23</v>
      </c>
      <c r="O595">
        <f t="shared" si="27"/>
        <v>8085</v>
      </c>
      <c r="P595">
        <f t="shared" si="28"/>
        <v>6300</v>
      </c>
      <c r="Q595">
        <f t="shared" si="29"/>
        <v>1785</v>
      </c>
      <c r="R595" t="s">
        <v>47</v>
      </c>
      <c r="S595" t="s">
        <v>52</v>
      </c>
    </row>
    <row r="596" spans="1:19" ht="18" x14ac:dyDescent="0.5">
      <c r="A596" t="s">
        <v>666</v>
      </c>
      <c r="B596" t="s">
        <v>1665</v>
      </c>
      <c r="C596" s="6">
        <v>45529</v>
      </c>
      <c r="D596" t="s">
        <v>2096</v>
      </c>
      <c r="E596" t="s">
        <v>2104</v>
      </c>
      <c r="F596" t="str">
        <f>_xlfn.XLOOKUP(E596,Table8[City],Table8[State])</f>
        <v>Delhi</v>
      </c>
      <c r="G596" t="str">
        <f>_xlfn.XLOOKUP(E596,Table8[City],Table8[Region])</f>
        <v>North</v>
      </c>
      <c r="H596" t="s">
        <v>18</v>
      </c>
      <c r="I596" t="str">
        <f>_xlfn.XLOOKUP(H596,Table6[Product],Table6[Category])</f>
        <v>Electronics</v>
      </c>
      <c r="J596" t="s">
        <v>56</v>
      </c>
      <c r="K596">
        <v>2</v>
      </c>
      <c r="L596">
        <f>_xlfn.XLOOKUP(H596,Table6[Product],Table6[Unit Price])</f>
        <v>35000</v>
      </c>
      <c r="M596">
        <f>_xlfn.XLOOKUP(H596,Table6[Product],Table6[Cost Price])</f>
        <v>28000</v>
      </c>
      <c r="N596" s="7">
        <v>0.13</v>
      </c>
      <c r="O596">
        <f t="shared" si="27"/>
        <v>60900</v>
      </c>
      <c r="P596">
        <f t="shared" si="28"/>
        <v>56000</v>
      </c>
      <c r="Q596">
        <f t="shared" si="29"/>
        <v>4900</v>
      </c>
      <c r="R596" t="s">
        <v>47</v>
      </c>
      <c r="S596" t="s">
        <v>49</v>
      </c>
    </row>
    <row r="597" spans="1:19" ht="18" x14ac:dyDescent="0.5">
      <c r="A597" t="s">
        <v>667</v>
      </c>
      <c r="B597" t="s">
        <v>1666</v>
      </c>
      <c r="C597" s="6">
        <v>45818</v>
      </c>
      <c r="D597" t="s">
        <v>2084</v>
      </c>
      <c r="E597" t="s">
        <v>2075</v>
      </c>
      <c r="F597" t="str">
        <f>_xlfn.XLOOKUP(E597,Table8[City],Table8[State])</f>
        <v>Tamil Nadu</v>
      </c>
      <c r="G597" t="str">
        <f>_xlfn.XLOOKUP(E597,Table8[City],Table8[Region])</f>
        <v>South</v>
      </c>
      <c r="H597" t="s">
        <v>16</v>
      </c>
      <c r="I597" t="str">
        <f>_xlfn.XLOOKUP(H597,Table6[Product],Table6[Category])</f>
        <v>Electronics</v>
      </c>
      <c r="J597" t="s">
        <v>62</v>
      </c>
      <c r="K597">
        <v>2</v>
      </c>
      <c r="L597">
        <f>_xlfn.XLOOKUP(H597,Table6[Product],Table6[Unit Price])</f>
        <v>65000</v>
      </c>
      <c r="M597">
        <f>_xlfn.XLOOKUP(H597,Table6[Product],Table6[Cost Price])</f>
        <v>52000</v>
      </c>
      <c r="N597" s="7">
        <v>0.28999999999999998</v>
      </c>
      <c r="O597">
        <f t="shared" si="27"/>
        <v>92300</v>
      </c>
      <c r="P597">
        <f t="shared" si="28"/>
        <v>104000</v>
      </c>
      <c r="Q597">
        <f t="shared" si="29"/>
        <v>-11700</v>
      </c>
      <c r="R597" t="s">
        <v>46</v>
      </c>
      <c r="S597" t="s">
        <v>52</v>
      </c>
    </row>
    <row r="598" spans="1:19" ht="18" x14ac:dyDescent="0.5">
      <c r="A598" t="s">
        <v>668</v>
      </c>
      <c r="B598" t="s">
        <v>1667</v>
      </c>
      <c r="C598" s="6">
        <v>45313</v>
      </c>
      <c r="D598" t="s">
        <v>59</v>
      </c>
      <c r="E598" t="s">
        <v>2075</v>
      </c>
      <c r="F598" t="str">
        <f>_xlfn.XLOOKUP(E598,Table8[City],Table8[State])</f>
        <v>Tamil Nadu</v>
      </c>
      <c r="G598" t="str">
        <f>_xlfn.XLOOKUP(E598,Table8[City],Table8[Region])</f>
        <v>South</v>
      </c>
      <c r="H598" t="s">
        <v>20</v>
      </c>
      <c r="I598" t="str">
        <f>_xlfn.XLOOKUP(H598,Table6[Product],Table6[Category])</f>
        <v>Accessories</v>
      </c>
      <c r="J598" t="s">
        <v>59</v>
      </c>
      <c r="K598">
        <v>6</v>
      </c>
      <c r="L598">
        <f>_xlfn.XLOOKUP(H598,Table6[Product],Table6[Unit Price])</f>
        <v>3000</v>
      </c>
      <c r="M598">
        <f>_xlfn.XLOOKUP(H598,Table6[Product],Table6[Cost Price])</f>
        <v>1800</v>
      </c>
      <c r="N598" s="7">
        <v>0.13</v>
      </c>
      <c r="O598">
        <f t="shared" si="27"/>
        <v>15660</v>
      </c>
      <c r="P598">
        <f t="shared" si="28"/>
        <v>10800</v>
      </c>
      <c r="Q598">
        <f t="shared" si="29"/>
        <v>4860</v>
      </c>
      <c r="R598" t="s">
        <v>44</v>
      </c>
      <c r="S598" t="s">
        <v>52</v>
      </c>
    </row>
    <row r="599" spans="1:19" ht="18" x14ac:dyDescent="0.5">
      <c r="A599" t="s">
        <v>669</v>
      </c>
      <c r="B599" t="s">
        <v>1668</v>
      </c>
      <c r="C599" s="6">
        <v>45746</v>
      </c>
      <c r="D599" t="s">
        <v>63</v>
      </c>
      <c r="E599" t="s">
        <v>2077</v>
      </c>
      <c r="F599" t="str">
        <f>_xlfn.XLOOKUP(E599,Table8[City],Table8[State])</f>
        <v>Telangana</v>
      </c>
      <c r="G599" t="str">
        <f>_xlfn.XLOOKUP(E599,Table8[City],Table8[Region])</f>
        <v>South</v>
      </c>
      <c r="H599" t="s">
        <v>22</v>
      </c>
      <c r="I599" t="str">
        <f>_xlfn.XLOOKUP(H599,Table6[Product],Table6[Category])</f>
        <v>Wearables</v>
      </c>
      <c r="J599" t="s">
        <v>60</v>
      </c>
      <c r="K599">
        <v>8</v>
      </c>
      <c r="L599">
        <f>_xlfn.XLOOKUP(H599,Table6[Product],Table6[Unit Price])</f>
        <v>12000</v>
      </c>
      <c r="M599">
        <f>_xlfn.XLOOKUP(H599,Table6[Product],Table6[Cost Price])</f>
        <v>8500</v>
      </c>
      <c r="N599" s="7">
        <v>0.3</v>
      </c>
      <c r="O599">
        <f t="shared" si="27"/>
        <v>67200</v>
      </c>
      <c r="P599">
        <f t="shared" si="28"/>
        <v>68000</v>
      </c>
      <c r="Q599">
        <f t="shared" si="29"/>
        <v>-800</v>
      </c>
      <c r="R599" t="s">
        <v>44</v>
      </c>
      <c r="S599" t="s">
        <v>52</v>
      </c>
    </row>
    <row r="600" spans="1:19" ht="18" x14ac:dyDescent="0.5">
      <c r="A600" t="s">
        <v>670</v>
      </c>
      <c r="B600" t="s">
        <v>1669</v>
      </c>
      <c r="C600" s="6">
        <v>45538</v>
      </c>
      <c r="D600" t="s">
        <v>2086</v>
      </c>
      <c r="E600" t="s">
        <v>2072</v>
      </c>
      <c r="F600" t="str">
        <f>_xlfn.XLOOKUP(E600,Table8[City],Table8[State])</f>
        <v>Karnataka</v>
      </c>
      <c r="G600" t="str">
        <f>_xlfn.XLOOKUP(E600,Table8[City],Table8[Region])</f>
        <v>South</v>
      </c>
      <c r="H600" t="s">
        <v>29</v>
      </c>
      <c r="I600" t="str">
        <f>_xlfn.XLOOKUP(H600,Table6[Product],Table6[Category])</f>
        <v>Electronics</v>
      </c>
      <c r="J600" t="s">
        <v>54</v>
      </c>
      <c r="K600">
        <v>2</v>
      </c>
      <c r="L600">
        <f>_xlfn.XLOOKUP(H600,Table6[Product],Table6[Unit Price])</f>
        <v>5000</v>
      </c>
      <c r="M600">
        <f>_xlfn.XLOOKUP(H600,Table6[Product],Table6[Cost Price])</f>
        <v>3200</v>
      </c>
      <c r="N600" s="7">
        <v>0.19</v>
      </c>
      <c r="O600">
        <f t="shared" si="27"/>
        <v>8100.0000000000009</v>
      </c>
      <c r="P600">
        <f t="shared" si="28"/>
        <v>6400</v>
      </c>
      <c r="Q600">
        <f t="shared" si="29"/>
        <v>1700.0000000000009</v>
      </c>
      <c r="R600" t="s">
        <v>43</v>
      </c>
      <c r="S600" t="s">
        <v>52</v>
      </c>
    </row>
    <row r="601" spans="1:19" ht="18" x14ac:dyDescent="0.5">
      <c r="A601" t="s">
        <v>671</v>
      </c>
      <c r="B601" t="s">
        <v>1670</v>
      </c>
      <c r="C601" s="6">
        <v>45906</v>
      </c>
      <c r="D601" t="s">
        <v>2094</v>
      </c>
      <c r="E601" t="s">
        <v>2105</v>
      </c>
      <c r="F601" t="str">
        <f>_xlfn.XLOOKUP(E601,Table8[City],Table8[State])</f>
        <v>Rajasthan</v>
      </c>
      <c r="G601" t="str">
        <f>_xlfn.XLOOKUP(E601,Table8[City],Table8[Region])</f>
        <v>North</v>
      </c>
      <c r="H601" t="s">
        <v>26</v>
      </c>
      <c r="I601" t="str">
        <f>_xlfn.XLOOKUP(H601,Table6[Product],Table6[Category])</f>
        <v>Office</v>
      </c>
      <c r="J601" t="s">
        <v>63</v>
      </c>
      <c r="K601">
        <v>3</v>
      </c>
      <c r="L601">
        <f>_xlfn.XLOOKUP(H601,Table6[Product],Table6[Unit Price])</f>
        <v>15000</v>
      </c>
      <c r="M601">
        <f>_xlfn.XLOOKUP(H601,Table6[Product],Table6[Cost Price])</f>
        <v>11500</v>
      </c>
      <c r="N601" s="7">
        <v>0.24</v>
      </c>
      <c r="O601">
        <f t="shared" si="27"/>
        <v>34200</v>
      </c>
      <c r="P601">
        <f t="shared" si="28"/>
        <v>34500</v>
      </c>
      <c r="Q601">
        <f t="shared" si="29"/>
        <v>-300</v>
      </c>
      <c r="R601" t="s">
        <v>45</v>
      </c>
      <c r="S601" t="s">
        <v>50</v>
      </c>
    </row>
    <row r="602" spans="1:19" ht="18" x14ac:dyDescent="0.5">
      <c r="A602" t="s">
        <v>672</v>
      </c>
      <c r="B602" t="s">
        <v>1671</v>
      </c>
      <c r="C602" s="6">
        <v>45329</v>
      </c>
      <c r="D602" t="s">
        <v>2090</v>
      </c>
      <c r="E602" t="s">
        <v>2105</v>
      </c>
      <c r="F602" t="str">
        <f>_xlfn.XLOOKUP(E602,Table8[City],Table8[State])</f>
        <v>Rajasthan</v>
      </c>
      <c r="G602" t="str">
        <f>_xlfn.XLOOKUP(E602,Table8[City],Table8[Region])</f>
        <v>North</v>
      </c>
      <c r="H602" t="s">
        <v>18</v>
      </c>
      <c r="I602" t="str">
        <f>_xlfn.XLOOKUP(H602,Table6[Product],Table6[Category])</f>
        <v>Electronics</v>
      </c>
      <c r="J602" t="s">
        <v>60</v>
      </c>
      <c r="K602">
        <v>9</v>
      </c>
      <c r="L602">
        <f>_xlfn.XLOOKUP(H602,Table6[Product],Table6[Unit Price])</f>
        <v>35000</v>
      </c>
      <c r="M602">
        <f>_xlfn.XLOOKUP(H602,Table6[Product],Table6[Cost Price])</f>
        <v>28000</v>
      </c>
      <c r="N602" s="7">
        <v>0.25</v>
      </c>
      <c r="O602">
        <f t="shared" si="27"/>
        <v>236250</v>
      </c>
      <c r="P602">
        <f t="shared" si="28"/>
        <v>252000</v>
      </c>
      <c r="Q602">
        <f t="shared" si="29"/>
        <v>-15750</v>
      </c>
      <c r="R602" t="s">
        <v>43</v>
      </c>
      <c r="S602" t="s">
        <v>49</v>
      </c>
    </row>
    <row r="603" spans="1:19" ht="18" x14ac:dyDescent="0.5">
      <c r="A603" t="s">
        <v>673</v>
      </c>
      <c r="B603" t="s">
        <v>1672</v>
      </c>
      <c r="C603" s="6">
        <v>45808</v>
      </c>
      <c r="D603" t="s">
        <v>2092</v>
      </c>
      <c r="E603" t="s">
        <v>2074</v>
      </c>
      <c r="F603" t="str">
        <f>_xlfn.XLOOKUP(E603,Table8[City],Table8[State])</f>
        <v>Maharashtra</v>
      </c>
      <c r="G603" t="str">
        <f>_xlfn.XLOOKUP(E603,Table8[City],Table8[Region])</f>
        <v>West</v>
      </c>
      <c r="H603" t="s">
        <v>28</v>
      </c>
      <c r="I603" t="str">
        <f>_xlfn.XLOOKUP(H603,Table6[Product],Table6[Category])</f>
        <v>Office</v>
      </c>
      <c r="J603" t="s">
        <v>61</v>
      </c>
      <c r="K603">
        <v>9</v>
      </c>
      <c r="L603">
        <f>_xlfn.XLOOKUP(H603,Table6[Product],Table6[Unit Price])</f>
        <v>18000</v>
      </c>
      <c r="M603">
        <f>_xlfn.XLOOKUP(H603,Table6[Product],Table6[Cost Price])</f>
        <v>14000</v>
      </c>
      <c r="N603" s="7">
        <v>0.15</v>
      </c>
      <c r="O603">
        <f t="shared" si="27"/>
        <v>137700</v>
      </c>
      <c r="P603">
        <f t="shared" si="28"/>
        <v>126000</v>
      </c>
      <c r="Q603">
        <f t="shared" si="29"/>
        <v>11700</v>
      </c>
      <c r="R603" t="s">
        <v>45</v>
      </c>
      <c r="S603" t="s">
        <v>51</v>
      </c>
    </row>
    <row r="604" spans="1:19" ht="18" x14ac:dyDescent="0.5">
      <c r="A604" t="s">
        <v>674</v>
      </c>
      <c r="B604" t="s">
        <v>1673</v>
      </c>
      <c r="C604" s="6">
        <v>45655</v>
      </c>
      <c r="D604" t="s">
        <v>2096</v>
      </c>
      <c r="E604" t="s">
        <v>2104</v>
      </c>
      <c r="F604" t="str">
        <f>_xlfn.XLOOKUP(E604,Table8[City],Table8[State])</f>
        <v>Delhi</v>
      </c>
      <c r="G604" t="str">
        <f>_xlfn.XLOOKUP(E604,Table8[City],Table8[Region])</f>
        <v>North</v>
      </c>
      <c r="H604" t="s">
        <v>18</v>
      </c>
      <c r="I604" t="str">
        <f>_xlfn.XLOOKUP(H604,Table6[Product],Table6[Category])</f>
        <v>Electronics</v>
      </c>
      <c r="J604" t="s">
        <v>57</v>
      </c>
      <c r="K604">
        <v>9</v>
      </c>
      <c r="L604">
        <f>_xlfn.XLOOKUP(H604,Table6[Product],Table6[Unit Price])</f>
        <v>35000</v>
      </c>
      <c r="M604">
        <f>_xlfn.XLOOKUP(H604,Table6[Product],Table6[Cost Price])</f>
        <v>28000</v>
      </c>
      <c r="N604" s="7">
        <v>0.28999999999999998</v>
      </c>
      <c r="O604">
        <f t="shared" si="27"/>
        <v>223650</v>
      </c>
      <c r="P604">
        <f t="shared" si="28"/>
        <v>252000</v>
      </c>
      <c r="Q604">
        <f t="shared" si="29"/>
        <v>-28350</v>
      </c>
      <c r="R604" t="s">
        <v>43</v>
      </c>
      <c r="S604" t="s">
        <v>49</v>
      </c>
    </row>
    <row r="605" spans="1:19" ht="18" x14ac:dyDescent="0.5">
      <c r="A605" t="s">
        <v>675</v>
      </c>
      <c r="B605" t="s">
        <v>1674</v>
      </c>
      <c r="C605" s="6">
        <v>45295</v>
      </c>
      <c r="D605" t="s">
        <v>69</v>
      </c>
      <c r="E605" t="s">
        <v>2074</v>
      </c>
      <c r="F605" t="str">
        <f>_xlfn.XLOOKUP(E605,Table8[City],Table8[State])</f>
        <v>Maharashtra</v>
      </c>
      <c r="G605" t="str">
        <f>_xlfn.XLOOKUP(E605,Table8[City],Table8[Region])</f>
        <v>West</v>
      </c>
      <c r="H605" t="s">
        <v>16</v>
      </c>
      <c r="I605" t="str">
        <f>_xlfn.XLOOKUP(H605,Table6[Product],Table6[Category])</f>
        <v>Electronics</v>
      </c>
      <c r="J605" t="s">
        <v>63</v>
      </c>
      <c r="K605">
        <v>5</v>
      </c>
      <c r="L605">
        <f>_xlfn.XLOOKUP(H605,Table6[Product],Table6[Unit Price])</f>
        <v>65000</v>
      </c>
      <c r="M605">
        <f>_xlfn.XLOOKUP(H605,Table6[Product],Table6[Cost Price])</f>
        <v>52000</v>
      </c>
      <c r="N605" s="7">
        <v>0</v>
      </c>
      <c r="O605">
        <f t="shared" si="27"/>
        <v>325000</v>
      </c>
      <c r="P605">
        <f t="shared" si="28"/>
        <v>260000</v>
      </c>
      <c r="Q605">
        <f t="shared" si="29"/>
        <v>65000</v>
      </c>
      <c r="R605" t="s">
        <v>44</v>
      </c>
      <c r="S605" t="s">
        <v>50</v>
      </c>
    </row>
    <row r="606" spans="1:19" ht="18" x14ac:dyDescent="0.5">
      <c r="A606" t="s">
        <v>676</v>
      </c>
      <c r="B606" t="s">
        <v>1675</v>
      </c>
      <c r="C606" s="6">
        <v>45565</v>
      </c>
      <c r="D606" t="s">
        <v>59</v>
      </c>
      <c r="E606" t="s">
        <v>2077</v>
      </c>
      <c r="F606" t="str">
        <f>_xlfn.XLOOKUP(E606,Table8[City],Table8[State])</f>
        <v>Telangana</v>
      </c>
      <c r="G606" t="str">
        <f>_xlfn.XLOOKUP(E606,Table8[City],Table8[Region])</f>
        <v>South</v>
      </c>
      <c r="H606" t="s">
        <v>16</v>
      </c>
      <c r="I606" t="str">
        <f>_xlfn.XLOOKUP(H606,Table6[Product],Table6[Category])</f>
        <v>Electronics</v>
      </c>
      <c r="J606" t="s">
        <v>60</v>
      </c>
      <c r="K606">
        <v>8</v>
      </c>
      <c r="L606">
        <f>_xlfn.XLOOKUP(H606,Table6[Product],Table6[Unit Price])</f>
        <v>65000</v>
      </c>
      <c r="M606">
        <f>_xlfn.XLOOKUP(H606,Table6[Product],Table6[Cost Price])</f>
        <v>52000</v>
      </c>
      <c r="N606" s="7">
        <v>0.05</v>
      </c>
      <c r="O606">
        <f t="shared" si="27"/>
        <v>494000</v>
      </c>
      <c r="P606">
        <f t="shared" si="28"/>
        <v>416000</v>
      </c>
      <c r="Q606">
        <f t="shared" si="29"/>
        <v>78000</v>
      </c>
      <c r="R606" t="s">
        <v>47</v>
      </c>
      <c r="S606" t="s">
        <v>52</v>
      </c>
    </row>
    <row r="607" spans="1:19" ht="18" x14ac:dyDescent="0.5">
      <c r="A607" t="s">
        <v>677</v>
      </c>
      <c r="B607" t="s">
        <v>1676</v>
      </c>
      <c r="C607" s="6">
        <v>45700</v>
      </c>
      <c r="D607" t="s">
        <v>2095</v>
      </c>
      <c r="E607" t="s">
        <v>2077</v>
      </c>
      <c r="F607" t="str">
        <f>_xlfn.XLOOKUP(E607,Table8[City],Table8[State])</f>
        <v>Telangana</v>
      </c>
      <c r="G607" t="str">
        <f>_xlfn.XLOOKUP(E607,Table8[City],Table8[Region])</f>
        <v>South</v>
      </c>
      <c r="H607" t="s">
        <v>22</v>
      </c>
      <c r="I607" t="str">
        <f>_xlfn.XLOOKUP(H607,Table6[Product],Table6[Category])</f>
        <v>Wearables</v>
      </c>
      <c r="J607" t="s">
        <v>54</v>
      </c>
      <c r="K607">
        <v>6</v>
      </c>
      <c r="L607">
        <f>_xlfn.XLOOKUP(H607,Table6[Product],Table6[Unit Price])</f>
        <v>12000</v>
      </c>
      <c r="M607">
        <f>_xlfn.XLOOKUP(H607,Table6[Product],Table6[Cost Price])</f>
        <v>8500</v>
      </c>
      <c r="N607" s="7">
        <v>0.11</v>
      </c>
      <c r="O607">
        <f t="shared" si="27"/>
        <v>64080</v>
      </c>
      <c r="P607">
        <f t="shared" si="28"/>
        <v>51000</v>
      </c>
      <c r="Q607">
        <f t="shared" si="29"/>
        <v>13080</v>
      </c>
      <c r="R607" t="s">
        <v>46</v>
      </c>
      <c r="S607" t="s">
        <v>49</v>
      </c>
    </row>
    <row r="608" spans="1:19" ht="18" x14ac:dyDescent="0.5">
      <c r="A608" t="s">
        <v>678</v>
      </c>
      <c r="B608" t="s">
        <v>1677</v>
      </c>
      <c r="C608" s="6">
        <v>45825</v>
      </c>
      <c r="D608" t="s">
        <v>2099</v>
      </c>
      <c r="E608" t="s">
        <v>2072</v>
      </c>
      <c r="F608" t="str">
        <f>_xlfn.XLOOKUP(E608,Table8[City],Table8[State])</f>
        <v>Karnataka</v>
      </c>
      <c r="G608" t="str">
        <f>_xlfn.XLOOKUP(E608,Table8[City],Table8[Region])</f>
        <v>South</v>
      </c>
      <c r="H608" t="s">
        <v>29</v>
      </c>
      <c r="I608" t="str">
        <f>_xlfn.XLOOKUP(H608,Table6[Product],Table6[Category])</f>
        <v>Electronics</v>
      </c>
      <c r="J608" t="s">
        <v>59</v>
      </c>
      <c r="K608">
        <v>4</v>
      </c>
      <c r="L608">
        <f>_xlfn.XLOOKUP(H608,Table6[Product],Table6[Unit Price])</f>
        <v>5000</v>
      </c>
      <c r="M608">
        <f>_xlfn.XLOOKUP(H608,Table6[Product],Table6[Cost Price])</f>
        <v>3200</v>
      </c>
      <c r="N608" s="7">
        <v>0.26</v>
      </c>
      <c r="O608">
        <f t="shared" si="27"/>
        <v>14800</v>
      </c>
      <c r="P608">
        <f t="shared" si="28"/>
        <v>12800</v>
      </c>
      <c r="Q608">
        <f t="shared" si="29"/>
        <v>2000</v>
      </c>
      <c r="R608" t="s">
        <v>46</v>
      </c>
      <c r="S608" t="s">
        <v>51</v>
      </c>
    </row>
    <row r="609" spans="1:19" ht="18" x14ac:dyDescent="0.5">
      <c r="A609" t="s">
        <v>679</v>
      </c>
      <c r="B609" t="s">
        <v>1678</v>
      </c>
      <c r="C609" s="6">
        <v>45407</v>
      </c>
      <c r="D609" t="s">
        <v>2087</v>
      </c>
      <c r="E609" t="s">
        <v>2073</v>
      </c>
      <c r="F609" t="str">
        <f>_xlfn.XLOOKUP(E609,Table8[City],Table8[State])</f>
        <v>Maharashtra</v>
      </c>
      <c r="G609" t="str">
        <f>_xlfn.XLOOKUP(E609,Table8[City],Table8[Region])</f>
        <v>West</v>
      </c>
      <c r="H609" t="s">
        <v>25</v>
      </c>
      <c r="I609" t="str">
        <f>_xlfn.XLOOKUP(H609,Table6[Product],Table6[Category])</f>
        <v>Accessories</v>
      </c>
      <c r="J609" t="s">
        <v>57</v>
      </c>
      <c r="K609">
        <v>3</v>
      </c>
      <c r="L609">
        <f>_xlfn.XLOOKUP(H609,Table6[Product],Table6[Unit Price])</f>
        <v>800</v>
      </c>
      <c r="M609">
        <f>_xlfn.XLOOKUP(H609,Table6[Product],Table6[Cost Price])</f>
        <v>450</v>
      </c>
      <c r="N609" s="7">
        <v>0.11</v>
      </c>
      <c r="O609">
        <f t="shared" si="27"/>
        <v>2136</v>
      </c>
      <c r="P609">
        <f t="shared" si="28"/>
        <v>1350</v>
      </c>
      <c r="Q609">
        <f t="shared" si="29"/>
        <v>786</v>
      </c>
      <c r="R609" t="s">
        <v>47</v>
      </c>
      <c r="S609" t="s">
        <v>49</v>
      </c>
    </row>
    <row r="610" spans="1:19" ht="18" x14ac:dyDescent="0.5">
      <c r="A610" t="s">
        <v>680</v>
      </c>
      <c r="B610" t="s">
        <v>1679</v>
      </c>
      <c r="C610" s="6">
        <v>45437</v>
      </c>
      <c r="D610" t="s">
        <v>2087</v>
      </c>
      <c r="E610" t="s">
        <v>2076</v>
      </c>
      <c r="F610" t="str">
        <f>_xlfn.XLOOKUP(E610,Table8[City],Table8[State])</f>
        <v>Tamil Nadu</v>
      </c>
      <c r="G610" t="str">
        <f>_xlfn.XLOOKUP(E610,Table8[City],Table8[Region])</f>
        <v>South</v>
      </c>
      <c r="H610" t="s">
        <v>26</v>
      </c>
      <c r="I610" t="str">
        <f>_xlfn.XLOOKUP(H610,Table6[Product],Table6[Category])</f>
        <v>Office</v>
      </c>
      <c r="J610" t="s">
        <v>57</v>
      </c>
      <c r="K610">
        <v>6</v>
      </c>
      <c r="L610">
        <f>_xlfn.XLOOKUP(H610,Table6[Product],Table6[Unit Price])</f>
        <v>15000</v>
      </c>
      <c r="M610">
        <f>_xlfn.XLOOKUP(H610,Table6[Product],Table6[Cost Price])</f>
        <v>11500</v>
      </c>
      <c r="N610" s="7">
        <v>0.06</v>
      </c>
      <c r="O610">
        <f t="shared" si="27"/>
        <v>84600</v>
      </c>
      <c r="P610">
        <f t="shared" si="28"/>
        <v>69000</v>
      </c>
      <c r="Q610">
        <f t="shared" si="29"/>
        <v>15600</v>
      </c>
      <c r="R610" t="s">
        <v>44</v>
      </c>
      <c r="S610" t="s">
        <v>50</v>
      </c>
    </row>
    <row r="611" spans="1:19" ht="18" x14ac:dyDescent="0.5">
      <c r="A611" t="s">
        <v>681</v>
      </c>
      <c r="B611" t="s">
        <v>1680</v>
      </c>
      <c r="C611" s="6">
        <v>45924</v>
      </c>
      <c r="D611" t="s">
        <v>2098</v>
      </c>
      <c r="E611" t="s">
        <v>2075</v>
      </c>
      <c r="F611" t="str">
        <f>_xlfn.XLOOKUP(E611,Table8[City],Table8[State])</f>
        <v>Tamil Nadu</v>
      </c>
      <c r="G611" t="str">
        <f>_xlfn.XLOOKUP(E611,Table8[City],Table8[Region])</f>
        <v>South</v>
      </c>
      <c r="H611" t="s">
        <v>29</v>
      </c>
      <c r="I611" t="str">
        <f>_xlfn.XLOOKUP(H611,Table6[Product],Table6[Category])</f>
        <v>Electronics</v>
      </c>
      <c r="J611" t="s">
        <v>55</v>
      </c>
      <c r="K611">
        <v>1</v>
      </c>
      <c r="L611">
        <f>_xlfn.XLOOKUP(H611,Table6[Product],Table6[Unit Price])</f>
        <v>5000</v>
      </c>
      <c r="M611">
        <f>_xlfn.XLOOKUP(H611,Table6[Product],Table6[Cost Price])</f>
        <v>3200</v>
      </c>
      <c r="N611" s="7">
        <v>0.13</v>
      </c>
      <c r="O611">
        <f t="shared" si="27"/>
        <v>4350</v>
      </c>
      <c r="P611">
        <f t="shared" si="28"/>
        <v>3200</v>
      </c>
      <c r="Q611">
        <f t="shared" si="29"/>
        <v>1150</v>
      </c>
      <c r="R611" t="s">
        <v>44</v>
      </c>
      <c r="S611" t="s">
        <v>52</v>
      </c>
    </row>
    <row r="612" spans="1:19" ht="18" x14ac:dyDescent="0.5">
      <c r="A612" t="s">
        <v>682</v>
      </c>
      <c r="B612" t="s">
        <v>1681</v>
      </c>
      <c r="C612" s="6">
        <v>46002</v>
      </c>
      <c r="D612" t="s">
        <v>2094</v>
      </c>
      <c r="E612" t="s">
        <v>2080</v>
      </c>
      <c r="F612" t="str">
        <f>_xlfn.XLOOKUP(E612,Table8[City],Table8[State])</f>
        <v>Gujarat</v>
      </c>
      <c r="G612" t="str">
        <f>_xlfn.XLOOKUP(E612,Table8[City],Table8[Region])</f>
        <v>West</v>
      </c>
      <c r="H612" t="s">
        <v>25</v>
      </c>
      <c r="I612" t="str">
        <f>_xlfn.XLOOKUP(H612,Table6[Product],Table6[Category])</f>
        <v>Accessories</v>
      </c>
      <c r="J612" t="s">
        <v>63</v>
      </c>
      <c r="K612">
        <v>8</v>
      </c>
      <c r="L612">
        <f>_xlfn.XLOOKUP(H612,Table6[Product],Table6[Unit Price])</f>
        <v>800</v>
      </c>
      <c r="M612">
        <f>_xlfn.XLOOKUP(H612,Table6[Product],Table6[Cost Price])</f>
        <v>450</v>
      </c>
      <c r="N612" s="7">
        <v>0.04</v>
      </c>
      <c r="O612">
        <f t="shared" si="27"/>
        <v>6144</v>
      </c>
      <c r="P612">
        <f t="shared" si="28"/>
        <v>3600</v>
      </c>
      <c r="Q612">
        <f t="shared" si="29"/>
        <v>2544</v>
      </c>
      <c r="R612" t="s">
        <v>45</v>
      </c>
      <c r="S612" t="s">
        <v>49</v>
      </c>
    </row>
    <row r="613" spans="1:19" ht="18" x14ac:dyDescent="0.5">
      <c r="A613" t="s">
        <v>683</v>
      </c>
      <c r="B613" t="s">
        <v>1682</v>
      </c>
      <c r="C613" s="6">
        <v>45508</v>
      </c>
      <c r="D613" t="s">
        <v>2093</v>
      </c>
      <c r="E613" t="s">
        <v>2106</v>
      </c>
      <c r="F613" t="str">
        <f>_xlfn.XLOOKUP(E613,Table8[City],Table8[State])</f>
        <v>West Bengal</v>
      </c>
      <c r="G613" t="str">
        <f>_xlfn.XLOOKUP(E613,Table8[City],Table8[Region])</f>
        <v>East</v>
      </c>
      <c r="H613" t="s">
        <v>22</v>
      </c>
      <c r="I613" t="str">
        <f>_xlfn.XLOOKUP(H613,Table6[Product],Table6[Category])</f>
        <v>Wearables</v>
      </c>
      <c r="J613" t="s">
        <v>57</v>
      </c>
      <c r="K613">
        <v>6</v>
      </c>
      <c r="L613">
        <f>_xlfn.XLOOKUP(H613,Table6[Product],Table6[Unit Price])</f>
        <v>12000</v>
      </c>
      <c r="M613">
        <f>_xlfn.XLOOKUP(H613,Table6[Product],Table6[Cost Price])</f>
        <v>8500</v>
      </c>
      <c r="N613" s="7">
        <v>0.17</v>
      </c>
      <c r="O613">
        <f t="shared" si="27"/>
        <v>59760</v>
      </c>
      <c r="P613">
        <f t="shared" si="28"/>
        <v>51000</v>
      </c>
      <c r="Q613">
        <f t="shared" si="29"/>
        <v>8760</v>
      </c>
      <c r="R613" t="s">
        <v>45</v>
      </c>
      <c r="S613" t="s">
        <v>50</v>
      </c>
    </row>
    <row r="614" spans="1:19" ht="18" x14ac:dyDescent="0.5">
      <c r="A614" t="s">
        <v>684</v>
      </c>
      <c r="B614" t="s">
        <v>1683</v>
      </c>
      <c r="C614" s="6">
        <v>45451</v>
      </c>
      <c r="D614" t="s">
        <v>2099</v>
      </c>
      <c r="E614" t="s">
        <v>2076</v>
      </c>
      <c r="F614" t="str">
        <f>_xlfn.XLOOKUP(E614,Table8[City],Table8[State])</f>
        <v>Tamil Nadu</v>
      </c>
      <c r="G614" t="str">
        <f>_xlfn.XLOOKUP(E614,Table8[City],Table8[Region])</f>
        <v>South</v>
      </c>
      <c r="H614" t="s">
        <v>22</v>
      </c>
      <c r="I614" t="str">
        <f>_xlfn.XLOOKUP(H614,Table6[Product],Table6[Category])</f>
        <v>Wearables</v>
      </c>
      <c r="J614" t="s">
        <v>63</v>
      </c>
      <c r="K614">
        <v>5</v>
      </c>
      <c r="L614">
        <f>_xlfn.XLOOKUP(H614,Table6[Product],Table6[Unit Price])</f>
        <v>12000</v>
      </c>
      <c r="M614">
        <f>_xlfn.XLOOKUP(H614,Table6[Product],Table6[Cost Price])</f>
        <v>8500</v>
      </c>
      <c r="N614" s="7">
        <v>0.03</v>
      </c>
      <c r="O614">
        <f t="shared" si="27"/>
        <v>58200</v>
      </c>
      <c r="P614">
        <f t="shared" si="28"/>
        <v>42500</v>
      </c>
      <c r="Q614">
        <f t="shared" si="29"/>
        <v>15700</v>
      </c>
      <c r="R614" t="s">
        <v>43</v>
      </c>
      <c r="S614" t="s">
        <v>52</v>
      </c>
    </row>
    <row r="615" spans="1:19" ht="18" x14ac:dyDescent="0.5">
      <c r="A615" t="s">
        <v>685</v>
      </c>
      <c r="B615" t="s">
        <v>1684</v>
      </c>
      <c r="C615" s="6">
        <v>45623</v>
      </c>
      <c r="D615" t="s">
        <v>63</v>
      </c>
      <c r="E615" t="s">
        <v>2075</v>
      </c>
      <c r="F615" t="str">
        <f>_xlfn.XLOOKUP(E615,Table8[City],Table8[State])</f>
        <v>Tamil Nadu</v>
      </c>
      <c r="G615" t="str">
        <f>_xlfn.XLOOKUP(E615,Table8[City],Table8[Region])</f>
        <v>South</v>
      </c>
      <c r="H615" t="s">
        <v>20</v>
      </c>
      <c r="I615" t="str">
        <f>_xlfn.XLOOKUP(H615,Table6[Product],Table6[Category])</f>
        <v>Accessories</v>
      </c>
      <c r="J615" t="s">
        <v>62</v>
      </c>
      <c r="K615">
        <v>6</v>
      </c>
      <c r="L615">
        <f>_xlfn.XLOOKUP(H615,Table6[Product],Table6[Unit Price])</f>
        <v>3000</v>
      </c>
      <c r="M615">
        <f>_xlfn.XLOOKUP(H615,Table6[Product],Table6[Cost Price])</f>
        <v>1800</v>
      </c>
      <c r="N615" s="7">
        <v>0.21</v>
      </c>
      <c r="O615">
        <f t="shared" si="27"/>
        <v>14220</v>
      </c>
      <c r="P615">
        <f t="shared" si="28"/>
        <v>10800</v>
      </c>
      <c r="Q615">
        <f t="shared" si="29"/>
        <v>3420</v>
      </c>
      <c r="R615" t="s">
        <v>47</v>
      </c>
      <c r="S615" t="s">
        <v>50</v>
      </c>
    </row>
    <row r="616" spans="1:19" ht="18" x14ac:dyDescent="0.5">
      <c r="A616" t="s">
        <v>686</v>
      </c>
      <c r="B616" t="s">
        <v>1685</v>
      </c>
      <c r="C616" s="6">
        <v>45398</v>
      </c>
      <c r="D616" t="s">
        <v>69</v>
      </c>
      <c r="E616" t="s">
        <v>2073</v>
      </c>
      <c r="F616" t="str">
        <f>_xlfn.XLOOKUP(E616,Table8[City],Table8[State])</f>
        <v>Maharashtra</v>
      </c>
      <c r="G616" t="str">
        <f>_xlfn.XLOOKUP(E616,Table8[City],Table8[Region])</f>
        <v>West</v>
      </c>
      <c r="H616" t="s">
        <v>29</v>
      </c>
      <c r="I616" t="str">
        <f>_xlfn.XLOOKUP(H616,Table6[Product],Table6[Category])</f>
        <v>Electronics</v>
      </c>
      <c r="J616" t="s">
        <v>54</v>
      </c>
      <c r="K616">
        <v>1</v>
      </c>
      <c r="L616">
        <f>_xlfn.XLOOKUP(H616,Table6[Product],Table6[Unit Price])</f>
        <v>5000</v>
      </c>
      <c r="M616">
        <f>_xlfn.XLOOKUP(H616,Table6[Product],Table6[Cost Price])</f>
        <v>3200</v>
      </c>
      <c r="N616" s="7">
        <v>0.02</v>
      </c>
      <c r="O616">
        <f t="shared" si="27"/>
        <v>4900</v>
      </c>
      <c r="P616">
        <f t="shared" si="28"/>
        <v>3200</v>
      </c>
      <c r="Q616">
        <f t="shared" si="29"/>
        <v>1700</v>
      </c>
      <c r="R616" t="s">
        <v>46</v>
      </c>
      <c r="S616" t="s">
        <v>51</v>
      </c>
    </row>
    <row r="617" spans="1:19" ht="18" x14ac:dyDescent="0.5">
      <c r="A617" t="s">
        <v>687</v>
      </c>
      <c r="B617" t="s">
        <v>1686</v>
      </c>
      <c r="C617" s="6">
        <v>45561</v>
      </c>
      <c r="D617" t="s">
        <v>2095</v>
      </c>
      <c r="E617" t="s">
        <v>2075</v>
      </c>
      <c r="F617" t="str">
        <f>_xlfn.XLOOKUP(E617,Table8[City],Table8[State])</f>
        <v>Tamil Nadu</v>
      </c>
      <c r="G617" t="str">
        <f>_xlfn.XLOOKUP(E617,Table8[City],Table8[Region])</f>
        <v>South</v>
      </c>
      <c r="H617" t="s">
        <v>16</v>
      </c>
      <c r="I617" t="str">
        <f>_xlfn.XLOOKUP(H617,Table6[Product],Table6[Category])</f>
        <v>Electronics</v>
      </c>
      <c r="J617" t="s">
        <v>58</v>
      </c>
      <c r="K617">
        <v>5</v>
      </c>
      <c r="L617">
        <f>_xlfn.XLOOKUP(H617,Table6[Product],Table6[Unit Price])</f>
        <v>65000</v>
      </c>
      <c r="M617">
        <f>_xlfn.XLOOKUP(H617,Table6[Product],Table6[Cost Price])</f>
        <v>52000</v>
      </c>
      <c r="N617" s="7">
        <v>0.28000000000000003</v>
      </c>
      <c r="O617">
        <f t="shared" si="27"/>
        <v>234000</v>
      </c>
      <c r="P617">
        <f t="shared" si="28"/>
        <v>260000</v>
      </c>
      <c r="Q617">
        <f t="shared" si="29"/>
        <v>-26000</v>
      </c>
      <c r="R617" t="s">
        <v>43</v>
      </c>
      <c r="S617" t="s">
        <v>52</v>
      </c>
    </row>
    <row r="618" spans="1:19" ht="18" x14ac:dyDescent="0.5">
      <c r="A618" t="s">
        <v>688</v>
      </c>
      <c r="B618" t="s">
        <v>1687</v>
      </c>
      <c r="C618" s="6">
        <v>45720</v>
      </c>
      <c r="D618" t="s">
        <v>2097</v>
      </c>
      <c r="E618" t="s">
        <v>2073</v>
      </c>
      <c r="F618" t="str">
        <f>_xlfn.XLOOKUP(E618,Table8[City],Table8[State])</f>
        <v>Maharashtra</v>
      </c>
      <c r="G618" t="str">
        <f>_xlfn.XLOOKUP(E618,Table8[City],Table8[Region])</f>
        <v>West</v>
      </c>
      <c r="H618" t="s">
        <v>29</v>
      </c>
      <c r="I618" t="str">
        <f>_xlfn.XLOOKUP(H618,Table6[Product],Table6[Category])</f>
        <v>Electronics</v>
      </c>
      <c r="J618" t="s">
        <v>58</v>
      </c>
      <c r="K618">
        <v>7</v>
      </c>
      <c r="L618">
        <f>_xlfn.XLOOKUP(H618,Table6[Product],Table6[Unit Price])</f>
        <v>5000</v>
      </c>
      <c r="M618">
        <f>_xlfn.XLOOKUP(H618,Table6[Product],Table6[Cost Price])</f>
        <v>3200</v>
      </c>
      <c r="N618" s="7">
        <v>0.14000000000000001</v>
      </c>
      <c r="O618">
        <f t="shared" si="27"/>
        <v>30100</v>
      </c>
      <c r="P618">
        <f t="shared" si="28"/>
        <v>22400</v>
      </c>
      <c r="Q618">
        <f t="shared" si="29"/>
        <v>7700</v>
      </c>
      <c r="R618" t="s">
        <v>45</v>
      </c>
      <c r="S618" t="s">
        <v>51</v>
      </c>
    </row>
    <row r="619" spans="1:19" ht="18" x14ac:dyDescent="0.5">
      <c r="A619" t="s">
        <v>689</v>
      </c>
      <c r="B619" t="s">
        <v>1688</v>
      </c>
      <c r="C619" s="6">
        <v>45921</v>
      </c>
      <c r="D619" t="s">
        <v>2094</v>
      </c>
      <c r="E619" t="s">
        <v>2105</v>
      </c>
      <c r="F619" t="str">
        <f>_xlfn.XLOOKUP(E619,Table8[City],Table8[State])</f>
        <v>Rajasthan</v>
      </c>
      <c r="G619" t="str">
        <f>_xlfn.XLOOKUP(E619,Table8[City],Table8[Region])</f>
        <v>North</v>
      </c>
      <c r="H619" t="s">
        <v>19</v>
      </c>
      <c r="I619" t="str">
        <f>_xlfn.XLOOKUP(H619,Table6[Product],Table6[Category])</f>
        <v>Electronics</v>
      </c>
      <c r="J619" t="s">
        <v>56</v>
      </c>
      <c r="K619">
        <v>7</v>
      </c>
      <c r="L619">
        <f>_xlfn.XLOOKUP(H619,Table6[Product],Table6[Unit Price])</f>
        <v>25000</v>
      </c>
      <c r="M619">
        <f>_xlfn.XLOOKUP(H619,Table6[Product],Table6[Cost Price])</f>
        <v>20000</v>
      </c>
      <c r="N619" s="7">
        <v>0.1</v>
      </c>
      <c r="O619">
        <f t="shared" si="27"/>
        <v>157500</v>
      </c>
      <c r="P619">
        <f t="shared" si="28"/>
        <v>140000</v>
      </c>
      <c r="Q619">
        <f t="shared" si="29"/>
        <v>17500</v>
      </c>
      <c r="R619" t="s">
        <v>45</v>
      </c>
      <c r="S619" t="s">
        <v>50</v>
      </c>
    </row>
    <row r="620" spans="1:19" ht="18" x14ac:dyDescent="0.5">
      <c r="A620" t="s">
        <v>690</v>
      </c>
      <c r="B620" t="s">
        <v>1689</v>
      </c>
      <c r="C620" s="6">
        <v>45912</v>
      </c>
      <c r="D620" t="s">
        <v>2087</v>
      </c>
      <c r="E620" t="s">
        <v>2079</v>
      </c>
      <c r="F620" t="str">
        <f>_xlfn.XLOOKUP(E620,Table8[City],Table8[State])</f>
        <v>Gujarat</v>
      </c>
      <c r="G620" t="str">
        <f>_xlfn.XLOOKUP(E620,Table8[City],Table8[Region])</f>
        <v>West</v>
      </c>
      <c r="H620" t="s">
        <v>16</v>
      </c>
      <c r="I620" t="str">
        <f>_xlfn.XLOOKUP(H620,Table6[Product],Table6[Category])</f>
        <v>Electronics</v>
      </c>
      <c r="J620" t="s">
        <v>61</v>
      </c>
      <c r="K620">
        <v>1</v>
      </c>
      <c r="L620">
        <f>_xlfn.XLOOKUP(H620,Table6[Product],Table6[Unit Price])</f>
        <v>65000</v>
      </c>
      <c r="M620">
        <f>_xlfn.XLOOKUP(H620,Table6[Product],Table6[Cost Price])</f>
        <v>52000</v>
      </c>
      <c r="N620" s="7">
        <v>0.19</v>
      </c>
      <c r="O620">
        <f t="shared" si="27"/>
        <v>52650</v>
      </c>
      <c r="P620">
        <f t="shared" si="28"/>
        <v>52000</v>
      </c>
      <c r="Q620">
        <f t="shared" si="29"/>
        <v>650</v>
      </c>
      <c r="R620" t="s">
        <v>44</v>
      </c>
      <c r="S620" t="s">
        <v>49</v>
      </c>
    </row>
    <row r="621" spans="1:19" ht="18" x14ac:dyDescent="0.5">
      <c r="A621" t="s">
        <v>691</v>
      </c>
      <c r="B621" t="s">
        <v>1690</v>
      </c>
      <c r="C621" s="6">
        <v>45390</v>
      </c>
      <c r="D621" t="s">
        <v>2087</v>
      </c>
      <c r="E621" t="s">
        <v>2073</v>
      </c>
      <c r="F621" t="str">
        <f>_xlfn.XLOOKUP(E621,Table8[City],Table8[State])</f>
        <v>Maharashtra</v>
      </c>
      <c r="G621" t="str">
        <f>_xlfn.XLOOKUP(E621,Table8[City],Table8[Region])</f>
        <v>West</v>
      </c>
      <c r="H621" t="s">
        <v>20</v>
      </c>
      <c r="I621" t="str">
        <f>_xlfn.XLOOKUP(H621,Table6[Product],Table6[Category])</f>
        <v>Accessories</v>
      </c>
      <c r="J621" t="s">
        <v>60</v>
      </c>
      <c r="K621">
        <v>3</v>
      </c>
      <c r="L621">
        <f>_xlfn.XLOOKUP(H621,Table6[Product],Table6[Unit Price])</f>
        <v>3000</v>
      </c>
      <c r="M621">
        <f>_xlfn.XLOOKUP(H621,Table6[Product],Table6[Cost Price])</f>
        <v>1800</v>
      </c>
      <c r="N621" s="7">
        <v>0.08</v>
      </c>
      <c r="O621">
        <f t="shared" si="27"/>
        <v>8280</v>
      </c>
      <c r="P621">
        <f t="shared" si="28"/>
        <v>5400</v>
      </c>
      <c r="Q621">
        <f t="shared" si="29"/>
        <v>2880</v>
      </c>
      <c r="R621" t="s">
        <v>47</v>
      </c>
      <c r="S621" t="s">
        <v>51</v>
      </c>
    </row>
    <row r="622" spans="1:19" ht="18" x14ac:dyDescent="0.5">
      <c r="A622" t="s">
        <v>692</v>
      </c>
      <c r="B622" t="s">
        <v>1691</v>
      </c>
      <c r="C622" s="6">
        <v>45347</v>
      </c>
      <c r="D622" t="s">
        <v>2093</v>
      </c>
      <c r="E622" t="s">
        <v>2077</v>
      </c>
      <c r="F622" t="str">
        <f>_xlfn.XLOOKUP(E622,Table8[City],Table8[State])</f>
        <v>Telangana</v>
      </c>
      <c r="G622" t="str">
        <f>_xlfn.XLOOKUP(E622,Table8[City],Table8[Region])</f>
        <v>South</v>
      </c>
      <c r="H622" t="s">
        <v>18</v>
      </c>
      <c r="I622" t="str">
        <f>_xlfn.XLOOKUP(H622,Table6[Product],Table6[Category])</f>
        <v>Electronics</v>
      </c>
      <c r="J622" t="s">
        <v>57</v>
      </c>
      <c r="K622">
        <v>6</v>
      </c>
      <c r="L622">
        <f>_xlfn.XLOOKUP(H622,Table6[Product],Table6[Unit Price])</f>
        <v>35000</v>
      </c>
      <c r="M622">
        <f>_xlfn.XLOOKUP(H622,Table6[Product],Table6[Cost Price])</f>
        <v>28000</v>
      </c>
      <c r="N622" s="7">
        <v>7.0000000000000007E-2</v>
      </c>
      <c r="O622">
        <f t="shared" si="27"/>
        <v>195300</v>
      </c>
      <c r="P622">
        <f t="shared" si="28"/>
        <v>168000</v>
      </c>
      <c r="Q622">
        <f t="shared" si="29"/>
        <v>27300</v>
      </c>
      <c r="R622" t="s">
        <v>46</v>
      </c>
      <c r="S622" t="s">
        <v>51</v>
      </c>
    </row>
    <row r="623" spans="1:19" ht="18" x14ac:dyDescent="0.5">
      <c r="A623" t="s">
        <v>693</v>
      </c>
      <c r="B623" t="s">
        <v>1692</v>
      </c>
      <c r="C623" s="6">
        <v>45701</v>
      </c>
      <c r="D623" t="s">
        <v>2093</v>
      </c>
      <c r="E623" t="s">
        <v>2104</v>
      </c>
      <c r="F623" t="str">
        <f>_xlfn.XLOOKUP(E623,Table8[City],Table8[State])</f>
        <v>Delhi</v>
      </c>
      <c r="G623" t="str">
        <f>_xlfn.XLOOKUP(E623,Table8[City],Table8[Region])</f>
        <v>North</v>
      </c>
      <c r="H623" t="s">
        <v>24</v>
      </c>
      <c r="I623" t="str">
        <f>_xlfn.XLOOKUP(H623,Table6[Product],Table6[Category])</f>
        <v>Accessories</v>
      </c>
      <c r="J623" t="s">
        <v>55</v>
      </c>
      <c r="K623">
        <v>4</v>
      </c>
      <c r="L623">
        <f>_xlfn.XLOOKUP(H623,Table6[Product],Table6[Unit Price])</f>
        <v>1500</v>
      </c>
      <c r="M623">
        <f>_xlfn.XLOOKUP(H623,Table6[Product],Table6[Cost Price])</f>
        <v>900</v>
      </c>
      <c r="N623" s="7">
        <v>0.06</v>
      </c>
      <c r="O623">
        <f t="shared" si="27"/>
        <v>5640</v>
      </c>
      <c r="P623">
        <f t="shared" si="28"/>
        <v>3600</v>
      </c>
      <c r="Q623">
        <f t="shared" si="29"/>
        <v>2040</v>
      </c>
      <c r="R623" t="s">
        <v>44</v>
      </c>
      <c r="S623" t="s">
        <v>52</v>
      </c>
    </row>
    <row r="624" spans="1:19" ht="18" x14ac:dyDescent="0.5">
      <c r="A624" t="s">
        <v>694</v>
      </c>
      <c r="B624" t="s">
        <v>1693</v>
      </c>
      <c r="C624" s="6">
        <v>45600</v>
      </c>
      <c r="D624" t="s">
        <v>2096</v>
      </c>
      <c r="E624" t="s">
        <v>2079</v>
      </c>
      <c r="F624" t="str">
        <f>_xlfn.XLOOKUP(E624,Table8[City],Table8[State])</f>
        <v>Gujarat</v>
      </c>
      <c r="G624" t="str">
        <f>_xlfn.XLOOKUP(E624,Table8[City],Table8[Region])</f>
        <v>West</v>
      </c>
      <c r="H624" t="s">
        <v>19</v>
      </c>
      <c r="I624" t="str">
        <f>_xlfn.XLOOKUP(H624,Table6[Product],Table6[Category])</f>
        <v>Electronics</v>
      </c>
      <c r="J624" t="s">
        <v>60</v>
      </c>
      <c r="K624">
        <v>6</v>
      </c>
      <c r="L624">
        <f>_xlfn.XLOOKUP(H624,Table6[Product],Table6[Unit Price])</f>
        <v>25000</v>
      </c>
      <c r="M624">
        <f>_xlfn.XLOOKUP(H624,Table6[Product],Table6[Cost Price])</f>
        <v>20000</v>
      </c>
      <c r="N624" s="7">
        <v>0.12</v>
      </c>
      <c r="O624">
        <f t="shared" si="27"/>
        <v>132000</v>
      </c>
      <c r="P624">
        <f t="shared" si="28"/>
        <v>120000</v>
      </c>
      <c r="Q624">
        <f t="shared" si="29"/>
        <v>12000</v>
      </c>
      <c r="R624" t="s">
        <v>45</v>
      </c>
      <c r="S624" t="s">
        <v>50</v>
      </c>
    </row>
    <row r="625" spans="1:19" ht="18" x14ac:dyDescent="0.5">
      <c r="A625" t="s">
        <v>695</v>
      </c>
      <c r="B625" t="s">
        <v>1694</v>
      </c>
      <c r="C625" s="6">
        <v>45443</v>
      </c>
      <c r="D625" t="s">
        <v>69</v>
      </c>
      <c r="E625" t="s">
        <v>2078</v>
      </c>
      <c r="F625" t="str">
        <f>_xlfn.XLOOKUP(E625,Table8[City],Table8[State])</f>
        <v>Telangana</v>
      </c>
      <c r="G625" t="str">
        <f>_xlfn.XLOOKUP(E625,Table8[City],Table8[Region])</f>
        <v>South</v>
      </c>
      <c r="H625" t="s">
        <v>22</v>
      </c>
      <c r="I625" t="str">
        <f>_xlfn.XLOOKUP(H625,Table6[Product],Table6[Category])</f>
        <v>Wearables</v>
      </c>
      <c r="J625" t="s">
        <v>58</v>
      </c>
      <c r="K625">
        <v>5</v>
      </c>
      <c r="L625">
        <f>_xlfn.XLOOKUP(H625,Table6[Product],Table6[Unit Price])</f>
        <v>12000</v>
      </c>
      <c r="M625">
        <f>_xlfn.XLOOKUP(H625,Table6[Product],Table6[Cost Price])</f>
        <v>8500</v>
      </c>
      <c r="N625" s="7">
        <v>0.27</v>
      </c>
      <c r="O625">
        <f t="shared" si="27"/>
        <v>43800</v>
      </c>
      <c r="P625">
        <f t="shared" si="28"/>
        <v>42500</v>
      </c>
      <c r="Q625">
        <f t="shared" si="29"/>
        <v>1300</v>
      </c>
      <c r="R625" t="s">
        <v>44</v>
      </c>
      <c r="S625" t="s">
        <v>52</v>
      </c>
    </row>
    <row r="626" spans="1:19" ht="18" x14ac:dyDescent="0.5">
      <c r="A626" t="s">
        <v>696</v>
      </c>
      <c r="B626" t="s">
        <v>1695</v>
      </c>
      <c r="C626" s="6">
        <v>45868</v>
      </c>
      <c r="D626" t="s">
        <v>59</v>
      </c>
      <c r="E626" t="s">
        <v>2079</v>
      </c>
      <c r="F626" t="str">
        <f>_xlfn.XLOOKUP(E626,Table8[City],Table8[State])</f>
        <v>Gujarat</v>
      </c>
      <c r="G626" t="str">
        <f>_xlfn.XLOOKUP(E626,Table8[City],Table8[Region])</f>
        <v>West</v>
      </c>
      <c r="H626" t="s">
        <v>19</v>
      </c>
      <c r="I626" t="str">
        <f>_xlfn.XLOOKUP(H626,Table6[Product],Table6[Category])</f>
        <v>Electronics</v>
      </c>
      <c r="J626" t="s">
        <v>54</v>
      </c>
      <c r="K626">
        <v>9</v>
      </c>
      <c r="L626">
        <f>_xlfn.XLOOKUP(H626,Table6[Product],Table6[Unit Price])</f>
        <v>25000</v>
      </c>
      <c r="M626">
        <f>_xlfn.XLOOKUP(H626,Table6[Product],Table6[Cost Price])</f>
        <v>20000</v>
      </c>
      <c r="N626" s="7">
        <v>0.14000000000000001</v>
      </c>
      <c r="O626">
        <f t="shared" si="27"/>
        <v>193500</v>
      </c>
      <c r="P626">
        <f t="shared" si="28"/>
        <v>180000</v>
      </c>
      <c r="Q626">
        <f t="shared" si="29"/>
        <v>13500</v>
      </c>
      <c r="R626" t="s">
        <v>43</v>
      </c>
      <c r="S626" t="s">
        <v>51</v>
      </c>
    </row>
    <row r="627" spans="1:19" ht="18" x14ac:dyDescent="0.5">
      <c r="A627" t="s">
        <v>697</v>
      </c>
      <c r="B627" t="s">
        <v>1696</v>
      </c>
      <c r="C627" s="6">
        <v>45912</v>
      </c>
      <c r="D627" t="s">
        <v>2083</v>
      </c>
      <c r="E627" t="s">
        <v>2078</v>
      </c>
      <c r="F627" t="str">
        <f>_xlfn.XLOOKUP(E627,Table8[City],Table8[State])</f>
        <v>Telangana</v>
      </c>
      <c r="G627" t="str">
        <f>_xlfn.XLOOKUP(E627,Table8[City],Table8[Region])</f>
        <v>South</v>
      </c>
      <c r="H627" t="s">
        <v>26</v>
      </c>
      <c r="I627" t="str">
        <f>_xlfn.XLOOKUP(H627,Table6[Product],Table6[Category])</f>
        <v>Office</v>
      </c>
      <c r="J627" t="s">
        <v>58</v>
      </c>
      <c r="K627">
        <v>4</v>
      </c>
      <c r="L627">
        <f>_xlfn.XLOOKUP(H627,Table6[Product],Table6[Unit Price])</f>
        <v>15000</v>
      </c>
      <c r="M627">
        <f>_xlfn.XLOOKUP(H627,Table6[Product],Table6[Cost Price])</f>
        <v>11500</v>
      </c>
      <c r="N627" s="7">
        <v>0.03</v>
      </c>
      <c r="O627">
        <f t="shared" si="27"/>
        <v>58200</v>
      </c>
      <c r="P627">
        <f t="shared" si="28"/>
        <v>46000</v>
      </c>
      <c r="Q627">
        <f t="shared" si="29"/>
        <v>12200</v>
      </c>
      <c r="R627" t="s">
        <v>47</v>
      </c>
      <c r="S627" t="s">
        <v>51</v>
      </c>
    </row>
    <row r="628" spans="1:19" ht="18" x14ac:dyDescent="0.5">
      <c r="A628" t="s">
        <v>698</v>
      </c>
      <c r="B628" t="s">
        <v>1697</v>
      </c>
      <c r="C628" s="6">
        <v>45763</v>
      </c>
      <c r="D628" t="s">
        <v>2099</v>
      </c>
      <c r="E628" t="s">
        <v>2105</v>
      </c>
      <c r="F628" t="str">
        <f>_xlfn.XLOOKUP(E628,Table8[City],Table8[State])</f>
        <v>Rajasthan</v>
      </c>
      <c r="G628" t="str">
        <f>_xlfn.XLOOKUP(E628,Table8[City],Table8[Region])</f>
        <v>North</v>
      </c>
      <c r="H628" t="s">
        <v>24</v>
      </c>
      <c r="I628" t="str">
        <f>_xlfn.XLOOKUP(H628,Table6[Product],Table6[Category])</f>
        <v>Accessories</v>
      </c>
      <c r="J628" t="s">
        <v>59</v>
      </c>
      <c r="K628">
        <v>10</v>
      </c>
      <c r="L628">
        <f>_xlfn.XLOOKUP(H628,Table6[Product],Table6[Unit Price])</f>
        <v>1500</v>
      </c>
      <c r="M628">
        <f>_xlfn.XLOOKUP(H628,Table6[Product],Table6[Cost Price])</f>
        <v>900</v>
      </c>
      <c r="N628" s="7">
        <v>0.3</v>
      </c>
      <c r="O628">
        <f t="shared" si="27"/>
        <v>10500</v>
      </c>
      <c r="P628">
        <f t="shared" si="28"/>
        <v>9000</v>
      </c>
      <c r="Q628">
        <f t="shared" si="29"/>
        <v>1500</v>
      </c>
      <c r="R628" t="s">
        <v>43</v>
      </c>
      <c r="S628" t="s">
        <v>52</v>
      </c>
    </row>
    <row r="629" spans="1:19" ht="18" x14ac:dyDescent="0.5">
      <c r="A629" t="s">
        <v>699</v>
      </c>
      <c r="B629" t="s">
        <v>1698</v>
      </c>
      <c r="C629" s="6">
        <v>45748</v>
      </c>
      <c r="D629" t="s">
        <v>2086</v>
      </c>
      <c r="E629" t="s">
        <v>2079</v>
      </c>
      <c r="F629" t="str">
        <f>_xlfn.XLOOKUP(E629,Table8[City],Table8[State])</f>
        <v>Gujarat</v>
      </c>
      <c r="G629" t="str">
        <f>_xlfn.XLOOKUP(E629,Table8[City],Table8[Region])</f>
        <v>West</v>
      </c>
      <c r="H629" t="s">
        <v>25</v>
      </c>
      <c r="I629" t="str">
        <f>_xlfn.XLOOKUP(H629,Table6[Product],Table6[Category])</f>
        <v>Accessories</v>
      </c>
      <c r="J629" t="s">
        <v>57</v>
      </c>
      <c r="K629">
        <v>1</v>
      </c>
      <c r="L629">
        <f>_xlfn.XLOOKUP(H629,Table6[Product],Table6[Unit Price])</f>
        <v>800</v>
      </c>
      <c r="M629">
        <f>_xlfn.XLOOKUP(H629,Table6[Product],Table6[Cost Price])</f>
        <v>450</v>
      </c>
      <c r="N629" s="7">
        <v>0.15</v>
      </c>
      <c r="O629">
        <f t="shared" si="27"/>
        <v>680</v>
      </c>
      <c r="P629">
        <f t="shared" si="28"/>
        <v>450</v>
      </c>
      <c r="Q629">
        <f t="shared" si="29"/>
        <v>230</v>
      </c>
      <c r="R629" t="s">
        <v>46</v>
      </c>
      <c r="S629" t="s">
        <v>51</v>
      </c>
    </row>
    <row r="630" spans="1:19" ht="18" x14ac:dyDescent="0.5">
      <c r="A630" t="s">
        <v>700</v>
      </c>
      <c r="B630" t="s">
        <v>1699</v>
      </c>
      <c r="C630" s="6">
        <v>45357</v>
      </c>
      <c r="D630" t="s">
        <v>2088</v>
      </c>
      <c r="E630" t="s">
        <v>2080</v>
      </c>
      <c r="F630" t="str">
        <f>_xlfn.XLOOKUP(E630,Table8[City],Table8[State])</f>
        <v>Gujarat</v>
      </c>
      <c r="G630" t="str">
        <f>_xlfn.XLOOKUP(E630,Table8[City],Table8[Region])</f>
        <v>West</v>
      </c>
      <c r="H630" t="s">
        <v>20</v>
      </c>
      <c r="I630" t="str">
        <f>_xlfn.XLOOKUP(H630,Table6[Product],Table6[Category])</f>
        <v>Accessories</v>
      </c>
      <c r="J630" t="s">
        <v>62</v>
      </c>
      <c r="K630">
        <v>7</v>
      </c>
      <c r="L630">
        <f>_xlfn.XLOOKUP(H630,Table6[Product],Table6[Unit Price])</f>
        <v>3000</v>
      </c>
      <c r="M630">
        <f>_xlfn.XLOOKUP(H630,Table6[Product],Table6[Cost Price])</f>
        <v>1800</v>
      </c>
      <c r="N630" s="7">
        <v>0.12</v>
      </c>
      <c r="O630">
        <f t="shared" si="27"/>
        <v>18480</v>
      </c>
      <c r="P630">
        <f t="shared" si="28"/>
        <v>12600</v>
      </c>
      <c r="Q630">
        <f t="shared" si="29"/>
        <v>5880</v>
      </c>
      <c r="R630" t="s">
        <v>47</v>
      </c>
      <c r="S630" t="s">
        <v>51</v>
      </c>
    </row>
    <row r="631" spans="1:19" ht="18" x14ac:dyDescent="0.5">
      <c r="A631" t="s">
        <v>701</v>
      </c>
      <c r="B631" t="s">
        <v>1700</v>
      </c>
      <c r="C631" s="6">
        <v>45561</v>
      </c>
      <c r="D631" t="s">
        <v>2095</v>
      </c>
      <c r="E631" t="s">
        <v>2106</v>
      </c>
      <c r="F631" t="str">
        <f>_xlfn.XLOOKUP(E631,Table8[City],Table8[State])</f>
        <v>West Bengal</v>
      </c>
      <c r="G631" t="str">
        <f>_xlfn.XLOOKUP(E631,Table8[City],Table8[Region])</f>
        <v>East</v>
      </c>
      <c r="H631" t="s">
        <v>20</v>
      </c>
      <c r="I631" t="str">
        <f>_xlfn.XLOOKUP(H631,Table6[Product],Table6[Category])</f>
        <v>Accessories</v>
      </c>
      <c r="J631" t="s">
        <v>57</v>
      </c>
      <c r="K631">
        <v>4</v>
      </c>
      <c r="L631">
        <f>_xlfn.XLOOKUP(H631,Table6[Product],Table6[Unit Price])</f>
        <v>3000</v>
      </c>
      <c r="M631">
        <f>_xlfn.XLOOKUP(H631,Table6[Product],Table6[Cost Price])</f>
        <v>1800</v>
      </c>
      <c r="N631" s="7">
        <v>0.2</v>
      </c>
      <c r="O631">
        <f t="shared" si="27"/>
        <v>9600</v>
      </c>
      <c r="P631">
        <f t="shared" si="28"/>
        <v>7200</v>
      </c>
      <c r="Q631">
        <f t="shared" si="29"/>
        <v>2400</v>
      </c>
      <c r="R631" t="s">
        <v>46</v>
      </c>
      <c r="S631" t="s">
        <v>50</v>
      </c>
    </row>
    <row r="632" spans="1:19" ht="18" x14ac:dyDescent="0.5">
      <c r="A632" t="s">
        <v>702</v>
      </c>
      <c r="B632" t="s">
        <v>1701</v>
      </c>
      <c r="C632" s="6">
        <v>45894</v>
      </c>
      <c r="D632" t="s">
        <v>2095</v>
      </c>
      <c r="E632" t="s">
        <v>2079</v>
      </c>
      <c r="F632" t="str">
        <f>_xlfn.XLOOKUP(E632,Table8[City],Table8[State])</f>
        <v>Gujarat</v>
      </c>
      <c r="G632" t="str">
        <f>_xlfn.XLOOKUP(E632,Table8[City],Table8[Region])</f>
        <v>West</v>
      </c>
      <c r="H632" t="s">
        <v>24</v>
      </c>
      <c r="I632" t="str">
        <f>_xlfn.XLOOKUP(H632,Table6[Product],Table6[Category])</f>
        <v>Accessories</v>
      </c>
      <c r="J632" t="s">
        <v>58</v>
      </c>
      <c r="K632">
        <v>4</v>
      </c>
      <c r="L632">
        <f>_xlfn.XLOOKUP(H632,Table6[Product],Table6[Unit Price])</f>
        <v>1500</v>
      </c>
      <c r="M632">
        <f>_xlfn.XLOOKUP(H632,Table6[Product],Table6[Cost Price])</f>
        <v>900</v>
      </c>
      <c r="N632" s="7">
        <v>0.09</v>
      </c>
      <c r="O632">
        <f t="shared" si="27"/>
        <v>5460</v>
      </c>
      <c r="P632">
        <f t="shared" si="28"/>
        <v>3600</v>
      </c>
      <c r="Q632">
        <f t="shared" si="29"/>
        <v>1860</v>
      </c>
      <c r="R632" t="s">
        <v>43</v>
      </c>
      <c r="S632" t="s">
        <v>49</v>
      </c>
    </row>
    <row r="633" spans="1:19" ht="18" x14ac:dyDescent="0.5">
      <c r="A633" t="s">
        <v>703</v>
      </c>
      <c r="B633" t="s">
        <v>1702</v>
      </c>
      <c r="C633" s="6">
        <v>45588</v>
      </c>
      <c r="D633" t="s">
        <v>2083</v>
      </c>
      <c r="E633" t="s">
        <v>2073</v>
      </c>
      <c r="F633" t="str">
        <f>_xlfn.XLOOKUP(E633,Table8[City],Table8[State])</f>
        <v>Maharashtra</v>
      </c>
      <c r="G633" t="str">
        <f>_xlfn.XLOOKUP(E633,Table8[City],Table8[Region])</f>
        <v>West</v>
      </c>
      <c r="H633" t="s">
        <v>24</v>
      </c>
      <c r="I633" t="str">
        <f>_xlfn.XLOOKUP(H633,Table6[Product],Table6[Category])</f>
        <v>Accessories</v>
      </c>
      <c r="J633" t="s">
        <v>60</v>
      </c>
      <c r="K633">
        <v>6</v>
      </c>
      <c r="L633">
        <f>_xlfn.XLOOKUP(H633,Table6[Product],Table6[Unit Price])</f>
        <v>1500</v>
      </c>
      <c r="M633">
        <f>_xlfn.XLOOKUP(H633,Table6[Product],Table6[Cost Price])</f>
        <v>900</v>
      </c>
      <c r="N633" s="7">
        <v>0.04</v>
      </c>
      <c r="O633">
        <f t="shared" si="27"/>
        <v>8640</v>
      </c>
      <c r="P633">
        <f t="shared" si="28"/>
        <v>5400</v>
      </c>
      <c r="Q633">
        <f t="shared" si="29"/>
        <v>3240</v>
      </c>
      <c r="R633" t="s">
        <v>43</v>
      </c>
      <c r="S633" t="s">
        <v>51</v>
      </c>
    </row>
    <row r="634" spans="1:19" ht="18" x14ac:dyDescent="0.5">
      <c r="A634" t="s">
        <v>704</v>
      </c>
      <c r="B634" t="s">
        <v>1703</v>
      </c>
      <c r="C634" s="6">
        <v>45493</v>
      </c>
      <c r="D634" t="s">
        <v>2096</v>
      </c>
      <c r="E634" t="s">
        <v>2076</v>
      </c>
      <c r="F634" t="str">
        <f>_xlfn.XLOOKUP(E634,Table8[City],Table8[State])</f>
        <v>Tamil Nadu</v>
      </c>
      <c r="G634" t="str">
        <f>_xlfn.XLOOKUP(E634,Table8[City],Table8[Region])</f>
        <v>South</v>
      </c>
      <c r="H634" t="s">
        <v>26</v>
      </c>
      <c r="I634" t="str">
        <f>_xlfn.XLOOKUP(H634,Table6[Product],Table6[Category])</f>
        <v>Office</v>
      </c>
      <c r="J634" t="s">
        <v>55</v>
      </c>
      <c r="K634">
        <v>10</v>
      </c>
      <c r="L634">
        <f>_xlfn.XLOOKUP(H634,Table6[Product],Table6[Unit Price])</f>
        <v>15000</v>
      </c>
      <c r="M634">
        <f>_xlfn.XLOOKUP(H634,Table6[Product],Table6[Cost Price])</f>
        <v>11500</v>
      </c>
      <c r="N634" s="7">
        <v>0.01</v>
      </c>
      <c r="O634">
        <f t="shared" si="27"/>
        <v>148500</v>
      </c>
      <c r="P634">
        <f t="shared" si="28"/>
        <v>115000</v>
      </c>
      <c r="Q634">
        <f t="shared" si="29"/>
        <v>33500</v>
      </c>
      <c r="R634" t="s">
        <v>44</v>
      </c>
      <c r="S634" t="s">
        <v>51</v>
      </c>
    </row>
    <row r="635" spans="1:19" ht="18" x14ac:dyDescent="0.5">
      <c r="A635" t="s">
        <v>705</v>
      </c>
      <c r="B635" t="s">
        <v>1704</v>
      </c>
      <c r="C635" s="6">
        <v>45855</v>
      </c>
      <c r="D635" t="s">
        <v>2093</v>
      </c>
      <c r="E635" t="s">
        <v>2105</v>
      </c>
      <c r="F635" t="str">
        <f>_xlfn.XLOOKUP(E635,Table8[City],Table8[State])</f>
        <v>Rajasthan</v>
      </c>
      <c r="G635" t="str">
        <f>_xlfn.XLOOKUP(E635,Table8[City],Table8[Region])</f>
        <v>North</v>
      </c>
      <c r="H635" t="s">
        <v>26</v>
      </c>
      <c r="I635" t="str">
        <f>_xlfn.XLOOKUP(H635,Table6[Product],Table6[Category])</f>
        <v>Office</v>
      </c>
      <c r="J635" t="s">
        <v>62</v>
      </c>
      <c r="K635">
        <v>10</v>
      </c>
      <c r="L635">
        <f>_xlfn.XLOOKUP(H635,Table6[Product],Table6[Unit Price])</f>
        <v>15000</v>
      </c>
      <c r="M635">
        <f>_xlfn.XLOOKUP(H635,Table6[Product],Table6[Cost Price])</f>
        <v>11500</v>
      </c>
      <c r="N635" s="7">
        <v>0.13</v>
      </c>
      <c r="O635">
        <f t="shared" si="27"/>
        <v>130500</v>
      </c>
      <c r="P635">
        <f t="shared" si="28"/>
        <v>115000</v>
      </c>
      <c r="Q635">
        <f t="shared" si="29"/>
        <v>15500</v>
      </c>
      <c r="R635" t="s">
        <v>47</v>
      </c>
      <c r="S635" t="s">
        <v>51</v>
      </c>
    </row>
    <row r="636" spans="1:19" ht="18" x14ac:dyDescent="0.5">
      <c r="A636" t="s">
        <v>706</v>
      </c>
      <c r="B636" t="s">
        <v>1705</v>
      </c>
      <c r="C636" s="6">
        <v>46004</v>
      </c>
      <c r="D636" t="s">
        <v>2095</v>
      </c>
      <c r="E636" t="s">
        <v>2078</v>
      </c>
      <c r="F636" t="str">
        <f>_xlfn.XLOOKUP(E636,Table8[City],Table8[State])</f>
        <v>Telangana</v>
      </c>
      <c r="G636" t="str">
        <f>_xlfn.XLOOKUP(E636,Table8[City],Table8[Region])</f>
        <v>South</v>
      </c>
      <c r="H636" t="s">
        <v>18</v>
      </c>
      <c r="I636" t="str">
        <f>_xlfn.XLOOKUP(H636,Table6[Product],Table6[Category])</f>
        <v>Electronics</v>
      </c>
      <c r="J636" t="s">
        <v>61</v>
      </c>
      <c r="K636">
        <v>10</v>
      </c>
      <c r="L636">
        <f>_xlfn.XLOOKUP(H636,Table6[Product],Table6[Unit Price])</f>
        <v>35000</v>
      </c>
      <c r="M636">
        <f>_xlfn.XLOOKUP(H636,Table6[Product],Table6[Cost Price])</f>
        <v>28000</v>
      </c>
      <c r="N636" s="7">
        <v>0.04</v>
      </c>
      <c r="O636">
        <f t="shared" si="27"/>
        <v>336000</v>
      </c>
      <c r="P636">
        <f t="shared" si="28"/>
        <v>280000</v>
      </c>
      <c r="Q636">
        <f t="shared" si="29"/>
        <v>56000</v>
      </c>
      <c r="R636" t="s">
        <v>47</v>
      </c>
      <c r="S636" t="s">
        <v>49</v>
      </c>
    </row>
    <row r="637" spans="1:19" ht="18" x14ac:dyDescent="0.5">
      <c r="A637" t="s">
        <v>707</v>
      </c>
      <c r="B637" t="s">
        <v>1706</v>
      </c>
      <c r="C637" s="6">
        <v>45363</v>
      </c>
      <c r="D637" t="s">
        <v>2086</v>
      </c>
      <c r="E637" t="s">
        <v>2073</v>
      </c>
      <c r="F637" t="str">
        <f>_xlfn.XLOOKUP(E637,Table8[City],Table8[State])</f>
        <v>Maharashtra</v>
      </c>
      <c r="G637" t="str">
        <f>_xlfn.XLOOKUP(E637,Table8[City],Table8[Region])</f>
        <v>West</v>
      </c>
      <c r="H637" t="s">
        <v>26</v>
      </c>
      <c r="I637" t="str">
        <f>_xlfn.XLOOKUP(H637,Table6[Product],Table6[Category])</f>
        <v>Office</v>
      </c>
      <c r="J637" t="s">
        <v>61</v>
      </c>
      <c r="K637">
        <v>6</v>
      </c>
      <c r="L637">
        <f>_xlfn.XLOOKUP(H637,Table6[Product],Table6[Unit Price])</f>
        <v>15000</v>
      </c>
      <c r="M637">
        <f>_xlfn.XLOOKUP(H637,Table6[Product],Table6[Cost Price])</f>
        <v>11500</v>
      </c>
      <c r="N637" s="7">
        <v>0.19</v>
      </c>
      <c r="O637">
        <f t="shared" si="27"/>
        <v>72900</v>
      </c>
      <c r="P637">
        <f t="shared" si="28"/>
        <v>69000</v>
      </c>
      <c r="Q637">
        <f t="shared" si="29"/>
        <v>3900</v>
      </c>
      <c r="R637" t="s">
        <v>43</v>
      </c>
      <c r="S637" t="s">
        <v>50</v>
      </c>
    </row>
    <row r="638" spans="1:19" ht="18" x14ac:dyDescent="0.5">
      <c r="A638" t="s">
        <v>708</v>
      </c>
      <c r="B638" t="s">
        <v>1707</v>
      </c>
      <c r="C638" s="6">
        <v>45753</v>
      </c>
      <c r="D638" t="s">
        <v>2092</v>
      </c>
      <c r="E638" t="s">
        <v>2076</v>
      </c>
      <c r="F638" t="str">
        <f>_xlfn.XLOOKUP(E638,Table8[City],Table8[State])</f>
        <v>Tamil Nadu</v>
      </c>
      <c r="G638" t="str">
        <f>_xlfn.XLOOKUP(E638,Table8[City],Table8[Region])</f>
        <v>South</v>
      </c>
      <c r="H638" t="s">
        <v>16</v>
      </c>
      <c r="I638" t="str">
        <f>_xlfn.XLOOKUP(H638,Table6[Product],Table6[Category])</f>
        <v>Electronics</v>
      </c>
      <c r="J638" t="s">
        <v>62</v>
      </c>
      <c r="K638">
        <v>6</v>
      </c>
      <c r="L638">
        <f>_xlfn.XLOOKUP(H638,Table6[Product],Table6[Unit Price])</f>
        <v>65000</v>
      </c>
      <c r="M638">
        <f>_xlfn.XLOOKUP(H638,Table6[Product],Table6[Cost Price])</f>
        <v>52000</v>
      </c>
      <c r="N638" s="7">
        <v>0.1</v>
      </c>
      <c r="O638">
        <f t="shared" si="27"/>
        <v>351000</v>
      </c>
      <c r="P638">
        <f t="shared" si="28"/>
        <v>312000</v>
      </c>
      <c r="Q638">
        <f t="shared" si="29"/>
        <v>39000</v>
      </c>
      <c r="R638" t="s">
        <v>46</v>
      </c>
      <c r="S638" t="s">
        <v>49</v>
      </c>
    </row>
    <row r="639" spans="1:19" ht="18" x14ac:dyDescent="0.5">
      <c r="A639" t="s">
        <v>709</v>
      </c>
      <c r="B639" t="s">
        <v>1708</v>
      </c>
      <c r="C639" s="6">
        <v>45889</v>
      </c>
      <c r="D639" t="s">
        <v>2091</v>
      </c>
      <c r="E639" t="s">
        <v>2072</v>
      </c>
      <c r="F639" t="str">
        <f>_xlfn.XLOOKUP(E639,Table8[City],Table8[State])</f>
        <v>Karnataka</v>
      </c>
      <c r="G639" t="str">
        <f>_xlfn.XLOOKUP(E639,Table8[City],Table8[Region])</f>
        <v>South</v>
      </c>
      <c r="H639" t="s">
        <v>25</v>
      </c>
      <c r="I639" t="str">
        <f>_xlfn.XLOOKUP(H639,Table6[Product],Table6[Category])</f>
        <v>Accessories</v>
      </c>
      <c r="J639" t="s">
        <v>56</v>
      </c>
      <c r="K639">
        <v>10</v>
      </c>
      <c r="L639">
        <f>_xlfn.XLOOKUP(H639,Table6[Product],Table6[Unit Price])</f>
        <v>800</v>
      </c>
      <c r="M639">
        <f>_xlfn.XLOOKUP(H639,Table6[Product],Table6[Cost Price])</f>
        <v>450</v>
      </c>
      <c r="N639" s="7">
        <v>0.03</v>
      </c>
      <c r="O639">
        <f t="shared" si="27"/>
        <v>7760</v>
      </c>
      <c r="P639">
        <f t="shared" si="28"/>
        <v>4500</v>
      </c>
      <c r="Q639">
        <f t="shared" si="29"/>
        <v>3260</v>
      </c>
      <c r="R639" t="s">
        <v>47</v>
      </c>
      <c r="S639" t="s">
        <v>49</v>
      </c>
    </row>
    <row r="640" spans="1:19" ht="18" x14ac:dyDescent="0.5">
      <c r="A640" t="s">
        <v>710</v>
      </c>
      <c r="B640" t="s">
        <v>1709</v>
      </c>
      <c r="C640" s="6">
        <v>45868</v>
      </c>
      <c r="D640" t="s">
        <v>2091</v>
      </c>
      <c r="E640" t="s">
        <v>2104</v>
      </c>
      <c r="F640" t="str">
        <f>_xlfn.XLOOKUP(E640,Table8[City],Table8[State])</f>
        <v>Delhi</v>
      </c>
      <c r="G640" t="str">
        <f>_xlfn.XLOOKUP(E640,Table8[City],Table8[Region])</f>
        <v>North</v>
      </c>
      <c r="H640" t="s">
        <v>28</v>
      </c>
      <c r="I640" t="str">
        <f>_xlfn.XLOOKUP(H640,Table6[Product],Table6[Category])</f>
        <v>Office</v>
      </c>
      <c r="J640" t="s">
        <v>63</v>
      </c>
      <c r="K640">
        <v>9</v>
      </c>
      <c r="L640">
        <f>_xlfn.XLOOKUP(H640,Table6[Product],Table6[Unit Price])</f>
        <v>18000</v>
      </c>
      <c r="M640">
        <f>_xlfn.XLOOKUP(H640,Table6[Product],Table6[Cost Price])</f>
        <v>14000</v>
      </c>
      <c r="N640" s="7">
        <v>0.1</v>
      </c>
      <c r="O640">
        <f t="shared" si="27"/>
        <v>145800</v>
      </c>
      <c r="P640">
        <f t="shared" si="28"/>
        <v>126000</v>
      </c>
      <c r="Q640">
        <f t="shared" si="29"/>
        <v>19800</v>
      </c>
      <c r="R640" t="s">
        <v>46</v>
      </c>
      <c r="S640" t="s">
        <v>52</v>
      </c>
    </row>
    <row r="641" spans="1:19" ht="18" x14ac:dyDescent="0.5">
      <c r="A641" t="s">
        <v>711</v>
      </c>
      <c r="B641" t="s">
        <v>1710</v>
      </c>
      <c r="C641" s="6">
        <v>45989</v>
      </c>
      <c r="D641" t="s">
        <v>2091</v>
      </c>
      <c r="E641" t="s">
        <v>2105</v>
      </c>
      <c r="F641" t="str">
        <f>_xlfn.XLOOKUP(E641,Table8[City],Table8[State])</f>
        <v>Rajasthan</v>
      </c>
      <c r="G641" t="str">
        <f>_xlfn.XLOOKUP(E641,Table8[City],Table8[Region])</f>
        <v>North</v>
      </c>
      <c r="H641" t="s">
        <v>16</v>
      </c>
      <c r="I641" t="str">
        <f>_xlfn.XLOOKUP(H641,Table6[Product],Table6[Category])</f>
        <v>Electronics</v>
      </c>
      <c r="J641" t="s">
        <v>59</v>
      </c>
      <c r="K641">
        <v>8</v>
      </c>
      <c r="L641">
        <f>_xlfn.XLOOKUP(H641,Table6[Product],Table6[Unit Price])</f>
        <v>65000</v>
      </c>
      <c r="M641">
        <f>_xlfn.XLOOKUP(H641,Table6[Product],Table6[Cost Price])</f>
        <v>52000</v>
      </c>
      <c r="N641" s="7">
        <v>0.22</v>
      </c>
      <c r="O641">
        <f t="shared" si="27"/>
        <v>405600</v>
      </c>
      <c r="P641">
        <f t="shared" si="28"/>
        <v>416000</v>
      </c>
      <c r="Q641">
        <f t="shared" si="29"/>
        <v>-10400</v>
      </c>
      <c r="R641" t="s">
        <v>43</v>
      </c>
      <c r="S641" t="s">
        <v>50</v>
      </c>
    </row>
    <row r="642" spans="1:19" ht="18" x14ac:dyDescent="0.5">
      <c r="A642" t="s">
        <v>712</v>
      </c>
      <c r="B642" t="s">
        <v>1711</v>
      </c>
      <c r="C642" s="6">
        <v>45407</v>
      </c>
      <c r="D642" t="s">
        <v>2084</v>
      </c>
      <c r="E642" t="s">
        <v>2105</v>
      </c>
      <c r="F642" t="str">
        <f>_xlfn.XLOOKUP(E642,Table8[City],Table8[State])</f>
        <v>Rajasthan</v>
      </c>
      <c r="G642" t="str">
        <f>_xlfn.XLOOKUP(E642,Table8[City],Table8[Region])</f>
        <v>North</v>
      </c>
      <c r="H642" t="s">
        <v>24</v>
      </c>
      <c r="I642" t="str">
        <f>_xlfn.XLOOKUP(H642,Table6[Product],Table6[Category])</f>
        <v>Accessories</v>
      </c>
      <c r="J642" t="s">
        <v>59</v>
      </c>
      <c r="K642">
        <v>9</v>
      </c>
      <c r="L642">
        <f>_xlfn.XLOOKUP(H642,Table6[Product],Table6[Unit Price])</f>
        <v>1500</v>
      </c>
      <c r="M642">
        <f>_xlfn.XLOOKUP(H642,Table6[Product],Table6[Cost Price])</f>
        <v>900</v>
      </c>
      <c r="N642" s="7">
        <v>0.28999999999999998</v>
      </c>
      <c r="O642">
        <f t="shared" si="27"/>
        <v>9585</v>
      </c>
      <c r="P642">
        <f t="shared" si="28"/>
        <v>8100</v>
      </c>
      <c r="Q642">
        <f t="shared" si="29"/>
        <v>1485</v>
      </c>
      <c r="R642" t="s">
        <v>47</v>
      </c>
      <c r="S642" t="s">
        <v>50</v>
      </c>
    </row>
    <row r="643" spans="1:19" ht="18" x14ac:dyDescent="0.5">
      <c r="A643" t="s">
        <v>713</v>
      </c>
      <c r="B643" t="s">
        <v>1712</v>
      </c>
      <c r="C643" s="6">
        <v>45747</v>
      </c>
      <c r="D643" t="s">
        <v>2098</v>
      </c>
      <c r="E643" t="s">
        <v>2077</v>
      </c>
      <c r="F643" t="str">
        <f>_xlfn.XLOOKUP(E643,Table8[City],Table8[State])</f>
        <v>Telangana</v>
      </c>
      <c r="G643" t="str">
        <f>_xlfn.XLOOKUP(E643,Table8[City],Table8[Region])</f>
        <v>South</v>
      </c>
      <c r="H643" t="s">
        <v>24</v>
      </c>
      <c r="I643" t="str">
        <f>_xlfn.XLOOKUP(H643,Table6[Product],Table6[Category])</f>
        <v>Accessories</v>
      </c>
      <c r="J643" t="s">
        <v>59</v>
      </c>
      <c r="K643">
        <v>8</v>
      </c>
      <c r="L643">
        <f>_xlfn.XLOOKUP(H643,Table6[Product],Table6[Unit Price])</f>
        <v>1500</v>
      </c>
      <c r="M643">
        <f>_xlfn.XLOOKUP(H643,Table6[Product],Table6[Cost Price])</f>
        <v>900</v>
      </c>
      <c r="N643" s="7">
        <v>7.0000000000000007E-2</v>
      </c>
      <c r="O643">
        <f t="shared" ref="O643:O706" si="30">(L643*K643)*(1-N643)</f>
        <v>11160</v>
      </c>
      <c r="P643">
        <f t="shared" ref="P643:P706" si="31">M643*K643</f>
        <v>7200</v>
      </c>
      <c r="Q643">
        <f t="shared" ref="Q643:Q706" si="32">O643-P643</f>
        <v>3960</v>
      </c>
      <c r="R643" t="s">
        <v>47</v>
      </c>
      <c r="S643" t="s">
        <v>51</v>
      </c>
    </row>
    <row r="644" spans="1:19" ht="18" x14ac:dyDescent="0.5">
      <c r="A644" t="s">
        <v>714</v>
      </c>
      <c r="B644" t="s">
        <v>1713</v>
      </c>
      <c r="C644" s="6">
        <v>45897</v>
      </c>
      <c r="D644" t="s">
        <v>2091</v>
      </c>
      <c r="E644" t="s">
        <v>2104</v>
      </c>
      <c r="F644" t="str">
        <f>_xlfn.XLOOKUP(E644,Table8[City],Table8[State])</f>
        <v>Delhi</v>
      </c>
      <c r="G644" t="str">
        <f>_xlfn.XLOOKUP(E644,Table8[City],Table8[Region])</f>
        <v>North</v>
      </c>
      <c r="H644" t="s">
        <v>16</v>
      </c>
      <c r="I644" t="str">
        <f>_xlfn.XLOOKUP(H644,Table6[Product],Table6[Category])</f>
        <v>Electronics</v>
      </c>
      <c r="J644" t="s">
        <v>57</v>
      </c>
      <c r="K644">
        <v>10</v>
      </c>
      <c r="L644">
        <f>_xlfn.XLOOKUP(H644,Table6[Product],Table6[Unit Price])</f>
        <v>65000</v>
      </c>
      <c r="M644">
        <f>_xlfn.XLOOKUP(H644,Table6[Product],Table6[Cost Price])</f>
        <v>52000</v>
      </c>
      <c r="N644" s="7">
        <v>0.24</v>
      </c>
      <c r="O644">
        <f t="shared" si="30"/>
        <v>494000</v>
      </c>
      <c r="P644">
        <f t="shared" si="31"/>
        <v>520000</v>
      </c>
      <c r="Q644">
        <f t="shared" si="32"/>
        <v>-26000</v>
      </c>
      <c r="R644" t="s">
        <v>45</v>
      </c>
      <c r="S644" t="s">
        <v>52</v>
      </c>
    </row>
    <row r="645" spans="1:19" ht="18" x14ac:dyDescent="0.5">
      <c r="A645" t="s">
        <v>715</v>
      </c>
      <c r="B645" t="s">
        <v>1714</v>
      </c>
      <c r="C645" s="6">
        <v>45806</v>
      </c>
      <c r="D645" t="s">
        <v>59</v>
      </c>
      <c r="E645" t="s">
        <v>2077</v>
      </c>
      <c r="F645" t="str">
        <f>_xlfn.XLOOKUP(E645,Table8[City],Table8[State])</f>
        <v>Telangana</v>
      </c>
      <c r="G645" t="str">
        <f>_xlfn.XLOOKUP(E645,Table8[City],Table8[Region])</f>
        <v>South</v>
      </c>
      <c r="H645" t="s">
        <v>20</v>
      </c>
      <c r="I645" t="str">
        <f>_xlfn.XLOOKUP(H645,Table6[Product],Table6[Category])</f>
        <v>Accessories</v>
      </c>
      <c r="J645" t="s">
        <v>62</v>
      </c>
      <c r="K645">
        <v>10</v>
      </c>
      <c r="L645">
        <f>_xlfn.XLOOKUP(H645,Table6[Product],Table6[Unit Price])</f>
        <v>3000</v>
      </c>
      <c r="M645">
        <f>_xlfn.XLOOKUP(H645,Table6[Product],Table6[Cost Price])</f>
        <v>1800</v>
      </c>
      <c r="N645" s="7">
        <v>7.0000000000000007E-2</v>
      </c>
      <c r="O645">
        <f t="shared" si="30"/>
        <v>27899.999999999996</v>
      </c>
      <c r="P645">
        <f t="shared" si="31"/>
        <v>18000</v>
      </c>
      <c r="Q645">
        <f t="shared" si="32"/>
        <v>9899.9999999999964</v>
      </c>
      <c r="R645" t="s">
        <v>43</v>
      </c>
      <c r="S645" t="s">
        <v>50</v>
      </c>
    </row>
    <row r="646" spans="1:19" ht="18" x14ac:dyDescent="0.5">
      <c r="A646" t="s">
        <v>716</v>
      </c>
      <c r="B646" t="s">
        <v>1715</v>
      </c>
      <c r="C646" s="6">
        <v>45905</v>
      </c>
      <c r="D646" t="s">
        <v>2084</v>
      </c>
      <c r="E646" t="s">
        <v>2076</v>
      </c>
      <c r="F646" t="str">
        <f>_xlfn.XLOOKUP(E646,Table8[City],Table8[State])</f>
        <v>Tamil Nadu</v>
      </c>
      <c r="G646" t="str">
        <f>_xlfn.XLOOKUP(E646,Table8[City],Table8[Region])</f>
        <v>South</v>
      </c>
      <c r="H646" t="s">
        <v>18</v>
      </c>
      <c r="I646" t="str">
        <f>_xlfn.XLOOKUP(H646,Table6[Product],Table6[Category])</f>
        <v>Electronics</v>
      </c>
      <c r="J646" t="s">
        <v>62</v>
      </c>
      <c r="K646">
        <v>8</v>
      </c>
      <c r="L646">
        <f>_xlfn.XLOOKUP(H646,Table6[Product],Table6[Unit Price])</f>
        <v>35000</v>
      </c>
      <c r="M646">
        <f>_xlfn.XLOOKUP(H646,Table6[Product],Table6[Cost Price])</f>
        <v>28000</v>
      </c>
      <c r="N646" s="7">
        <v>0.27</v>
      </c>
      <c r="O646">
        <f t="shared" si="30"/>
        <v>204400</v>
      </c>
      <c r="P646">
        <f t="shared" si="31"/>
        <v>224000</v>
      </c>
      <c r="Q646">
        <f t="shared" si="32"/>
        <v>-19600</v>
      </c>
      <c r="R646" t="s">
        <v>45</v>
      </c>
      <c r="S646" t="s">
        <v>50</v>
      </c>
    </row>
    <row r="647" spans="1:19" ht="18" x14ac:dyDescent="0.5">
      <c r="A647" t="s">
        <v>717</v>
      </c>
      <c r="B647" t="s">
        <v>1716</v>
      </c>
      <c r="C647" s="6">
        <v>45529</v>
      </c>
      <c r="D647" t="s">
        <v>2094</v>
      </c>
      <c r="E647" t="s">
        <v>2077</v>
      </c>
      <c r="F647" t="str">
        <f>_xlfn.XLOOKUP(E647,Table8[City],Table8[State])</f>
        <v>Telangana</v>
      </c>
      <c r="G647" t="str">
        <f>_xlfn.XLOOKUP(E647,Table8[City],Table8[Region])</f>
        <v>South</v>
      </c>
      <c r="H647" t="s">
        <v>28</v>
      </c>
      <c r="I647" t="str">
        <f>_xlfn.XLOOKUP(H647,Table6[Product],Table6[Category])</f>
        <v>Office</v>
      </c>
      <c r="J647" t="s">
        <v>63</v>
      </c>
      <c r="K647">
        <v>9</v>
      </c>
      <c r="L647">
        <f>_xlfn.XLOOKUP(H647,Table6[Product],Table6[Unit Price])</f>
        <v>18000</v>
      </c>
      <c r="M647">
        <f>_xlfn.XLOOKUP(H647,Table6[Product],Table6[Cost Price])</f>
        <v>14000</v>
      </c>
      <c r="N647" s="7">
        <v>0.17</v>
      </c>
      <c r="O647">
        <f t="shared" si="30"/>
        <v>134460</v>
      </c>
      <c r="P647">
        <f t="shared" si="31"/>
        <v>126000</v>
      </c>
      <c r="Q647">
        <f t="shared" si="32"/>
        <v>8460</v>
      </c>
      <c r="R647" t="s">
        <v>47</v>
      </c>
      <c r="S647" t="s">
        <v>51</v>
      </c>
    </row>
    <row r="648" spans="1:19" ht="18" x14ac:dyDescent="0.5">
      <c r="A648" t="s">
        <v>718</v>
      </c>
      <c r="B648" t="s">
        <v>1717</v>
      </c>
      <c r="C648" s="6">
        <v>46006</v>
      </c>
      <c r="D648" t="s">
        <v>2091</v>
      </c>
      <c r="E648" t="s">
        <v>2076</v>
      </c>
      <c r="F648" t="str">
        <f>_xlfn.XLOOKUP(E648,Table8[City],Table8[State])</f>
        <v>Tamil Nadu</v>
      </c>
      <c r="G648" t="str">
        <f>_xlfn.XLOOKUP(E648,Table8[City],Table8[Region])</f>
        <v>South</v>
      </c>
      <c r="H648" t="s">
        <v>22</v>
      </c>
      <c r="I648" t="str">
        <f>_xlfn.XLOOKUP(H648,Table6[Product],Table6[Category])</f>
        <v>Wearables</v>
      </c>
      <c r="J648" t="s">
        <v>60</v>
      </c>
      <c r="K648">
        <v>10</v>
      </c>
      <c r="L648">
        <f>_xlfn.XLOOKUP(H648,Table6[Product],Table6[Unit Price])</f>
        <v>12000</v>
      </c>
      <c r="M648">
        <f>_xlfn.XLOOKUP(H648,Table6[Product],Table6[Cost Price])</f>
        <v>8500</v>
      </c>
      <c r="N648" s="7">
        <v>0.14000000000000001</v>
      </c>
      <c r="O648">
        <f t="shared" si="30"/>
        <v>103200</v>
      </c>
      <c r="P648">
        <f t="shared" si="31"/>
        <v>85000</v>
      </c>
      <c r="Q648">
        <f t="shared" si="32"/>
        <v>18200</v>
      </c>
      <c r="R648" t="s">
        <v>47</v>
      </c>
      <c r="S648" t="s">
        <v>52</v>
      </c>
    </row>
    <row r="649" spans="1:19" ht="18" x14ac:dyDescent="0.5">
      <c r="A649" t="s">
        <v>719</v>
      </c>
      <c r="B649" t="s">
        <v>1718</v>
      </c>
      <c r="C649" s="6">
        <v>45987</v>
      </c>
      <c r="D649" t="s">
        <v>2094</v>
      </c>
      <c r="E649" t="s">
        <v>2078</v>
      </c>
      <c r="F649" t="str">
        <f>_xlfn.XLOOKUP(E649,Table8[City],Table8[State])</f>
        <v>Telangana</v>
      </c>
      <c r="G649" t="str">
        <f>_xlfn.XLOOKUP(E649,Table8[City],Table8[Region])</f>
        <v>South</v>
      </c>
      <c r="H649" t="s">
        <v>19</v>
      </c>
      <c r="I649" t="str">
        <f>_xlfn.XLOOKUP(H649,Table6[Product],Table6[Category])</f>
        <v>Electronics</v>
      </c>
      <c r="J649" t="s">
        <v>58</v>
      </c>
      <c r="K649">
        <v>4</v>
      </c>
      <c r="L649">
        <f>_xlfn.XLOOKUP(H649,Table6[Product],Table6[Unit Price])</f>
        <v>25000</v>
      </c>
      <c r="M649">
        <f>_xlfn.XLOOKUP(H649,Table6[Product],Table6[Cost Price])</f>
        <v>20000</v>
      </c>
      <c r="N649" s="7">
        <v>0.04</v>
      </c>
      <c r="O649">
        <f t="shared" si="30"/>
        <v>96000</v>
      </c>
      <c r="P649">
        <f t="shared" si="31"/>
        <v>80000</v>
      </c>
      <c r="Q649">
        <f t="shared" si="32"/>
        <v>16000</v>
      </c>
      <c r="R649" t="s">
        <v>45</v>
      </c>
      <c r="S649" t="s">
        <v>49</v>
      </c>
    </row>
    <row r="650" spans="1:19" ht="18" x14ac:dyDescent="0.5">
      <c r="A650" t="s">
        <v>720</v>
      </c>
      <c r="B650" t="s">
        <v>1719</v>
      </c>
      <c r="C650" s="6">
        <v>45830</v>
      </c>
      <c r="D650" t="s">
        <v>2083</v>
      </c>
      <c r="E650" t="s">
        <v>2072</v>
      </c>
      <c r="F650" t="str">
        <f>_xlfn.XLOOKUP(E650,Table8[City],Table8[State])</f>
        <v>Karnataka</v>
      </c>
      <c r="G650" t="str">
        <f>_xlfn.XLOOKUP(E650,Table8[City],Table8[Region])</f>
        <v>South</v>
      </c>
      <c r="H650" t="s">
        <v>29</v>
      </c>
      <c r="I650" t="str">
        <f>_xlfn.XLOOKUP(H650,Table6[Product],Table6[Category])</f>
        <v>Electronics</v>
      </c>
      <c r="J650" t="s">
        <v>59</v>
      </c>
      <c r="K650">
        <v>9</v>
      </c>
      <c r="L650">
        <f>_xlfn.XLOOKUP(H650,Table6[Product],Table6[Unit Price])</f>
        <v>5000</v>
      </c>
      <c r="M650">
        <f>_xlfn.XLOOKUP(H650,Table6[Product],Table6[Cost Price])</f>
        <v>3200</v>
      </c>
      <c r="N650" s="7">
        <v>0.02</v>
      </c>
      <c r="O650">
        <f t="shared" si="30"/>
        <v>44100</v>
      </c>
      <c r="P650">
        <f t="shared" si="31"/>
        <v>28800</v>
      </c>
      <c r="Q650">
        <f t="shared" si="32"/>
        <v>15300</v>
      </c>
      <c r="R650" t="s">
        <v>45</v>
      </c>
      <c r="S650" t="s">
        <v>52</v>
      </c>
    </row>
    <row r="651" spans="1:19" ht="18" x14ac:dyDescent="0.5">
      <c r="A651" t="s">
        <v>721</v>
      </c>
      <c r="B651" t="s">
        <v>1720</v>
      </c>
      <c r="C651" s="6">
        <v>45767</v>
      </c>
      <c r="D651" t="s">
        <v>59</v>
      </c>
      <c r="E651" t="s">
        <v>2080</v>
      </c>
      <c r="F651" t="str">
        <f>_xlfn.XLOOKUP(E651,Table8[City],Table8[State])</f>
        <v>Gujarat</v>
      </c>
      <c r="G651" t="str">
        <f>_xlfn.XLOOKUP(E651,Table8[City],Table8[Region])</f>
        <v>West</v>
      </c>
      <c r="H651" t="s">
        <v>26</v>
      </c>
      <c r="I651" t="str">
        <f>_xlfn.XLOOKUP(H651,Table6[Product],Table6[Category])</f>
        <v>Office</v>
      </c>
      <c r="J651" t="s">
        <v>58</v>
      </c>
      <c r="K651">
        <v>3</v>
      </c>
      <c r="L651">
        <f>_xlfn.XLOOKUP(H651,Table6[Product],Table6[Unit Price])</f>
        <v>15000</v>
      </c>
      <c r="M651">
        <f>_xlfn.XLOOKUP(H651,Table6[Product],Table6[Cost Price])</f>
        <v>11500</v>
      </c>
      <c r="N651" s="7">
        <v>0.21</v>
      </c>
      <c r="O651">
        <f t="shared" si="30"/>
        <v>35550</v>
      </c>
      <c r="P651">
        <f t="shared" si="31"/>
        <v>34500</v>
      </c>
      <c r="Q651">
        <f t="shared" si="32"/>
        <v>1050</v>
      </c>
      <c r="R651" t="s">
        <v>47</v>
      </c>
      <c r="S651" t="s">
        <v>49</v>
      </c>
    </row>
    <row r="652" spans="1:19" ht="18" x14ac:dyDescent="0.5">
      <c r="A652" t="s">
        <v>722</v>
      </c>
      <c r="B652" t="s">
        <v>1721</v>
      </c>
      <c r="C652" s="6">
        <v>45966</v>
      </c>
      <c r="D652" t="s">
        <v>2084</v>
      </c>
      <c r="E652" t="s">
        <v>2074</v>
      </c>
      <c r="F652" t="str">
        <f>_xlfn.XLOOKUP(E652,Table8[City],Table8[State])</f>
        <v>Maharashtra</v>
      </c>
      <c r="G652" t="str">
        <f>_xlfn.XLOOKUP(E652,Table8[City],Table8[Region])</f>
        <v>West</v>
      </c>
      <c r="H652" t="s">
        <v>20</v>
      </c>
      <c r="I652" t="str">
        <f>_xlfn.XLOOKUP(H652,Table6[Product],Table6[Category])</f>
        <v>Accessories</v>
      </c>
      <c r="J652" t="s">
        <v>59</v>
      </c>
      <c r="K652">
        <v>7</v>
      </c>
      <c r="L652">
        <f>_xlfn.XLOOKUP(H652,Table6[Product],Table6[Unit Price])</f>
        <v>3000</v>
      </c>
      <c r="M652">
        <f>_xlfn.XLOOKUP(H652,Table6[Product],Table6[Cost Price])</f>
        <v>1800</v>
      </c>
      <c r="N652" s="7">
        <v>0.03</v>
      </c>
      <c r="O652">
        <f t="shared" si="30"/>
        <v>20370</v>
      </c>
      <c r="P652">
        <f t="shared" si="31"/>
        <v>12600</v>
      </c>
      <c r="Q652">
        <f t="shared" si="32"/>
        <v>7770</v>
      </c>
      <c r="R652" t="s">
        <v>46</v>
      </c>
      <c r="S652" t="s">
        <v>51</v>
      </c>
    </row>
    <row r="653" spans="1:19" ht="18" x14ac:dyDescent="0.5">
      <c r="A653" t="s">
        <v>723</v>
      </c>
      <c r="B653" t="s">
        <v>1722</v>
      </c>
      <c r="C653" s="6">
        <v>45688</v>
      </c>
      <c r="D653" t="s">
        <v>2097</v>
      </c>
      <c r="E653" t="s">
        <v>2106</v>
      </c>
      <c r="F653" t="str">
        <f>_xlfn.XLOOKUP(E653,Table8[City],Table8[State])</f>
        <v>West Bengal</v>
      </c>
      <c r="G653" t="str">
        <f>_xlfn.XLOOKUP(E653,Table8[City],Table8[Region])</f>
        <v>East</v>
      </c>
      <c r="H653" t="s">
        <v>24</v>
      </c>
      <c r="I653" t="str">
        <f>_xlfn.XLOOKUP(H653,Table6[Product],Table6[Category])</f>
        <v>Accessories</v>
      </c>
      <c r="J653" t="s">
        <v>57</v>
      </c>
      <c r="K653">
        <v>9</v>
      </c>
      <c r="L653">
        <f>_xlfn.XLOOKUP(H653,Table6[Product],Table6[Unit Price])</f>
        <v>1500</v>
      </c>
      <c r="M653">
        <f>_xlfn.XLOOKUP(H653,Table6[Product],Table6[Cost Price])</f>
        <v>900</v>
      </c>
      <c r="N653" s="7">
        <v>0.19</v>
      </c>
      <c r="O653">
        <f t="shared" si="30"/>
        <v>10935</v>
      </c>
      <c r="P653">
        <f t="shared" si="31"/>
        <v>8100</v>
      </c>
      <c r="Q653">
        <f t="shared" si="32"/>
        <v>2835</v>
      </c>
      <c r="R653" t="s">
        <v>46</v>
      </c>
      <c r="S653" t="s">
        <v>51</v>
      </c>
    </row>
    <row r="654" spans="1:19" ht="18" x14ac:dyDescent="0.5">
      <c r="A654" t="s">
        <v>724</v>
      </c>
      <c r="B654" t="s">
        <v>1723</v>
      </c>
      <c r="C654" s="6">
        <v>45887</v>
      </c>
      <c r="D654" t="s">
        <v>2086</v>
      </c>
      <c r="E654" t="s">
        <v>2075</v>
      </c>
      <c r="F654" t="str">
        <f>_xlfn.XLOOKUP(E654,Table8[City],Table8[State])</f>
        <v>Tamil Nadu</v>
      </c>
      <c r="G654" t="str">
        <f>_xlfn.XLOOKUP(E654,Table8[City],Table8[Region])</f>
        <v>South</v>
      </c>
      <c r="H654" t="s">
        <v>26</v>
      </c>
      <c r="I654" t="str">
        <f>_xlfn.XLOOKUP(H654,Table6[Product],Table6[Category])</f>
        <v>Office</v>
      </c>
      <c r="J654" t="s">
        <v>54</v>
      </c>
      <c r="K654">
        <v>4</v>
      </c>
      <c r="L654">
        <f>_xlfn.XLOOKUP(H654,Table6[Product],Table6[Unit Price])</f>
        <v>15000</v>
      </c>
      <c r="M654">
        <f>_xlfn.XLOOKUP(H654,Table6[Product],Table6[Cost Price])</f>
        <v>11500</v>
      </c>
      <c r="N654" s="7">
        <v>0.2</v>
      </c>
      <c r="O654">
        <f t="shared" si="30"/>
        <v>48000</v>
      </c>
      <c r="P654">
        <f t="shared" si="31"/>
        <v>46000</v>
      </c>
      <c r="Q654">
        <f t="shared" si="32"/>
        <v>2000</v>
      </c>
      <c r="R654" t="s">
        <v>47</v>
      </c>
      <c r="S654" t="s">
        <v>52</v>
      </c>
    </row>
    <row r="655" spans="1:19" ht="18" x14ac:dyDescent="0.5">
      <c r="A655" t="s">
        <v>725</v>
      </c>
      <c r="B655" t="s">
        <v>1724</v>
      </c>
      <c r="C655" s="6">
        <v>45302</v>
      </c>
      <c r="D655" t="s">
        <v>2090</v>
      </c>
      <c r="E655" t="s">
        <v>2078</v>
      </c>
      <c r="F655" t="str">
        <f>_xlfn.XLOOKUP(E655,Table8[City],Table8[State])</f>
        <v>Telangana</v>
      </c>
      <c r="G655" t="str">
        <f>_xlfn.XLOOKUP(E655,Table8[City],Table8[Region])</f>
        <v>South</v>
      </c>
      <c r="H655" t="s">
        <v>29</v>
      </c>
      <c r="I655" t="str">
        <f>_xlfn.XLOOKUP(H655,Table6[Product],Table6[Category])</f>
        <v>Electronics</v>
      </c>
      <c r="J655" t="s">
        <v>54</v>
      </c>
      <c r="K655">
        <v>7</v>
      </c>
      <c r="L655">
        <f>_xlfn.XLOOKUP(H655,Table6[Product],Table6[Unit Price])</f>
        <v>5000</v>
      </c>
      <c r="M655">
        <f>_xlfn.XLOOKUP(H655,Table6[Product],Table6[Cost Price])</f>
        <v>3200</v>
      </c>
      <c r="N655" s="7">
        <v>0.14000000000000001</v>
      </c>
      <c r="O655">
        <f t="shared" si="30"/>
        <v>30100</v>
      </c>
      <c r="P655">
        <f t="shared" si="31"/>
        <v>22400</v>
      </c>
      <c r="Q655">
        <f t="shared" si="32"/>
        <v>7700</v>
      </c>
      <c r="R655" t="s">
        <v>45</v>
      </c>
      <c r="S655" t="s">
        <v>52</v>
      </c>
    </row>
    <row r="656" spans="1:19" ht="18" x14ac:dyDescent="0.5">
      <c r="A656" t="s">
        <v>726</v>
      </c>
      <c r="B656" t="s">
        <v>1725</v>
      </c>
      <c r="C656" s="6">
        <v>45640</v>
      </c>
      <c r="D656" t="s">
        <v>2090</v>
      </c>
      <c r="E656" t="s">
        <v>2073</v>
      </c>
      <c r="F656" t="str">
        <f>_xlfn.XLOOKUP(E656,Table8[City],Table8[State])</f>
        <v>Maharashtra</v>
      </c>
      <c r="G656" t="str">
        <f>_xlfn.XLOOKUP(E656,Table8[City],Table8[Region])</f>
        <v>West</v>
      </c>
      <c r="H656" t="s">
        <v>24</v>
      </c>
      <c r="I656" t="str">
        <f>_xlfn.XLOOKUP(H656,Table6[Product],Table6[Category])</f>
        <v>Accessories</v>
      </c>
      <c r="J656" t="s">
        <v>62</v>
      </c>
      <c r="K656">
        <v>1</v>
      </c>
      <c r="L656">
        <f>_xlfn.XLOOKUP(H656,Table6[Product],Table6[Unit Price])</f>
        <v>1500</v>
      </c>
      <c r="M656">
        <f>_xlfn.XLOOKUP(H656,Table6[Product],Table6[Cost Price])</f>
        <v>900</v>
      </c>
      <c r="N656" s="7">
        <v>0.2</v>
      </c>
      <c r="O656">
        <f t="shared" si="30"/>
        <v>1200</v>
      </c>
      <c r="P656">
        <f t="shared" si="31"/>
        <v>900</v>
      </c>
      <c r="Q656">
        <f t="shared" si="32"/>
        <v>300</v>
      </c>
      <c r="R656" t="s">
        <v>44</v>
      </c>
      <c r="S656" t="s">
        <v>51</v>
      </c>
    </row>
    <row r="657" spans="1:19" ht="18" x14ac:dyDescent="0.5">
      <c r="A657" t="s">
        <v>727</v>
      </c>
      <c r="B657" t="s">
        <v>1726</v>
      </c>
      <c r="C657" s="6">
        <v>45841</v>
      </c>
      <c r="D657" t="s">
        <v>63</v>
      </c>
      <c r="E657" t="s">
        <v>2073</v>
      </c>
      <c r="F657" t="str">
        <f>_xlfn.XLOOKUP(E657,Table8[City],Table8[State])</f>
        <v>Maharashtra</v>
      </c>
      <c r="G657" t="str">
        <f>_xlfn.XLOOKUP(E657,Table8[City],Table8[Region])</f>
        <v>West</v>
      </c>
      <c r="H657" t="s">
        <v>20</v>
      </c>
      <c r="I657" t="str">
        <f>_xlfn.XLOOKUP(H657,Table6[Product],Table6[Category])</f>
        <v>Accessories</v>
      </c>
      <c r="J657" t="s">
        <v>59</v>
      </c>
      <c r="K657">
        <v>6</v>
      </c>
      <c r="L657">
        <f>_xlfn.XLOOKUP(H657,Table6[Product],Table6[Unit Price])</f>
        <v>3000</v>
      </c>
      <c r="M657">
        <f>_xlfn.XLOOKUP(H657,Table6[Product],Table6[Cost Price])</f>
        <v>1800</v>
      </c>
      <c r="N657" s="7">
        <v>0.21</v>
      </c>
      <c r="O657">
        <f t="shared" si="30"/>
        <v>14220</v>
      </c>
      <c r="P657">
        <f t="shared" si="31"/>
        <v>10800</v>
      </c>
      <c r="Q657">
        <f t="shared" si="32"/>
        <v>3420</v>
      </c>
      <c r="R657" t="s">
        <v>47</v>
      </c>
      <c r="S657" t="s">
        <v>49</v>
      </c>
    </row>
    <row r="658" spans="1:19" ht="18" x14ac:dyDescent="0.5">
      <c r="A658" t="s">
        <v>728</v>
      </c>
      <c r="B658" t="s">
        <v>1727</v>
      </c>
      <c r="C658" s="6">
        <v>45737</v>
      </c>
      <c r="D658" t="s">
        <v>2097</v>
      </c>
      <c r="E658" t="s">
        <v>2079</v>
      </c>
      <c r="F658" t="str">
        <f>_xlfn.XLOOKUP(E658,Table8[City],Table8[State])</f>
        <v>Gujarat</v>
      </c>
      <c r="G658" t="str">
        <f>_xlfn.XLOOKUP(E658,Table8[City],Table8[Region])</f>
        <v>West</v>
      </c>
      <c r="H658" t="s">
        <v>25</v>
      </c>
      <c r="I658" t="str">
        <f>_xlfn.XLOOKUP(H658,Table6[Product],Table6[Category])</f>
        <v>Accessories</v>
      </c>
      <c r="J658" t="s">
        <v>55</v>
      </c>
      <c r="K658">
        <v>3</v>
      </c>
      <c r="L658">
        <f>_xlfn.XLOOKUP(H658,Table6[Product],Table6[Unit Price])</f>
        <v>800</v>
      </c>
      <c r="M658">
        <f>_xlfn.XLOOKUP(H658,Table6[Product],Table6[Cost Price])</f>
        <v>450</v>
      </c>
      <c r="N658" s="7">
        <v>0.14000000000000001</v>
      </c>
      <c r="O658">
        <f t="shared" si="30"/>
        <v>2064</v>
      </c>
      <c r="P658">
        <f t="shared" si="31"/>
        <v>1350</v>
      </c>
      <c r="Q658">
        <f t="shared" si="32"/>
        <v>714</v>
      </c>
      <c r="R658" t="s">
        <v>47</v>
      </c>
      <c r="S658" t="s">
        <v>50</v>
      </c>
    </row>
    <row r="659" spans="1:19" ht="18" x14ac:dyDescent="0.5">
      <c r="A659" t="s">
        <v>729</v>
      </c>
      <c r="B659" t="s">
        <v>1728</v>
      </c>
      <c r="C659" s="6">
        <v>45710</v>
      </c>
      <c r="D659" t="s">
        <v>2083</v>
      </c>
      <c r="E659" t="s">
        <v>2077</v>
      </c>
      <c r="F659" t="str">
        <f>_xlfn.XLOOKUP(E659,Table8[City],Table8[State])</f>
        <v>Telangana</v>
      </c>
      <c r="G659" t="str">
        <f>_xlfn.XLOOKUP(E659,Table8[City],Table8[Region])</f>
        <v>South</v>
      </c>
      <c r="H659" t="s">
        <v>19</v>
      </c>
      <c r="I659" t="str">
        <f>_xlfn.XLOOKUP(H659,Table6[Product],Table6[Category])</f>
        <v>Electronics</v>
      </c>
      <c r="J659" t="s">
        <v>56</v>
      </c>
      <c r="K659">
        <v>6</v>
      </c>
      <c r="L659">
        <f>_xlfn.XLOOKUP(H659,Table6[Product],Table6[Unit Price])</f>
        <v>25000</v>
      </c>
      <c r="M659">
        <f>_xlfn.XLOOKUP(H659,Table6[Product],Table6[Cost Price])</f>
        <v>20000</v>
      </c>
      <c r="N659" s="7">
        <v>0.06</v>
      </c>
      <c r="O659">
        <f t="shared" si="30"/>
        <v>141000</v>
      </c>
      <c r="P659">
        <f t="shared" si="31"/>
        <v>120000</v>
      </c>
      <c r="Q659">
        <f t="shared" si="32"/>
        <v>21000</v>
      </c>
      <c r="R659" t="s">
        <v>43</v>
      </c>
      <c r="S659" t="s">
        <v>50</v>
      </c>
    </row>
    <row r="660" spans="1:19" ht="18" x14ac:dyDescent="0.5">
      <c r="A660" t="s">
        <v>730</v>
      </c>
      <c r="B660" t="s">
        <v>1729</v>
      </c>
      <c r="C660" s="6">
        <v>45566</v>
      </c>
      <c r="D660" t="s">
        <v>2098</v>
      </c>
      <c r="E660" t="s">
        <v>2076</v>
      </c>
      <c r="F660" t="str">
        <f>_xlfn.XLOOKUP(E660,Table8[City],Table8[State])</f>
        <v>Tamil Nadu</v>
      </c>
      <c r="G660" t="str">
        <f>_xlfn.XLOOKUP(E660,Table8[City],Table8[Region])</f>
        <v>South</v>
      </c>
      <c r="H660" t="s">
        <v>19</v>
      </c>
      <c r="I660" t="str">
        <f>_xlfn.XLOOKUP(H660,Table6[Product],Table6[Category])</f>
        <v>Electronics</v>
      </c>
      <c r="J660" t="s">
        <v>63</v>
      </c>
      <c r="K660">
        <v>6</v>
      </c>
      <c r="L660">
        <f>_xlfn.XLOOKUP(H660,Table6[Product],Table6[Unit Price])</f>
        <v>25000</v>
      </c>
      <c r="M660">
        <f>_xlfn.XLOOKUP(H660,Table6[Product],Table6[Cost Price])</f>
        <v>20000</v>
      </c>
      <c r="N660" s="7">
        <v>0.27</v>
      </c>
      <c r="O660">
        <f t="shared" si="30"/>
        <v>109500</v>
      </c>
      <c r="P660">
        <f t="shared" si="31"/>
        <v>120000</v>
      </c>
      <c r="Q660">
        <f t="shared" si="32"/>
        <v>-10500</v>
      </c>
      <c r="R660" t="s">
        <v>47</v>
      </c>
      <c r="S660" t="s">
        <v>52</v>
      </c>
    </row>
    <row r="661" spans="1:19" ht="18" x14ac:dyDescent="0.5">
      <c r="A661" t="s">
        <v>731</v>
      </c>
      <c r="B661" t="s">
        <v>1730</v>
      </c>
      <c r="C661" s="6">
        <v>45601</v>
      </c>
      <c r="D661" t="s">
        <v>2096</v>
      </c>
      <c r="E661" t="s">
        <v>2073</v>
      </c>
      <c r="F661" t="str">
        <f>_xlfn.XLOOKUP(E661,Table8[City],Table8[State])</f>
        <v>Maharashtra</v>
      </c>
      <c r="G661" t="str">
        <f>_xlfn.XLOOKUP(E661,Table8[City],Table8[Region])</f>
        <v>West</v>
      </c>
      <c r="H661" t="s">
        <v>28</v>
      </c>
      <c r="I661" t="str">
        <f>_xlfn.XLOOKUP(H661,Table6[Product],Table6[Category])</f>
        <v>Office</v>
      </c>
      <c r="J661" t="s">
        <v>59</v>
      </c>
      <c r="K661">
        <v>3</v>
      </c>
      <c r="L661">
        <f>_xlfn.XLOOKUP(H661,Table6[Product],Table6[Unit Price])</f>
        <v>18000</v>
      </c>
      <c r="M661">
        <f>_xlfn.XLOOKUP(H661,Table6[Product],Table6[Cost Price])</f>
        <v>14000</v>
      </c>
      <c r="N661" s="7">
        <v>0.06</v>
      </c>
      <c r="O661">
        <f t="shared" si="30"/>
        <v>50760</v>
      </c>
      <c r="P661">
        <f t="shared" si="31"/>
        <v>42000</v>
      </c>
      <c r="Q661">
        <f t="shared" si="32"/>
        <v>8760</v>
      </c>
      <c r="R661" t="s">
        <v>46</v>
      </c>
      <c r="S661" t="s">
        <v>50</v>
      </c>
    </row>
    <row r="662" spans="1:19" ht="18" x14ac:dyDescent="0.5">
      <c r="A662" t="s">
        <v>732</v>
      </c>
      <c r="B662" t="s">
        <v>1731</v>
      </c>
      <c r="C662" s="6">
        <v>45538</v>
      </c>
      <c r="D662" t="s">
        <v>2092</v>
      </c>
      <c r="E662" t="s">
        <v>2104</v>
      </c>
      <c r="F662" t="str">
        <f>_xlfn.XLOOKUP(E662,Table8[City],Table8[State])</f>
        <v>Delhi</v>
      </c>
      <c r="G662" t="str">
        <f>_xlfn.XLOOKUP(E662,Table8[City],Table8[Region])</f>
        <v>North</v>
      </c>
      <c r="H662" t="s">
        <v>18</v>
      </c>
      <c r="I662" t="str">
        <f>_xlfn.XLOOKUP(H662,Table6[Product],Table6[Category])</f>
        <v>Electronics</v>
      </c>
      <c r="J662" t="s">
        <v>60</v>
      </c>
      <c r="K662">
        <v>9</v>
      </c>
      <c r="L662">
        <f>_xlfn.XLOOKUP(H662,Table6[Product],Table6[Unit Price])</f>
        <v>35000</v>
      </c>
      <c r="M662">
        <f>_xlfn.XLOOKUP(H662,Table6[Product],Table6[Cost Price])</f>
        <v>28000</v>
      </c>
      <c r="N662" s="7">
        <v>0.3</v>
      </c>
      <c r="O662">
        <f t="shared" si="30"/>
        <v>220500</v>
      </c>
      <c r="P662">
        <f t="shared" si="31"/>
        <v>252000</v>
      </c>
      <c r="Q662">
        <f t="shared" si="32"/>
        <v>-31500</v>
      </c>
      <c r="R662" t="s">
        <v>45</v>
      </c>
      <c r="S662" t="s">
        <v>52</v>
      </c>
    </row>
    <row r="663" spans="1:19" ht="18" x14ac:dyDescent="0.5">
      <c r="A663" t="s">
        <v>733</v>
      </c>
      <c r="B663" t="s">
        <v>1732</v>
      </c>
      <c r="C663" s="6">
        <v>45546</v>
      </c>
      <c r="D663" t="s">
        <v>69</v>
      </c>
      <c r="E663" t="s">
        <v>2080</v>
      </c>
      <c r="F663" t="str">
        <f>_xlfn.XLOOKUP(E663,Table8[City],Table8[State])</f>
        <v>Gujarat</v>
      </c>
      <c r="G663" t="str">
        <f>_xlfn.XLOOKUP(E663,Table8[City],Table8[Region])</f>
        <v>West</v>
      </c>
      <c r="H663" t="s">
        <v>24</v>
      </c>
      <c r="I663" t="str">
        <f>_xlfn.XLOOKUP(H663,Table6[Product],Table6[Category])</f>
        <v>Accessories</v>
      </c>
      <c r="J663" t="s">
        <v>61</v>
      </c>
      <c r="K663">
        <v>4</v>
      </c>
      <c r="L663">
        <f>_xlfn.XLOOKUP(H663,Table6[Product],Table6[Unit Price])</f>
        <v>1500</v>
      </c>
      <c r="M663">
        <f>_xlfn.XLOOKUP(H663,Table6[Product],Table6[Cost Price])</f>
        <v>900</v>
      </c>
      <c r="N663" s="7">
        <v>0.15</v>
      </c>
      <c r="O663">
        <f t="shared" si="30"/>
        <v>5100</v>
      </c>
      <c r="P663">
        <f t="shared" si="31"/>
        <v>3600</v>
      </c>
      <c r="Q663">
        <f t="shared" si="32"/>
        <v>1500</v>
      </c>
      <c r="R663" t="s">
        <v>47</v>
      </c>
      <c r="S663" t="s">
        <v>50</v>
      </c>
    </row>
    <row r="664" spans="1:19" ht="18" x14ac:dyDescent="0.5">
      <c r="A664" t="s">
        <v>734</v>
      </c>
      <c r="B664" t="s">
        <v>1733</v>
      </c>
      <c r="C664" s="6">
        <v>45584</v>
      </c>
      <c r="D664" t="s">
        <v>2091</v>
      </c>
      <c r="E664" t="s">
        <v>2073</v>
      </c>
      <c r="F664" t="str">
        <f>_xlfn.XLOOKUP(E664,Table8[City],Table8[State])</f>
        <v>Maharashtra</v>
      </c>
      <c r="G664" t="str">
        <f>_xlfn.XLOOKUP(E664,Table8[City],Table8[Region])</f>
        <v>West</v>
      </c>
      <c r="H664" t="s">
        <v>24</v>
      </c>
      <c r="I664" t="str">
        <f>_xlfn.XLOOKUP(H664,Table6[Product],Table6[Category])</f>
        <v>Accessories</v>
      </c>
      <c r="J664" t="s">
        <v>56</v>
      </c>
      <c r="K664">
        <v>9</v>
      </c>
      <c r="L664">
        <f>_xlfn.XLOOKUP(H664,Table6[Product],Table6[Unit Price])</f>
        <v>1500</v>
      </c>
      <c r="M664">
        <f>_xlfn.XLOOKUP(H664,Table6[Product],Table6[Cost Price])</f>
        <v>900</v>
      </c>
      <c r="N664" s="7">
        <v>0.27</v>
      </c>
      <c r="O664">
        <f t="shared" si="30"/>
        <v>9855</v>
      </c>
      <c r="P664">
        <f t="shared" si="31"/>
        <v>8100</v>
      </c>
      <c r="Q664">
        <f t="shared" si="32"/>
        <v>1755</v>
      </c>
      <c r="R664" t="s">
        <v>44</v>
      </c>
      <c r="S664" t="s">
        <v>51</v>
      </c>
    </row>
    <row r="665" spans="1:19" ht="18" x14ac:dyDescent="0.5">
      <c r="A665" t="s">
        <v>735</v>
      </c>
      <c r="B665" t="s">
        <v>1734</v>
      </c>
      <c r="C665" s="6">
        <v>45703</v>
      </c>
      <c r="D665" t="s">
        <v>2087</v>
      </c>
      <c r="E665" t="s">
        <v>2072</v>
      </c>
      <c r="F665" t="str">
        <f>_xlfn.XLOOKUP(E665,Table8[City],Table8[State])</f>
        <v>Karnataka</v>
      </c>
      <c r="G665" t="str">
        <f>_xlfn.XLOOKUP(E665,Table8[City],Table8[Region])</f>
        <v>South</v>
      </c>
      <c r="H665" t="s">
        <v>24</v>
      </c>
      <c r="I665" t="str">
        <f>_xlfn.XLOOKUP(H665,Table6[Product],Table6[Category])</f>
        <v>Accessories</v>
      </c>
      <c r="J665" t="s">
        <v>60</v>
      </c>
      <c r="K665">
        <v>3</v>
      </c>
      <c r="L665">
        <f>_xlfn.XLOOKUP(H665,Table6[Product],Table6[Unit Price])</f>
        <v>1500</v>
      </c>
      <c r="M665">
        <f>_xlfn.XLOOKUP(H665,Table6[Product],Table6[Cost Price])</f>
        <v>900</v>
      </c>
      <c r="N665" s="7">
        <v>0.01</v>
      </c>
      <c r="O665">
        <f t="shared" si="30"/>
        <v>4455</v>
      </c>
      <c r="P665">
        <f t="shared" si="31"/>
        <v>2700</v>
      </c>
      <c r="Q665">
        <f t="shared" si="32"/>
        <v>1755</v>
      </c>
      <c r="R665" t="s">
        <v>43</v>
      </c>
      <c r="S665" t="s">
        <v>49</v>
      </c>
    </row>
    <row r="666" spans="1:19" ht="18" x14ac:dyDescent="0.5">
      <c r="A666" t="s">
        <v>736</v>
      </c>
      <c r="B666" t="s">
        <v>1735</v>
      </c>
      <c r="C666" s="6">
        <v>45743</v>
      </c>
      <c r="D666" t="s">
        <v>2098</v>
      </c>
      <c r="E666" t="s">
        <v>2106</v>
      </c>
      <c r="F666" t="str">
        <f>_xlfn.XLOOKUP(E666,Table8[City],Table8[State])</f>
        <v>West Bengal</v>
      </c>
      <c r="G666" t="str">
        <f>_xlfn.XLOOKUP(E666,Table8[City],Table8[Region])</f>
        <v>East</v>
      </c>
      <c r="H666" t="s">
        <v>22</v>
      </c>
      <c r="I666" t="str">
        <f>_xlfn.XLOOKUP(H666,Table6[Product],Table6[Category])</f>
        <v>Wearables</v>
      </c>
      <c r="J666" t="s">
        <v>56</v>
      </c>
      <c r="K666">
        <v>1</v>
      </c>
      <c r="L666">
        <f>_xlfn.XLOOKUP(H666,Table6[Product],Table6[Unit Price])</f>
        <v>12000</v>
      </c>
      <c r="M666">
        <f>_xlfn.XLOOKUP(H666,Table6[Product],Table6[Cost Price])</f>
        <v>8500</v>
      </c>
      <c r="N666" s="7">
        <v>0.27</v>
      </c>
      <c r="O666">
        <f t="shared" si="30"/>
        <v>8760</v>
      </c>
      <c r="P666">
        <f t="shared" si="31"/>
        <v>8500</v>
      </c>
      <c r="Q666">
        <f t="shared" si="32"/>
        <v>260</v>
      </c>
      <c r="R666" t="s">
        <v>45</v>
      </c>
      <c r="S666" t="s">
        <v>52</v>
      </c>
    </row>
    <row r="667" spans="1:19" ht="18" x14ac:dyDescent="0.5">
      <c r="A667" t="s">
        <v>737</v>
      </c>
      <c r="B667" t="s">
        <v>1736</v>
      </c>
      <c r="C667" s="6">
        <v>45581</v>
      </c>
      <c r="D667" t="s">
        <v>2097</v>
      </c>
      <c r="E667" t="s">
        <v>2104</v>
      </c>
      <c r="F667" t="str">
        <f>_xlfn.XLOOKUP(E667,Table8[City],Table8[State])</f>
        <v>Delhi</v>
      </c>
      <c r="G667" t="str">
        <f>_xlfn.XLOOKUP(E667,Table8[City],Table8[Region])</f>
        <v>North</v>
      </c>
      <c r="H667" t="s">
        <v>26</v>
      </c>
      <c r="I667" t="str">
        <f>_xlfn.XLOOKUP(H667,Table6[Product],Table6[Category])</f>
        <v>Office</v>
      </c>
      <c r="J667" t="s">
        <v>61</v>
      </c>
      <c r="K667">
        <v>3</v>
      </c>
      <c r="L667">
        <f>_xlfn.XLOOKUP(H667,Table6[Product],Table6[Unit Price])</f>
        <v>15000</v>
      </c>
      <c r="M667">
        <f>_xlfn.XLOOKUP(H667,Table6[Product],Table6[Cost Price])</f>
        <v>11500</v>
      </c>
      <c r="N667" s="7">
        <v>0.27</v>
      </c>
      <c r="O667">
        <f t="shared" si="30"/>
        <v>32850</v>
      </c>
      <c r="P667">
        <f t="shared" si="31"/>
        <v>34500</v>
      </c>
      <c r="Q667">
        <f t="shared" si="32"/>
        <v>-1650</v>
      </c>
      <c r="R667" t="s">
        <v>44</v>
      </c>
      <c r="S667" t="s">
        <v>51</v>
      </c>
    </row>
    <row r="668" spans="1:19" ht="18" x14ac:dyDescent="0.5">
      <c r="A668" t="s">
        <v>738</v>
      </c>
      <c r="B668" t="s">
        <v>1737</v>
      </c>
      <c r="C668" s="6">
        <v>45321</v>
      </c>
      <c r="D668" t="s">
        <v>2083</v>
      </c>
      <c r="E668" t="s">
        <v>2105</v>
      </c>
      <c r="F668" t="str">
        <f>_xlfn.XLOOKUP(E668,Table8[City],Table8[State])</f>
        <v>Rajasthan</v>
      </c>
      <c r="G668" t="str">
        <f>_xlfn.XLOOKUP(E668,Table8[City],Table8[Region])</f>
        <v>North</v>
      </c>
      <c r="H668" t="s">
        <v>29</v>
      </c>
      <c r="I668" t="str">
        <f>_xlfn.XLOOKUP(H668,Table6[Product],Table6[Category])</f>
        <v>Electronics</v>
      </c>
      <c r="J668" t="s">
        <v>61</v>
      </c>
      <c r="K668">
        <v>3</v>
      </c>
      <c r="L668">
        <f>_xlfn.XLOOKUP(H668,Table6[Product],Table6[Unit Price])</f>
        <v>5000</v>
      </c>
      <c r="M668">
        <f>_xlfn.XLOOKUP(H668,Table6[Product],Table6[Cost Price])</f>
        <v>3200</v>
      </c>
      <c r="N668" s="7">
        <v>0.02</v>
      </c>
      <c r="O668">
        <f t="shared" si="30"/>
        <v>14700</v>
      </c>
      <c r="P668">
        <f t="shared" si="31"/>
        <v>9600</v>
      </c>
      <c r="Q668">
        <f t="shared" si="32"/>
        <v>5100</v>
      </c>
      <c r="R668" t="s">
        <v>45</v>
      </c>
      <c r="S668" t="s">
        <v>52</v>
      </c>
    </row>
    <row r="669" spans="1:19" ht="18" x14ac:dyDescent="0.5">
      <c r="A669" t="s">
        <v>739</v>
      </c>
      <c r="B669" t="s">
        <v>1738</v>
      </c>
      <c r="C669" s="6">
        <v>45542</v>
      </c>
      <c r="D669" t="s">
        <v>2095</v>
      </c>
      <c r="E669" t="s">
        <v>70</v>
      </c>
      <c r="F669" t="str">
        <f>_xlfn.XLOOKUP(E669,Table8[City],Table8[State])</f>
        <v>Karnataka</v>
      </c>
      <c r="G669" t="str">
        <f>_xlfn.XLOOKUP(E669,Table8[City],Table8[Region])</f>
        <v>South</v>
      </c>
      <c r="H669" t="s">
        <v>29</v>
      </c>
      <c r="I669" t="str">
        <f>_xlfn.XLOOKUP(H669,Table6[Product],Table6[Category])</f>
        <v>Electronics</v>
      </c>
      <c r="J669" t="s">
        <v>54</v>
      </c>
      <c r="K669">
        <v>3</v>
      </c>
      <c r="L669">
        <f>_xlfn.XLOOKUP(H669,Table6[Product],Table6[Unit Price])</f>
        <v>5000</v>
      </c>
      <c r="M669">
        <f>_xlfn.XLOOKUP(H669,Table6[Product],Table6[Cost Price])</f>
        <v>3200</v>
      </c>
      <c r="N669" s="7">
        <v>0.09</v>
      </c>
      <c r="O669">
        <f t="shared" si="30"/>
        <v>13650</v>
      </c>
      <c r="P669">
        <f t="shared" si="31"/>
        <v>9600</v>
      </c>
      <c r="Q669">
        <f t="shared" si="32"/>
        <v>4050</v>
      </c>
      <c r="R669" t="s">
        <v>45</v>
      </c>
      <c r="S669" t="s">
        <v>52</v>
      </c>
    </row>
    <row r="670" spans="1:19" ht="18" x14ac:dyDescent="0.5">
      <c r="A670" t="s">
        <v>740</v>
      </c>
      <c r="B670" t="s">
        <v>1739</v>
      </c>
      <c r="C670" s="6">
        <v>45801</v>
      </c>
      <c r="D670" t="s">
        <v>2099</v>
      </c>
      <c r="E670" t="s">
        <v>2105</v>
      </c>
      <c r="F670" t="str">
        <f>_xlfn.XLOOKUP(E670,Table8[City],Table8[State])</f>
        <v>Rajasthan</v>
      </c>
      <c r="G670" t="str">
        <f>_xlfn.XLOOKUP(E670,Table8[City],Table8[Region])</f>
        <v>North</v>
      </c>
      <c r="H670" t="s">
        <v>16</v>
      </c>
      <c r="I670" t="str">
        <f>_xlfn.XLOOKUP(H670,Table6[Product],Table6[Category])</f>
        <v>Electronics</v>
      </c>
      <c r="J670" t="s">
        <v>63</v>
      </c>
      <c r="K670">
        <v>7</v>
      </c>
      <c r="L670">
        <f>_xlfn.XLOOKUP(H670,Table6[Product],Table6[Unit Price])</f>
        <v>65000</v>
      </c>
      <c r="M670">
        <f>_xlfn.XLOOKUP(H670,Table6[Product],Table6[Cost Price])</f>
        <v>52000</v>
      </c>
      <c r="N670" s="7">
        <v>0.1</v>
      </c>
      <c r="O670">
        <f t="shared" si="30"/>
        <v>409500</v>
      </c>
      <c r="P670">
        <f t="shared" si="31"/>
        <v>364000</v>
      </c>
      <c r="Q670">
        <f t="shared" si="32"/>
        <v>45500</v>
      </c>
      <c r="R670" t="s">
        <v>45</v>
      </c>
      <c r="S670" t="s">
        <v>50</v>
      </c>
    </row>
    <row r="671" spans="1:19" ht="18" x14ac:dyDescent="0.5">
      <c r="A671" t="s">
        <v>741</v>
      </c>
      <c r="B671" t="s">
        <v>1740</v>
      </c>
      <c r="C671" s="6">
        <v>45664</v>
      </c>
      <c r="D671" t="s">
        <v>69</v>
      </c>
      <c r="E671" t="s">
        <v>2073</v>
      </c>
      <c r="F671" t="str">
        <f>_xlfn.XLOOKUP(E671,Table8[City],Table8[State])</f>
        <v>Maharashtra</v>
      </c>
      <c r="G671" t="str">
        <f>_xlfn.XLOOKUP(E671,Table8[City],Table8[Region])</f>
        <v>West</v>
      </c>
      <c r="H671" t="s">
        <v>25</v>
      </c>
      <c r="I671" t="str">
        <f>_xlfn.XLOOKUP(H671,Table6[Product],Table6[Category])</f>
        <v>Accessories</v>
      </c>
      <c r="J671" t="s">
        <v>61</v>
      </c>
      <c r="K671">
        <v>10</v>
      </c>
      <c r="L671">
        <f>_xlfn.XLOOKUP(H671,Table6[Product],Table6[Unit Price])</f>
        <v>800</v>
      </c>
      <c r="M671">
        <f>_xlfn.XLOOKUP(H671,Table6[Product],Table6[Cost Price])</f>
        <v>450</v>
      </c>
      <c r="N671" s="7">
        <v>0.01</v>
      </c>
      <c r="O671">
        <f t="shared" si="30"/>
        <v>7920</v>
      </c>
      <c r="P671">
        <f t="shared" si="31"/>
        <v>4500</v>
      </c>
      <c r="Q671">
        <f t="shared" si="32"/>
        <v>3420</v>
      </c>
      <c r="R671" t="s">
        <v>46</v>
      </c>
      <c r="S671" t="s">
        <v>51</v>
      </c>
    </row>
    <row r="672" spans="1:19" ht="18" x14ac:dyDescent="0.5">
      <c r="A672" t="s">
        <v>742</v>
      </c>
      <c r="B672" t="s">
        <v>1741</v>
      </c>
      <c r="C672" s="6">
        <v>45393</v>
      </c>
      <c r="D672" t="s">
        <v>2096</v>
      </c>
      <c r="E672" t="s">
        <v>2074</v>
      </c>
      <c r="F672" t="str">
        <f>_xlfn.XLOOKUP(E672,Table8[City],Table8[State])</f>
        <v>Maharashtra</v>
      </c>
      <c r="G672" t="str">
        <f>_xlfn.XLOOKUP(E672,Table8[City],Table8[Region])</f>
        <v>West</v>
      </c>
      <c r="H672" t="s">
        <v>26</v>
      </c>
      <c r="I672" t="str">
        <f>_xlfn.XLOOKUP(H672,Table6[Product],Table6[Category])</f>
        <v>Office</v>
      </c>
      <c r="J672" t="s">
        <v>55</v>
      </c>
      <c r="K672">
        <v>6</v>
      </c>
      <c r="L672">
        <f>_xlfn.XLOOKUP(H672,Table6[Product],Table6[Unit Price])</f>
        <v>15000</v>
      </c>
      <c r="M672">
        <f>_xlfn.XLOOKUP(H672,Table6[Product],Table6[Cost Price])</f>
        <v>11500</v>
      </c>
      <c r="N672" s="7">
        <v>0.23</v>
      </c>
      <c r="O672">
        <f t="shared" si="30"/>
        <v>69300</v>
      </c>
      <c r="P672">
        <f t="shared" si="31"/>
        <v>69000</v>
      </c>
      <c r="Q672">
        <f t="shared" si="32"/>
        <v>300</v>
      </c>
      <c r="R672" t="s">
        <v>45</v>
      </c>
      <c r="S672" t="s">
        <v>51</v>
      </c>
    </row>
    <row r="673" spans="1:19" ht="18" x14ac:dyDescent="0.5">
      <c r="A673" t="s">
        <v>743</v>
      </c>
      <c r="B673" t="s">
        <v>1742</v>
      </c>
      <c r="C673" s="6">
        <v>45608</v>
      </c>
      <c r="D673" t="s">
        <v>2087</v>
      </c>
      <c r="E673" t="s">
        <v>2105</v>
      </c>
      <c r="F673" t="str">
        <f>_xlfn.XLOOKUP(E673,Table8[City],Table8[State])</f>
        <v>Rajasthan</v>
      </c>
      <c r="G673" t="str">
        <f>_xlfn.XLOOKUP(E673,Table8[City],Table8[Region])</f>
        <v>North</v>
      </c>
      <c r="H673" t="s">
        <v>16</v>
      </c>
      <c r="I673" t="str">
        <f>_xlfn.XLOOKUP(H673,Table6[Product],Table6[Category])</f>
        <v>Electronics</v>
      </c>
      <c r="J673" t="s">
        <v>55</v>
      </c>
      <c r="K673">
        <v>9</v>
      </c>
      <c r="L673">
        <f>_xlfn.XLOOKUP(H673,Table6[Product],Table6[Unit Price])</f>
        <v>65000</v>
      </c>
      <c r="M673">
        <f>_xlfn.XLOOKUP(H673,Table6[Product],Table6[Cost Price])</f>
        <v>52000</v>
      </c>
      <c r="N673" s="7">
        <v>0.2</v>
      </c>
      <c r="O673">
        <f t="shared" si="30"/>
        <v>468000</v>
      </c>
      <c r="P673">
        <f t="shared" si="31"/>
        <v>468000</v>
      </c>
      <c r="Q673">
        <f t="shared" si="32"/>
        <v>0</v>
      </c>
      <c r="R673" t="s">
        <v>44</v>
      </c>
      <c r="S673" t="s">
        <v>51</v>
      </c>
    </row>
    <row r="674" spans="1:19" ht="18" x14ac:dyDescent="0.5">
      <c r="A674" t="s">
        <v>744</v>
      </c>
      <c r="B674" t="s">
        <v>1743</v>
      </c>
      <c r="C674" s="6">
        <v>45638</v>
      </c>
      <c r="D674" t="s">
        <v>2097</v>
      </c>
      <c r="E674" t="s">
        <v>70</v>
      </c>
      <c r="F674" t="str">
        <f>_xlfn.XLOOKUP(E674,Table8[City],Table8[State])</f>
        <v>Karnataka</v>
      </c>
      <c r="G674" t="str">
        <f>_xlfn.XLOOKUP(E674,Table8[City],Table8[Region])</f>
        <v>South</v>
      </c>
      <c r="H674" t="s">
        <v>29</v>
      </c>
      <c r="I674" t="str">
        <f>_xlfn.XLOOKUP(H674,Table6[Product],Table6[Category])</f>
        <v>Electronics</v>
      </c>
      <c r="J674" t="s">
        <v>58</v>
      </c>
      <c r="K674">
        <v>5</v>
      </c>
      <c r="L674">
        <f>_xlfn.XLOOKUP(H674,Table6[Product],Table6[Unit Price])</f>
        <v>5000</v>
      </c>
      <c r="M674">
        <f>_xlfn.XLOOKUP(H674,Table6[Product],Table6[Cost Price])</f>
        <v>3200</v>
      </c>
      <c r="N674" s="7">
        <v>0.15</v>
      </c>
      <c r="O674">
        <f t="shared" si="30"/>
        <v>21250</v>
      </c>
      <c r="P674">
        <f t="shared" si="31"/>
        <v>16000</v>
      </c>
      <c r="Q674">
        <f t="shared" si="32"/>
        <v>5250</v>
      </c>
      <c r="R674" t="s">
        <v>44</v>
      </c>
      <c r="S674" t="s">
        <v>50</v>
      </c>
    </row>
    <row r="675" spans="1:19" ht="18" x14ac:dyDescent="0.5">
      <c r="A675" t="s">
        <v>745</v>
      </c>
      <c r="B675" t="s">
        <v>1744</v>
      </c>
      <c r="C675" s="6">
        <v>45910</v>
      </c>
      <c r="D675" t="s">
        <v>63</v>
      </c>
      <c r="E675" t="s">
        <v>2080</v>
      </c>
      <c r="F675" t="str">
        <f>_xlfn.XLOOKUP(E675,Table8[City],Table8[State])</f>
        <v>Gujarat</v>
      </c>
      <c r="G675" t="str">
        <f>_xlfn.XLOOKUP(E675,Table8[City],Table8[Region])</f>
        <v>West</v>
      </c>
      <c r="H675" t="s">
        <v>24</v>
      </c>
      <c r="I675" t="str">
        <f>_xlfn.XLOOKUP(H675,Table6[Product],Table6[Category])</f>
        <v>Accessories</v>
      </c>
      <c r="J675" t="s">
        <v>59</v>
      </c>
      <c r="K675">
        <v>3</v>
      </c>
      <c r="L675">
        <f>_xlfn.XLOOKUP(H675,Table6[Product],Table6[Unit Price])</f>
        <v>1500</v>
      </c>
      <c r="M675">
        <f>_xlfn.XLOOKUP(H675,Table6[Product],Table6[Cost Price])</f>
        <v>900</v>
      </c>
      <c r="N675" s="7">
        <v>0.14000000000000001</v>
      </c>
      <c r="O675">
        <f t="shared" si="30"/>
        <v>3870</v>
      </c>
      <c r="P675">
        <f t="shared" si="31"/>
        <v>2700</v>
      </c>
      <c r="Q675">
        <f t="shared" si="32"/>
        <v>1170</v>
      </c>
      <c r="R675" t="s">
        <v>44</v>
      </c>
      <c r="S675" t="s">
        <v>51</v>
      </c>
    </row>
    <row r="676" spans="1:19" ht="18" x14ac:dyDescent="0.5">
      <c r="A676" t="s">
        <v>746</v>
      </c>
      <c r="B676" t="s">
        <v>1745</v>
      </c>
      <c r="C676" s="6">
        <v>45864</v>
      </c>
      <c r="D676" t="s">
        <v>2095</v>
      </c>
      <c r="E676" t="s">
        <v>2077</v>
      </c>
      <c r="F676" t="str">
        <f>_xlfn.XLOOKUP(E676,Table8[City],Table8[State])</f>
        <v>Telangana</v>
      </c>
      <c r="G676" t="str">
        <f>_xlfn.XLOOKUP(E676,Table8[City],Table8[Region])</f>
        <v>South</v>
      </c>
      <c r="H676" t="s">
        <v>22</v>
      </c>
      <c r="I676" t="str">
        <f>_xlfn.XLOOKUP(H676,Table6[Product],Table6[Category])</f>
        <v>Wearables</v>
      </c>
      <c r="J676" t="s">
        <v>61</v>
      </c>
      <c r="K676">
        <v>8</v>
      </c>
      <c r="L676">
        <f>_xlfn.XLOOKUP(H676,Table6[Product],Table6[Unit Price])</f>
        <v>12000</v>
      </c>
      <c r="M676">
        <f>_xlfn.XLOOKUP(H676,Table6[Product],Table6[Cost Price])</f>
        <v>8500</v>
      </c>
      <c r="N676" s="7">
        <v>0.18</v>
      </c>
      <c r="O676">
        <f t="shared" si="30"/>
        <v>78720</v>
      </c>
      <c r="P676">
        <f t="shared" si="31"/>
        <v>68000</v>
      </c>
      <c r="Q676">
        <f t="shared" si="32"/>
        <v>10720</v>
      </c>
      <c r="R676" t="s">
        <v>47</v>
      </c>
      <c r="S676" t="s">
        <v>50</v>
      </c>
    </row>
    <row r="677" spans="1:19" ht="18" x14ac:dyDescent="0.5">
      <c r="A677" t="s">
        <v>747</v>
      </c>
      <c r="B677" t="s">
        <v>1746</v>
      </c>
      <c r="C677" s="6">
        <v>45609</v>
      </c>
      <c r="D677" t="s">
        <v>2089</v>
      </c>
      <c r="E677" t="s">
        <v>2077</v>
      </c>
      <c r="F677" t="str">
        <f>_xlfn.XLOOKUP(E677,Table8[City],Table8[State])</f>
        <v>Telangana</v>
      </c>
      <c r="G677" t="str">
        <f>_xlfn.XLOOKUP(E677,Table8[City],Table8[Region])</f>
        <v>South</v>
      </c>
      <c r="H677" t="s">
        <v>25</v>
      </c>
      <c r="I677" t="str">
        <f>_xlfn.XLOOKUP(H677,Table6[Product],Table6[Category])</f>
        <v>Accessories</v>
      </c>
      <c r="J677" t="s">
        <v>55</v>
      </c>
      <c r="K677">
        <v>10</v>
      </c>
      <c r="L677">
        <f>_xlfn.XLOOKUP(H677,Table6[Product],Table6[Unit Price])</f>
        <v>800</v>
      </c>
      <c r="M677">
        <f>_xlfn.XLOOKUP(H677,Table6[Product],Table6[Cost Price])</f>
        <v>450</v>
      </c>
      <c r="N677" s="7">
        <v>0.03</v>
      </c>
      <c r="O677">
        <f t="shared" si="30"/>
        <v>7760</v>
      </c>
      <c r="P677">
        <f t="shared" si="31"/>
        <v>4500</v>
      </c>
      <c r="Q677">
        <f t="shared" si="32"/>
        <v>3260</v>
      </c>
      <c r="R677" t="s">
        <v>43</v>
      </c>
      <c r="S677" t="s">
        <v>49</v>
      </c>
    </row>
    <row r="678" spans="1:19" ht="18" x14ac:dyDescent="0.5">
      <c r="A678" t="s">
        <v>748</v>
      </c>
      <c r="B678" t="s">
        <v>1747</v>
      </c>
      <c r="C678" s="6">
        <v>45496</v>
      </c>
      <c r="D678" t="s">
        <v>2084</v>
      </c>
      <c r="E678" t="s">
        <v>2079</v>
      </c>
      <c r="F678" t="str">
        <f>_xlfn.XLOOKUP(E678,Table8[City],Table8[State])</f>
        <v>Gujarat</v>
      </c>
      <c r="G678" t="str">
        <f>_xlfn.XLOOKUP(E678,Table8[City],Table8[Region])</f>
        <v>West</v>
      </c>
      <c r="H678" t="s">
        <v>16</v>
      </c>
      <c r="I678" t="str">
        <f>_xlfn.XLOOKUP(H678,Table6[Product],Table6[Category])</f>
        <v>Electronics</v>
      </c>
      <c r="J678" t="s">
        <v>56</v>
      </c>
      <c r="K678">
        <v>1</v>
      </c>
      <c r="L678">
        <f>_xlfn.XLOOKUP(H678,Table6[Product],Table6[Unit Price])</f>
        <v>65000</v>
      </c>
      <c r="M678">
        <f>_xlfn.XLOOKUP(H678,Table6[Product],Table6[Cost Price])</f>
        <v>52000</v>
      </c>
      <c r="N678" s="7">
        <v>0.04</v>
      </c>
      <c r="O678">
        <f t="shared" si="30"/>
        <v>62400</v>
      </c>
      <c r="P678">
        <f t="shared" si="31"/>
        <v>52000</v>
      </c>
      <c r="Q678">
        <f t="shared" si="32"/>
        <v>10400</v>
      </c>
      <c r="R678" t="s">
        <v>47</v>
      </c>
      <c r="S678" t="s">
        <v>51</v>
      </c>
    </row>
    <row r="679" spans="1:19" ht="18" x14ac:dyDescent="0.5">
      <c r="A679" t="s">
        <v>749</v>
      </c>
      <c r="B679" t="s">
        <v>1748</v>
      </c>
      <c r="C679" s="6">
        <v>45558</v>
      </c>
      <c r="D679" t="s">
        <v>2096</v>
      </c>
      <c r="E679" t="s">
        <v>2072</v>
      </c>
      <c r="F679" t="str">
        <f>_xlfn.XLOOKUP(E679,Table8[City],Table8[State])</f>
        <v>Karnataka</v>
      </c>
      <c r="G679" t="str">
        <f>_xlfn.XLOOKUP(E679,Table8[City],Table8[Region])</f>
        <v>South</v>
      </c>
      <c r="H679" t="s">
        <v>26</v>
      </c>
      <c r="I679" t="str">
        <f>_xlfn.XLOOKUP(H679,Table6[Product],Table6[Category])</f>
        <v>Office</v>
      </c>
      <c r="J679" t="s">
        <v>61</v>
      </c>
      <c r="K679">
        <v>2</v>
      </c>
      <c r="L679">
        <f>_xlfn.XLOOKUP(H679,Table6[Product],Table6[Unit Price])</f>
        <v>15000</v>
      </c>
      <c r="M679">
        <f>_xlfn.XLOOKUP(H679,Table6[Product],Table6[Cost Price])</f>
        <v>11500</v>
      </c>
      <c r="N679" s="7">
        <v>0.03</v>
      </c>
      <c r="O679">
        <f t="shared" si="30"/>
        <v>29100</v>
      </c>
      <c r="P679">
        <f t="shared" si="31"/>
        <v>23000</v>
      </c>
      <c r="Q679">
        <f t="shared" si="32"/>
        <v>6100</v>
      </c>
      <c r="R679" t="s">
        <v>43</v>
      </c>
      <c r="S679" t="s">
        <v>49</v>
      </c>
    </row>
    <row r="680" spans="1:19" ht="18" x14ac:dyDescent="0.5">
      <c r="A680" t="s">
        <v>750</v>
      </c>
      <c r="B680" t="s">
        <v>1749</v>
      </c>
      <c r="C680" s="6">
        <v>45623</v>
      </c>
      <c r="D680" t="s">
        <v>2087</v>
      </c>
      <c r="E680" t="s">
        <v>2074</v>
      </c>
      <c r="F680" t="str">
        <f>_xlfn.XLOOKUP(E680,Table8[City],Table8[State])</f>
        <v>Maharashtra</v>
      </c>
      <c r="G680" t="str">
        <f>_xlfn.XLOOKUP(E680,Table8[City],Table8[Region])</f>
        <v>West</v>
      </c>
      <c r="H680" t="s">
        <v>24</v>
      </c>
      <c r="I680" t="str">
        <f>_xlfn.XLOOKUP(H680,Table6[Product],Table6[Category])</f>
        <v>Accessories</v>
      </c>
      <c r="J680" t="s">
        <v>54</v>
      </c>
      <c r="K680">
        <v>6</v>
      </c>
      <c r="L680">
        <f>_xlfn.XLOOKUP(H680,Table6[Product],Table6[Unit Price])</f>
        <v>1500</v>
      </c>
      <c r="M680">
        <f>_xlfn.XLOOKUP(H680,Table6[Product],Table6[Cost Price])</f>
        <v>900</v>
      </c>
      <c r="N680" s="7">
        <v>0.04</v>
      </c>
      <c r="O680">
        <f t="shared" si="30"/>
        <v>8640</v>
      </c>
      <c r="P680">
        <f t="shared" si="31"/>
        <v>5400</v>
      </c>
      <c r="Q680">
        <f t="shared" si="32"/>
        <v>3240</v>
      </c>
      <c r="R680" t="s">
        <v>43</v>
      </c>
      <c r="S680" t="s">
        <v>51</v>
      </c>
    </row>
    <row r="681" spans="1:19" ht="18" x14ac:dyDescent="0.5">
      <c r="A681" t="s">
        <v>751</v>
      </c>
      <c r="B681" t="s">
        <v>1750</v>
      </c>
      <c r="C681" s="6">
        <v>45901</v>
      </c>
      <c r="D681" t="s">
        <v>2083</v>
      </c>
      <c r="E681" t="s">
        <v>2074</v>
      </c>
      <c r="F681" t="str">
        <f>_xlfn.XLOOKUP(E681,Table8[City],Table8[State])</f>
        <v>Maharashtra</v>
      </c>
      <c r="G681" t="str">
        <f>_xlfn.XLOOKUP(E681,Table8[City],Table8[Region])</f>
        <v>West</v>
      </c>
      <c r="H681" t="s">
        <v>25</v>
      </c>
      <c r="I681" t="str">
        <f>_xlfn.XLOOKUP(H681,Table6[Product],Table6[Category])</f>
        <v>Accessories</v>
      </c>
      <c r="J681" t="s">
        <v>59</v>
      </c>
      <c r="K681">
        <v>9</v>
      </c>
      <c r="L681">
        <f>_xlfn.XLOOKUP(H681,Table6[Product],Table6[Unit Price])</f>
        <v>800</v>
      </c>
      <c r="M681">
        <f>_xlfn.XLOOKUP(H681,Table6[Product],Table6[Cost Price])</f>
        <v>450</v>
      </c>
      <c r="N681" s="7">
        <v>0.15</v>
      </c>
      <c r="O681">
        <f t="shared" si="30"/>
        <v>6120</v>
      </c>
      <c r="P681">
        <f t="shared" si="31"/>
        <v>4050</v>
      </c>
      <c r="Q681">
        <f t="shared" si="32"/>
        <v>2070</v>
      </c>
      <c r="R681" t="s">
        <v>44</v>
      </c>
      <c r="S681" t="s">
        <v>52</v>
      </c>
    </row>
    <row r="682" spans="1:19" ht="18" x14ac:dyDescent="0.5">
      <c r="A682" t="s">
        <v>752</v>
      </c>
      <c r="B682" t="s">
        <v>1751</v>
      </c>
      <c r="C682" s="6">
        <v>45786</v>
      </c>
      <c r="D682" t="s">
        <v>2089</v>
      </c>
      <c r="E682" t="s">
        <v>2072</v>
      </c>
      <c r="F682" t="str">
        <f>_xlfn.XLOOKUP(E682,Table8[City],Table8[State])</f>
        <v>Karnataka</v>
      </c>
      <c r="G682" t="str">
        <f>_xlfn.XLOOKUP(E682,Table8[City],Table8[Region])</f>
        <v>South</v>
      </c>
      <c r="H682" t="s">
        <v>24</v>
      </c>
      <c r="I682" t="str">
        <f>_xlfn.XLOOKUP(H682,Table6[Product],Table6[Category])</f>
        <v>Accessories</v>
      </c>
      <c r="J682" t="s">
        <v>58</v>
      </c>
      <c r="K682">
        <v>1</v>
      </c>
      <c r="L682">
        <f>_xlfn.XLOOKUP(H682,Table6[Product],Table6[Unit Price])</f>
        <v>1500</v>
      </c>
      <c r="M682">
        <f>_xlfn.XLOOKUP(H682,Table6[Product],Table6[Cost Price])</f>
        <v>900</v>
      </c>
      <c r="N682" s="7">
        <v>0.15</v>
      </c>
      <c r="O682">
        <f t="shared" si="30"/>
        <v>1275</v>
      </c>
      <c r="P682">
        <f t="shared" si="31"/>
        <v>900</v>
      </c>
      <c r="Q682">
        <f t="shared" si="32"/>
        <v>375</v>
      </c>
      <c r="R682" t="s">
        <v>45</v>
      </c>
      <c r="S682" t="s">
        <v>50</v>
      </c>
    </row>
    <row r="683" spans="1:19" ht="18" x14ac:dyDescent="0.5">
      <c r="A683" t="s">
        <v>753</v>
      </c>
      <c r="B683" t="s">
        <v>1752</v>
      </c>
      <c r="C683" s="6">
        <v>45944</v>
      </c>
      <c r="D683" t="s">
        <v>2095</v>
      </c>
      <c r="E683" t="s">
        <v>2104</v>
      </c>
      <c r="F683" t="str">
        <f>_xlfn.XLOOKUP(E683,Table8[City],Table8[State])</f>
        <v>Delhi</v>
      </c>
      <c r="G683" t="str">
        <f>_xlfn.XLOOKUP(E683,Table8[City],Table8[Region])</f>
        <v>North</v>
      </c>
      <c r="H683" t="s">
        <v>20</v>
      </c>
      <c r="I683" t="str">
        <f>_xlfn.XLOOKUP(H683,Table6[Product],Table6[Category])</f>
        <v>Accessories</v>
      </c>
      <c r="J683" t="s">
        <v>61</v>
      </c>
      <c r="K683">
        <v>5</v>
      </c>
      <c r="L683">
        <f>_xlfn.XLOOKUP(H683,Table6[Product],Table6[Unit Price])</f>
        <v>3000</v>
      </c>
      <c r="M683">
        <f>_xlfn.XLOOKUP(H683,Table6[Product],Table6[Cost Price])</f>
        <v>1800</v>
      </c>
      <c r="N683" s="7">
        <v>0.17</v>
      </c>
      <c r="O683">
        <f t="shared" si="30"/>
        <v>12450</v>
      </c>
      <c r="P683">
        <f t="shared" si="31"/>
        <v>9000</v>
      </c>
      <c r="Q683">
        <f t="shared" si="32"/>
        <v>3450</v>
      </c>
      <c r="R683" t="s">
        <v>46</v>
      </c>
      <c r="S683" t="s">
        <v>50</v>
      </c>
    </row>
    <row r="684" spans="1:19" ht="18" x14ac:dyDescent="0.5">
      <c r="A684" t="s">
        <v>754</v>
      </c>
      <c r="B684" t="s">
        <v>1753</v>
      </c>
      <c r="C684" s="6">
        <v>45353</v>
      </c>
      <c r="D684" t="s">
        <v>2085</v>
      </c>
      <c r="E684" t="s">
        <v>2075</v>
      </c>
      <c r="F684" t="str">
        <f>_xlfn.XLOOKUP(E684,Table8[City],Table8[State])</f>
        <v>Tamil Nadu</v>
      </c>
      <c r="G684" t="str">
        <f>_xlfn.XLOOKUP(E684,Table8[City],Table8[Region])</f>
        <v>South</v>
      </c>
      <c r="H684" t="s">
        <v>16</v>
      </c>
      <c r="I684" t="str">
        <f>_xlfn.XLOOKUP(H684,Table6[Product],Table6[Category])</f>
        <v>Electronics</v>
      </c>
      <c r="J684" t="s">
        <v>63</v>
      </c>
      <c r="K684">
        <v>2</v>
      </c>
      <c r="L684">
        <f>_xlfn.XLOOKUP(H684,Table6[Product],Table6[Unit Price])</f>
        <v>65000</v>
      </c>
      <c r="M684">
        <f>_xlfn.XLOOKUP(H684,Table6[Product],Table6[Cost Price])</f>
        <v>52000</v>
      </c>
      <c r="N684" s="7">
        <v>0.17</v>
      </c>
      <c r="O684">
        <f t="shared" si="30"/>
        <v>107900</v>
      </c>
      <c r="P684">
        <f t="shared" si="31"/>
        <v>104000</v>
      </c>
      <c r="Q684">
        <f t="shared" si="32"/>
        <v>3900</v>
      </c>
      <c r="R684" t="s">
        <v>45</v>
      </c>
      <c r="S684" t="s">
        <v>50</v>
      </c>
    </row>
    <row r="685" spans="1:19" ht="18" x14ac:dyDescent="0.5">
      <c r="A685" t="s">
        <v>755</v>
      </c>
      <c r="B685" t="s">
        <v>1754</v>
      </c>
      <c r="C685" s="6">
        <v>45669</v>
      </c>
      <c r="D685" t="s">
        <v>2096</v>
      </c>
      <c r="E685" t="s">
        <v>2079</v>
      </c>
      <c r="F685" t="str">
        <f>_xlfn.XLOOKUP(E685,Table8[City],Table8[State])</f>
        <v>Gujarat</v>
      </c>
      <c r="G685" t="str">
        <f>_xlfn.XLOOKUP(E685,Table8[City],Table8[Region])</f>
        <v>West</v>
      </c>
      <c r="H685" t="s">
        <v>18</v>
      </c>
      <c r="I685" t="str">
        <f>_xlfn.XLOOKUP(H685,Table6[Product],Table6[Category])</f>
        <v>Electronics</v>
      </c>
      <c r="J685" t="s">
        <v>62</v>
      </c>
      <c r="K685">
        <v>4</v>
      </c>
      <c r="L685">
        <f>_xlfn.XLOOKUP(H685,Table6[Product],Table6[Unit Price])</f>
        <v>35000</v>
      </c>
      <c r="M685">
        <f>_xlfn.XLOOKUP(H685,Table6[Product],Table6[Cost Price])</f>
        <v>28000</v>
      </c>
      <c r="N685" s="7">
        <v>0.2</v>
      </c>
      <c r="O685">
        <f t="shared" si="30"/>
        <v>112000</v>
      </c>
      <c r="P685">
        <f t="shared" si="31"/>
        <v>112000</v>
      </c>
      <c r="Q685">
        <f t="shared" si="32"/>
        <v>0</v>
      </c>
      <c r="R685" t="s">
        <v>46</v>
      </c>
      <c r="S685" t="s">
        <v>52</v>
      </c>
    </row>
    <row r="686" spans="1:19" ht="18" x14ac:dyDescent="0.5">
      <c r="A686" t="s">
        <v>756</v>
      </c>
      <c r="B686" t="s">
        <v>1755</v>
      </c>
      <c r="C686" s="6">
        <v>45780</v>
      </c>
      <c r="D686" t="s">
        <v>2086</v>
      </c>
      <c r="E686" t="s">
        <v>2077</v>
      </c>
      <c r="F686" t="str">
        <f>_xlfn.XLOOKUP(E686,Table8[City],Table8[State])</f>
        <v>Telangana</v>
      </c>
      <c r="G686" t="str">
        <f>_xlfn.XLOOKUP(E686,Table8[City],Table8[Region])</f>
        <v>South</v>
      </c>
      <c r="H686" t="s">
        <v>18</v>
      </c>
      <c r="I686" t="str">
        <f>_xlfn.XLOOKUP(H686,Table6[Product],Table6[Category])</f>
        <v>Electronics</v>
      </c>
      <c r="J686" t="s">
        <v>55</v>
      </c>
      <c r="K686">
        <v>3</v>
      </c>
      <c r="L686">
        <f>_xlfn.XLOOKUP(H686,Table6[Product],Table6[Unit Price])</f>
        <v>35000</v>
      </c>
      <c r="M686">
        <f>_xlfn.XLOOKUP(H686,Table6[Product],Table6[Cost Price])</f>
        <v>28000</v>
      </c>
      <c r="N686" s="7">
        <v>0.03</v>
      </c>
      <c r="O686">
        <f t="shared" si="30"/>
        <v>101850</v>
      </c>
      <c r="P686">
        <f t="shared" si="31"/>
        <v>84000</v>
      </c>
      <c r="Q686">
        <f t="shared" si="32"/>
        <v>17850</v>
      </c>
      <c r="R686" t="s">
        <v>47</v>
      </c>
      <c r="S686" t="s">
        <v>52</v>
      </c>
    </row>
    <row r="687" spans="1:19" ht="18" x14ac:dyDescent="0.5">
      <c r="A687" t="s">
        <v>757</v>
      </c>
      <c r="B687" t="s">
        <v>1756</v>
      </c>
      <c r="C687" s="6">
        <v>45385</v>
      </c>
      <c r="D687" t="s">
        <v>2097</v>
      </c>
      <c r="E687" t="s">
        <v>2072</v>
      </c>
      <c r="F687" t="str">
        <f>_xlfn.XLOOKUP(E687,Table8[City],Table8[State])</f>
        <v>Karnataka</v>
      </c>
      <c r="G687" t="str">
        <f>_xlfn.XLOOKUP(E687,Table8[City],Table8[Region])</f>
        <v>South</v>
      </c>
      <c r="H687" t="s">
        <v>29</v>
      </c>
      <c r="I687" t="str">
        <f>_xlfn.XLOOKUP(H687,Table6[Product],Table6[Category])</f>
        <v>Electronics</v>
      </c>
      <c r="J687" t="s">
        <v>56</v>
      </c>
      <c r="K687">
        <v>7</v>
      </c>
      <c r="L687">
        <f>_xlfn.XLOOKUP(H687,Table6[Product],Table6[Unit Price])</f>
        <v>5000</v>
      </c>
      <c r="M687">
        <f>_xlfn.XLOOKUP(H687,Table6[Product],Table6[Cost Price])</f>
        <v>3200</v>
      </c>
      <c r="N687" s="7">
        <v>0.22</v>
      </c>
      <c r="O687">
        <f t="shared" si="30"/>
        <v>27300</v>
      </c>
      <c r="P687">
        <f t="shared" si="31"/>
        <v>22400</v>
      </c>
      <c r="Q687">
        <f t="shared" si="32"/>
        <v>4900</v>
      </c>
      <c r="R687" t="s">
        <v>46</v>
      </c>
      <c r="S687" t="s">
        <v>50</v>
      </c>
    </row>
    <row r="688" spans="1:19" ht="18" x14ac:dyDescent="0.5">
      <c r="A688" t="s">
        <v>758</v>
      </c>
      <c r="B688" t="s">
        <v>1757</v>
      </c>
      <c r="C688" s="6">
        <v>45731</v>
      </c>
      <c r="D688" t="s">
        <v>2088</v>
      </c>
      <c r="E688" t="s">
        <v>2105</v>
      </c>
      <c r="F688" t="str">
        <f>_xlfn.XLOOKUP(E688,Table8[City],Table8[State])</f>
        <v>Rajasthan</v>
      </c>
      <c r="G688" t="str">
        <f>_xlfn.XLOOKUP(E688,Table8[City],Table8[Region])</f>
        <v>North</v>
      </c>
      <c r="H688" t="s">
        <v>16</v>
      </c>
      <c r="I688" t="str">
        <f>_xlfn.XLOOKUP(H688,Table6[Product],Table6[Category])</f>
        <v>Electronics</v>
      </c>
      <c r="J688" t="s">
        <v>54</v>
      </c>
      <c r="K688">
        <v>8</v>
      </c>
      <c r="L688">
        <f>_xlfn.XLOOKUP(H688,Table6[Product],Table6[Unit Price])</f>
        <v>65000</v>
      </c>
      <c r="M688">
        <f>_xlfn.XLOOKUP(H688,Table6[Product],Table6[Cost Price])</f>
        <v>52000</v>
      </c>
      <c r="N688" s="7">
        <v>0.23</v>
      </c>
      <c r="O688">
        <f t="shared" si="30"/>
        <v>400400</v>
      </c>
      <c r="P688">
        <f t="shared" si="31"/>
        <v>416000</v>
      </c>
      <c r="Q688">
        <f t="shared" si="32"/>
        <v>-15600</v>
      </c>
      <c r="R688" t="s">
        <v>47</v>
      </c>
      <c r="S688" t="s">
        <v>50</v>
      </c>
    </row>
    <row r="689" spans="1:19" ht="18" x14ac:dyDescent="0.5">
      <c r="A689" t="s">
        <v>759</v>
      </c>
      <c r="B689" t="s">
        <v>1758</v>
      </c>
      <c r="C689" s="6">
        <v>45475</v>
      </c>
      <c r="D689" t="s">
        <v>2097</v>
      </c>
      <c r="E689" t="s">
        <v>2106</v>
      </c>
      <c r="F689" t="str">
        <f>_xlfn.XLOOKUP(E689,Table8[City],Table8[State])</f>
        <v>West Bengal</v>
      </c>
      <c r="G689" t="str">
        <f>_xlfn.XLOOKUP(E689,Table8[City],Table8[Region])</f>
        <v>East</v>
      </c>
      <c r="H689" t="s">
        <v>18</v>
      </c>
      <c r="I689" t="str">
        <f>_xlfn.XLOOKUP(H689,Table6[Product],Table6[Category])</f>
        <v>Electronics</v>
      </c>
      <c r="J689" t="s">
        <v>61</v>
      </c>
      <c r="K689">
        <v>8</v>
      </c>
      <c r="L689">
        <f>_xlfn.XLOOKUP(H689,Table6[Product],Table6[Unit Price])</f>
        <v>35000</v>
      </c>
      <c r="M689">
        <f>_xlfn.XLOOKUP(H689,Table6[Product],Table6[Cost Price])</f>
        <v>28000</v>
      </c>
      <c r="N689" s="7">
        <v>0.27</v>
      </c>
      <c r="O689">
        <f t="shared" si="30"/>
        <v>204400</v>
      </c>
      <c r="P689">
        <f t="shared" si="31"/>
        <v>224000</v>
      </c>
      <c r="Q689">
        <f t="shared" si="32"/>
        <v>-19600</v>
      </c>
      <c r="R689" t="s">
        <v>44</v>
      </c>
      <c r="S689" t="s">
        <v>52</v>
      </c>
    </row>
    <row r="690" spans="1:19" ht="18" x14ac:dyDescent="0.5">
      <c r="A690" t="s">
        <v>760</v>
      </c>
      <c r="B690" t="s">
        <v>1759</v>
      </c>
      <c r="C690" s="6">
        <v>45661</v>
      </c>
      <c r="D690" t="s">
        <v>2093</v>
      </c>
      <c r="E690" t="s">
        <v>70</v>
      </c>
      <c r="F690" t="str">
        <f>_xlfn.XLOOKUP(E690,Table8[City],Table8[State])</f>
        <v>Karnataka</v>
      </c>
      <c r="G690" t="str">
        <f>_xlfn.XLOOKUP(E690,Table8[City],Table8[Region])</f>
        <v>South</v>
      </c>
      <c r="H690" t="s">
        <v>28</v>
      </c>
      <c r="I690" t="str">
        <f>_xlfn.XLOOKUP(H690,Table6[Product],Table6[Category])</f>
        <v>Office</v>
      </c>
      <c r="J690" t="s">
        <v>58</v>
      </c>
      <c r="K690">
        <v>8</v>
      </c>
      <c r="L690">
        <f>_xlfn.XLOOKUP(H690,Table6[Product],Table6[Unit Price])</f>
        <v>18000</v>
      </c>
      <c r="M690">
        <f>_xlfn.XLOOKUP(H690,Table6[Product],Table6[Cost Price])</f>
        <v>14000</v>
      </c>
      <c r="N690" s="7">
        <v>0.28000000000000003</v>
      </c>
      <c r="O690">
        <f t="shared" si="30"/>
        <v>103680</v>
      </c>
      <c r="P690">
        <f t="shared" si="31"/>
        <v>112000</v>
      </c>
      <c r="Q690">
        <f t="shared" si="32"/>
        <v>-8320</v>
      </c>
      <c r="R690" t="s">
        <v>47</v>
      </c>
      <c r="S690" t="s">
        <v>49</v>
      </c>
    </row>
    <row r="691" spans="1:19" ht="18" x14ac:dyDescent="0.5">
      <c r="A691" t="s">
        <v>761</v>
      </c>
      <c r="B691" t="s">
        <v>1760</v>
      </c>
      <c r="C691" s="6">
        <v>45521</v>
      </c>
      <c r="D691" t="s">
        <v>2087</v>
      </c>
      <c r="E691" t="s">
        <v>2080</v>
      </c>
      <c r="F691" t="str">
        <f>_xlfn.XLOOKUP(E691,Table8[City],Table8[State])</f>
        <v>Gujarat</v>
      </c>
      <c r="G691" t="str">
        <f>_xlfn.XLOOKUP(E691,Table8[City],Table8[Region])</f>
        <v>West</v>
      </c>
      <c r="H691" t="s">
        <v>25</v>
      </c>
      <c r="I691" t="str">
        <f>_xlfn.XLOOKUP(H691,Table6[Product],Table6[Category])</f>
        <v>Accessories</v>
      </c>
      <c r="J691" t="s">
        <v>59</v>
      </c>
      <c r="K691">
        <v>5</v>
      </c>
      <c r="L691">
        <f>_xlfn.XLOOKUP(H691,Table6[Product],Table6[Unit Price])</f>
        <v>800</v>
      </c>
      <c r="M691">
        <f>_xlfn.XLOOKUP(H691,Table6[Product],Table6[Cost Price])</f>
        <v>450</v>
      </c>
      <c r="N691" s="7">
        <v>0.1</v>
      </c>
      <c r="O691">
        <f t="shared" si="30"/>
        <v>3600</v>
      </c>
      <c r="P691">
        <f t="shared" si="31"/>
        <v>2250</v>
      </c>
      <c r="Q691">
        <f t="shared" si="32"/>
        <v>1350</v>
      </c>
      <c r="R691" t="s">
        <v>46</v>
      </c>
      <c r="S691" t="s">
        <v>52</v>
      </c>
    </row>
    <row r="692" spans="1:19" ht="18" x14ac:dyDescent="0.5">
      <c r="A692" t="s">
        <v>762</v>
      </c>
      <c r="B692" t="s">
        <v>1761</v>
      </c>
      <c r="C692" s="6">
        <v>46001</v>
      </c>
      <c r="D692" t="s">
        <v>2085</v>
      </c>
      <c r="E692" t="s">
        <v>2080</v>
      </c>
      <c r="F692" t="str">
        <f>_xlfn.XLOOKUP(E692,Table8[City],Table8[State])</f>
        <v>Gujarat</v>
      </c>
      <c r="G692" t="str">
        <f>_xlfn.XLOOKUP(E692,Table8[City],Table8[Region])</f>
        <v>West</v>
      </c>
      <c r="H692" t="s">
        <v>18</v>
      </c>
      <c r="I692" t="str">
        <f>_xlfn.XLOOKUP(H692,Table6[Product],Table6[Category])</f>
        <v>Electronics</v>
      </c>
      <c r="J692" t="s">
        <v>57</v>
      </c>
      <c r="K692">
        <v>5</v>
      </c>
      <c r="L692">
        <f>_xlfn.XLOOKUP(H692,Table6[Product],Table6[Unit Price])</f>
        <v>35000</v>
      </c>
      <c r="M692">
        <f>_xlfn.XLOOKUP(H692,Table6[Product],Table6[Cost Price])</f>
        <v>28000</v>
      </c>
      <c r="N692" s="7">
        <v>0</v>
      </c>
      <c r="O692">
        <f t="shared" si="30"/>
        <v>175000</v>
      </c>
      <c r="P692">
        <f t="shared" si="31"/>
        <v>140000</v>
      </c>
      <c r="Q692">
        <f t="shared" si="32"/>
        <v>35000</v>
      </c>
      <c r="R692" t="s">
        <v>46</v>
      </c>
      <c r="S692" t="s">
        <v>50</v>
      </c>
    </row>
    <row r="693" spans="1:19" ht="18" x14ac:dyDescent="0.5">
      <c r="A693" t="s">
        <v>763</v>
      </c>
      <c r="B693" t="s">
        <v>1762</v>
      </c>
      <c r="C693" s="6">
        <v>45718</v>
      </c>
      <c r="D693" t="s">
        <v>2099</v>
      </c>
      <c r="E693" t="s">
        <v>70</v>
      </c>
      <c r="F693" t="str">
        <f>_xlfn.XLOOKUP(E693,Table8[City],Table8[State])</f>
        <v>Karnataka</v>
      </c>
      <c r="G693" t="str">
        <f>_xlfn.XLOOKUP(E693,Table8[City],Table8[Region])</f>
        <v>South</v>
      </c>
      <c r="H693" t="s">
        <v>22</v>
      </c>
      <c r="I693" t="str">
        <f>_xlfn.XLOOKUP(H693,Table6[Product],Table6[Category])</f>
        <v>Wearables</v>
      </c>
      <c r="J693" t="s">
        <v>61</v>
      </c>
      <c r="K693">
        <v>8</v>
      </c>
      <c r="L693">
        <f>_xlfn.XLOOKUP(H693,Table6[Product],Table6[Unit Price])</f>
        <v>12000</v>
      </c>
      <c r="M693">
        <f>_xlfn.XLOOKUP(H693,Table6[Product],Table6[Cost Price])</f>
        <v>8500</v>
      </c>
      <c r="N693" s="7">
        <v>0.23</v>
      </c>
      <c r="O693">
        <f t="shared" si="30"/>
        <v>73920</v>
      </c>
      <c r="P693">
        <f t="shared" si="31"/>
        <v>68000</v>
      </c>
      <c r="Q693">
        <f t="shared" si="32"/>
        <v>5920</v>
      </c>
      <c r="R693" t="s">
        <v>47</v>
      </c>
      <c r="S693" t="s">
        <v>50</v>
      </c>
    </row>
    <row r="694" spans="1:19" ht="18" x14ac:dyDescent="0.5">
      <c r="A694" t="s">
        <v>764</v>
      </c>
      <c r="B694" t="s">
        <v>1763</v>
      </c>
      <c r="C694" s="6">
        <v>45792</v>
      </c>
      <c r="D694" t="s">
        <v>2097</v>
      </c>
      <c r="E694" t="s">
        <v>2080</v>
      </c>
      <c r="F694" t="str">
        <f>_xlfn.XLOOKUP(E694,Table8[City],Table8[State])</f>
        <v>Gujarat</v>
      </c>
      <c r="G694" t="str">
        <f>_xlfn.XLOOKUP(E694,Table8[City],Table8[Region])</f>
        <v>West</v>
      </c>
      <c r="H694" t="s">
        <v>22</v>
      </c>
      <c r="I694" t="str">
        <f>_xlfn.XLOOKUP(H694,Table6[Product],Table6[Category])</f>
        <v>Wearables</v>
      </c>
      <c r="J694" t="s">
        <v>55</v>
      </c>
      <c r="K694">
        <v>3</v>
      </c>
      <c r="L694">
        <f>_xlfn.XLOOKUP(H694,Table6[Product],Table6[Unit Price])</f>
        <v>12000</v>
      </c>
      <c r="M694">
        <f>_xlfn.XLOOKUP(H694,Table6[Product],Table6[Cost Price])</f>
        <v>8500</v>
      </c>
      <c r="N694" s="7">
        <v>0.12</v>
      </c>
      <c r="O694">
        <f t="shared" si="30"/>
        <v>31680</v>
      </c>
      <c r="P694">
        <f t="shared" si="31"/>
        <v>25500</v>
      </c>
      <c r="Q694">
        <f t="shared" si="32"/>
        <v>6180</v>
      </c>
      <c r="R694" t="s">
        <v>46</v>
      </c>
      <c r="S694" t="s">
        <v>52</v>
      </c>
    </row>
    <row r="695" spans="1:19" ht="18" x14ac:dyDescent="0.5">
      <c r="A695" t="s">
        <v>765</v>
      </c>
      <c r="B695" t="s">
        <v>1764</v>
      </c>
      <c r="C695" s="6">
        <v>45470</v>
      </c>
      <c r="D695" t="s">
        <v>2093</v>
      </c>
      <c r="E695" t="s">
        <v>2080</v>
      </c>
      <c r="F695" t="str">
        <f>_xlfn.XLOOKUP(E695,Table8[City],Table8[State])</f>
        <v>Gujarat</v>
      </c>
      <c r="G695" t="str">
        <f>_xlfn.XLOOKUP(E695,Table8[City],Table8[Region])</f>
        <v>West</v>
      </c>
      <c r="H695" t="s">
        <v>16</v>
      </c>
      <c r="I695" t="str">
        <f>_xlfn.XLOOKUP(H695,Table6[Product],Table6[Category])</f>
        <v>Electronics</v>
      </c>
      <c r="J695" t="s">
        <v>61</v>
      </c>
      <c r="K695">
        <v>3</v>
      </c>
      <c r="L695">
        <f>_xlfn.XLOOKUP(H695,Table6[Product],Table6[Unit Price])</f>
        <v>65000</v>
      </c>
      <c r="M695">
        <f>_xlfn.XLOOKUP(H695,Table6[Product],Table6[Cost Price])</f>
        <v>52000</v>
      </c>
      <c r="N695" s="7">
        <v>0.21</v>
      </c>
      <c r="O695">
        <f t="shared" si="30"/>
        <v>154050</v>
      </c>
      <c r="P695">
        <f t="shared" si="31"/>
        <v>156000</v>
      </c>
      <c r="Q695">
        <f t="shared" si="32"/>
        <v>-1950</v>
      </c>
      <c r="R695" t="s">
        <v>46</v>
      </c>
      <c r="S695" t="s">
        <v>52</v>
      </c>
    </row>
    <row r="696" spans="1:19" ht="18" x14ac:dyDescent="0.5">
      <c r="A696" t="s">
        <v>766</v>
      </c>
      <c r="B696" t="s">
        <v>1765</v>
      </c>
      <c r="C696" s="6">
        <v>45476</v>
      </c>
      <c r="D696" t="s">
        <v>2083</v>
      </c>
      <c r="E696" t="s">
        <v>2080</v>
      </c>
      <c r="F696" t="str">
        <f>_xlfn.XLOOKUP(E696,Table8[City],Table8[State])</f>
        <v>Gujarat</v>
      </c>
      <c r="G696" t="str">
        <f>_xlfn.XLOOKUP(E696,Table8[City],Table8[Region])</f>
        <v>West</v>
      </c>
      <c r="H696" t="s">
        <v>26</v>
      </c>
      <c r="I696" t="str">
        <f>_xlfn.XLOOKUP(H696,Table6[Product],Table6[Category])</f>
        <v>Office</v>
      </c>
      <c r="J696" t="s">
        <v>57</v>
      </c>
      <c r="K696">
        <v>6</v>
      </c>
      <c r="L696">
        <f>_xlfn.XLOOKUP(H696,Table6[Product],Table6[Unit Price])</f>
        <v>15000</v>
      </c>
      <c r="M696">
        <f>_xlfn.XLOOKUP(H696,Table6[Product],Table6[Cost Price])</f>
        <v>11500</v>
      </c>
      <c r="N696" s="7">
        <v>0.27</v>
      </c>
      <c r="O696">
        <f t="shared" si="30"/>
        <v>65700</v>
      </c>
      <c r="P696">
        <f t="shared" si="31"/>
        <v>69000</v>
      </c>
      <c r="Q696">
        <f t="shared" si="32"/>
        <v>-3300</v>
      </c>
      <c r="R696" t="s">
        <v>47</v>
      </c>
      <c r="S696" t="s">
        <v>50</v>
      </c>
    </row>
    <row r="697" spans="1:19" ht="18" x14ac:dyDescent="0.5">
      <c r="A697" t="s">
        <v>767</v>
      </c>
      <c r="B697" t="s">
        <v>1766</v>
      </c>
      <c r="C697" s="6">
        <v>45943</v>
      </c>
      <c r="D697" t="s">
        <v>63</v>
      </c>
      <c r="E697" t="s">
        <v>2079</v>
      </c>
      <c r="F697" t="str">
        <f>_xlfn.XLOOKUP(E697,Table8[City],Table8[State])</f>
        <v>Gujarat</v>
      </c>
      <c r="G697" t="str">
        <f>_xlfn.XLOOKUP(E697,Table8[City],Table8[Region])</f>
        <v>West</v>
      </c>
      <c r="H697" t="s">
        <v>20</v>
      </c>
      <c r="I697" t="str">
        <f>_xlfn.XLOOKUP(H697,Table6[Product],Table6[Category])</f>
        <v>Accessories</v>
      </c>
      <c r="J697" t="s">
        <v>58</v>
      </c>
      <c r="K697">
        <v>9</v>
      </c>
      <c r="L697">
        <f>_xlfn.XLOOKUP(H697,Table6[Product],Table6[Unit Price])</f>
        <v>3000</v>
      </c>
      <c r="M697">
        <f>_xlfn.XLOOKUP(H697,Table6[Product],Table6[Cost Price])</f>
        <v>1800</v>
      </c>
      <c r="N697" s="7">
        <v>0.11</v>
      </c>
      <c r="O697">
        <f t="shared" si="30"/>
        <v>24030</v>
      </c>
      <c r="P697">
        <f t="shared" si="31"/>
        <v>16200</v>
      </c>
      <c r="Q697">
        <f t="shared" si="32"/>
        <v>7830</v>
      </c>
      <c r="R697" t="s">
        <v>47</v>
      </c>
      <c r="S697" t="s">
        <v>51</v>
      </c>
    </row>
    <row r="698" spans="1:19" ht="18" x14ac:dyDescent="0.5">
      <c r="A698" t="s">
        <v>768</v>
      </c>
      <c r="B698" t="s">
        <v>1767</v>
      </c>
      <c r="C698" s="6">
        <v>45299</v>
      </c>
      <c r="D698" t="s">
        <v>2098</v>
      </c>
      <c r="E698" t="s">
        <v>2080</v>
      </c>
      <c r="F698" t="str">
        <f>_xlfn.XLOOKUP(E698,Table8[City],Table8[State])</f>
        <v>Gujarat</v>
      </c>
      <c r="G698" t="str">
        <f>_xlfn.XLOOKUP(E698,Table8[City],Table8[Region])</f>
        <v>West</v>
      </c>
      <c r="H698" t="s">
        <v>25</v>
      </c>
      <c r="I698" t="str">
        <f>_xlfn.XLOOKUP(H698,Table6[Product],Table6[Category])</f>
        <v>Accessories</v>
      </c>
      <c r="J698" t="s">
        <v>63</v>
      </c>
      <c r="K698">
        <v>3</v>
      </c>
      <c r="L698">
        <f>_xlfn.XLOOKUP(H698,Table6[Product],Table6[Unit Price])</f>
        <v>800</v>
      </c>
      <c r="M698">
        <f>_xlfn.XLOOKUP(H698,Table6[Product],Table6[Cost Price])</f>
        <v>450</v>
      </c>
      <c r="N698" s="7">
        <v>0.24</v>
      </c>
      <c r="O698">
        <f t="shared" si="30"/>
        <v>1824</v>
      </c>
      <c r="P698">
        <f t="shared" si="31"/>
        <v>1350</v>
      </c>
      <c r="Q698">
        <f t="shared" si="32"/>
        <v>474</v>
      </c>
      <c r="R698" t="s">
        <v>43</v>
      </c>
      <c r="S698" t="s">
        <v>49</v>
      </c>
    </row>
    <row r="699" spans="1:19" ht="18" x14ac:dyDescent="0.5">
      <c r="A699" t="s">
        <v>769</v>
      </c>
      <c r="B699" t="s">
        <v>1768</v>
      </c>
      <c r="C699" s="6">
        <v>45792</v>
      </c>
      <c r="D699" t="s">
        <v>2085</v>
      </c>
      <c r="E699" t="s">
        <v>2075</v>
      </c>
      <c r="F699" t="str">
        <f>_xlfn.XLOOKUP(E699,Table8[City],Table8[State])</f>
        <v>Tamil Nadu</v>
      </c>
      <c r="G699" t="str">
        <f>_xlfn.XLOOKUP(E699,Table8[City],Table8[Region])</f>
        <v>South</v>
      </c>
      <c r="H699" t="s">
        <v>24</v>
      </c>
      <c r="I699" t="str">
        <f>_xlfn.XLOOKUP(H699,Table6[Product],Table6[Category])</f>
        <v>Accessories</v>
      </c>
      <c r="J699" t="s">
        <v>62</v>
      </c>
      <c r="K699">
        <v>1</v>
      </c>
      <c r="L699">
        <f>_xlfn.XLOOKUP(H699,Table6[Product],Table6[Unit Price])</f>
        <v>1500</v>
      </c>
      <c r="M699">
        <f>_xlfn.XLOOKUP(H699,Table6[Product],Table6[Cost Price])</f>
        <v>900</v>
      </c>
      <c r="N699" s="7">
        <v>0.16</v>
      </c>
      <c r="O699">
        <f t="shared" si="30"/>
        <v>1260</v>
      </c>
      <c r="P699">
        <f t="shared" si="31"/>
        <v>900</v>
      </c>
      <c r="Q699">
        <f t="shared" si="32"/>
        <v>360</v>
      </c>
      <c r="R699" t="s">
        <v>47</v>
      </c>
      <c r="S699" t="s">
        <v>52</v>
      </c>
    </row>
    <row r="700" spans="1:19" ht="18" x14ac:dyDescent="0.5">
      <c r="A700" t="s">
        <v>770</v>
      </c>
      <c r="B700" t="s">
        <v>1769</v>
      </c>
      <c r="C700" s="6">
        <v>46020</v>
      </c>
      <c r="D700" t="s">
        <v>2096</v>
      </c>
      <c r="E700" t="s">
        <v>2075</v>
      </c>
      <c r="F700" t="str">
        <f>_xlfn.XLOOKUP(E700,Table8[City],Table8[State])</f>
        <v>Tamil Nadu</v>
      </c>
      <c r="G700" t="str">
        <f>_xlfn.XLOOKUP(E700,Table8[City],Table8[Region])</f>
        <v>South</v>
      </c>
      <c r="H700" t="s">
        <v>20</v>
      </c>
      <c r="I700" t="str">
        <f>_xlfn.XLOOKUP(H700,Table6[Product],Table6[Category])</f>
        <v>Accessories</v>
      </c>
      <c r="J700" t="s">
        <v>54</v>
      </c>
      <c r="K700">
        <v>1</v>
      </c>
      <c r="L700">
        <f>_xlfn.XLOOKUP(H700,Table6[Product],Table6[Unit Price])</f>
        <v>3000</v>
      </c>
      <c r="M700">
        <f>_xlfn.XLOOKUP(H700,Table6[Product],Table6[Cost Price])</f>
        <v>1800</v>
      </c>
      <c r="N700" s="7">
        <v>0.04</v>
      </c>
      <c r="O700">
        <f t="shared" si="30"/>
        <v>2880</v>
      </c>
      <c r="P700">
        <f t="shared" si="31"/>
        <v>1800</v>
      </c>
      <c r="Q700">
        <f t="shared" si="32"/>
        <v>1080</v>
      </c>
      <c r="R700" t="s">
        <v>47</v>
      </c>
      <c r="S700" t="s">
        <v>50</v>
      </c>
    </row>
    <row r="701" spans="1:19" ht="18" x14ac:dyDescent="0.5">
      <c r="A701" t="s">
        <v>771</v>
      </c>
      <c r="B701" t="s">
        <v>1770</v>
      </c>
      <c r="C701" s="6">
        <v>45763</v>
      </c>
      <c r="D701" t="s">
        <v>2099</v>
      </c>
      <c r="E701" t="s">
        <v>2079</v>
      </c>
      <c r="F701" t="str">
        <f>_xlfn.XLOOKUP(E701,Table8[City],Table8[State])</f>
        <v>Gujarat</v>
      </c>
      <c r="G701" t="str">
        <f>_xlfn.XLOOKUP(E701,Table8[City],Table8[Region])</f>
        <v>West</v>
      </c>
      <c r="H701" t="s">
        <v>25</v>
      </c>
      <c r="I701" t="str">
        <f>_xlfn.XLOOKUP(H701,Table6[Product],Table6[Category])</f>
        <v>Accessories</v>
      </c>
      <c r="J701" t="s">
        <v>60</v>
      </c>
      <c r="K701">
        <v>10</v>
      </c>
      <c r="L701">
        <f>_xlfn.XLOOKUP(H701,Table6[Product],Table6[Unit Price])</f>
        <v>800</v>
      </c>
      <c r="M701">
        <f>_xlfn.XLOOKUP(H701,Table6[Product],Table6[Cost Price])</f>
        <v>450</v>
      </c>
      <c r="N701" s="7">
        <v>0.23</v>
      </c>
      <c r="O701">
        <f t="shared" si="30"/>
        <v>6160</v>
      </c>
      <c r="P701">
        <f t="shared" si="31"/>
        <v>4500</v>
      </c>
      <c r="Q701">
        <f t="shared" si="32"/>
        <v>1660</v>
      </c>
      <c r="R701" t="s">
        <v>45</v>
      </c>
      <c r="S701" t="s">
        <v>52</v>
      </c>
    </row>
    <row r="702" spans="1:19" ht="18" x14ac:dyDescent="0.5">
      <c r="A702" t="s">
        <v>772</v>
      </c>
      <c r="B702" t="s">
        <v>1771</v>
      </c>
      <c r="C702" s="6">
        <v>45342</v>
      </c>
      <c r="D702" t="s">
        <v>59</v>
      </c>
      <c r="E702" t="s">
        <v>2105</v>
      </c>
      <c r="F702" t="str">
        <f>_xlfn.XLOOKUP(E702,Table8[City],Table8[State])</f>
        <v>Rajasthan</v>
      </c>
      <c r="G702" t="str">
        <f>_xlfn.XLOOKUP(E702,Table8[City],Table8[Region])</f>
        <v>North</v>
      </c>
      <c r="H702" t="s">
        <v>19</v>
      </c>
      <c r="I702" t="str">
        <f>_xlfn.XLOOKUP(H702,Table6[Product],Table6[Category])</f>
        <v>Electronics</v>
      </c>
      <c r="J702" t="s">
        <v>55</v>
      </c>
      <c r="K702">
        <v>2</v>
      </c>
      <c r="L702">
        <f>_xlfn.XLOOKUP(H702,Table6[Product],Table6[Unit Price])</f>
        <v>25000</v>
      </c>
      <c r="M702">
        <f>_xlfn.XLOOKUP(H702,Table6[Product],Table6[Cost Price])</f>
        <v>20000</v>
      </c>
      <c r="N702" s="7">
        <v>0.19</v>
      </c>
      <c r="O702">
        <f t="shared" si="30"/>
        <v>40500</v>
      </c>
      <c r="P702">
        <f t="shared" si="31"/>
        <v>40000</v>
      </c>
      <c r="Q702">
        <f t="shared" si="32"/>
        <v>500</v>
      </c>
      <c r="R702" t="s">
        <v>45</v>
      </c>
      <c r="S702" t="s">
        <v>52</v>
      </c>
    </row>
    <row r="703" spans="1:19" ht="18" x14ac:dyDescent="0.5">
      <c r="A703" t="s">
        <v>773</v>
      </c>
      <c r="B703" t="s">
        <v>1772</v>
      </c>
      <c r="C703" s="6">
        <v>45987</v>
      </c>
      <c r="D703" t="s">
        <v>2098</v>
      </c>
      <c r="E703" t="s">
        <v>2106</v>
      </c>
      <c r="F703" t="str">
        <f>_xlfn.XLOOKUP(E703,Table8[City],Table8[State])</f>
        <v>West Bengal</v>
      </c>
      <c r="G703" t="str">
        <f>_xlfn.XLOOKUP(E703,Table8[City],Table8[Region])</f>
        <v>East</v>
      </c>
      <c r="H703" t="s">
        <v>20</v>
      </c>
      <c r="I703" t="str">
        <f>_xlfn.XLOOKUP(H703,Table6[Product],Table6[Category])</f>
        <v>Accessories</v>
      </c>
      <c r="J703" t="s">
        <v>58</v>
      </c>
      <c r="K703">
        <v>8</v>
      </c>
      <c r="L703">
        <f>_xlfn.XLOOKUP(H703,Table6[Product],Table6[Unit Price])</f>
        <v>3000</v>
      </c>
      <c r="M703">
        <f>_xlfn.XLOOKUP(H703,Table6[Product],Table6[Cost Price])</f>
        <v>1800</v>
      </c>
      <c r="N703" s="7">
        <v>0.21</v>
      </c>
      <c r="O703">
        <f t="shared" si="30"/>
        <v>18960</v>
      </c>
      <c r="P703">
        <f t="shared" si="31"/>
        <v>14400</v>
      </c>
      <c r="Q703">
        <f t="shared" si="32"/>
        <v>4560</v>
      </c>
      <c r="R703" t="s">
        <v>47</v>
      </c>
      <c r="S703" t="s">
        <v>51</v>
      </c>
    </row>
    <row r="704" spans="1:19" ht="18" x14ac:dyDescent="0.5">
      <c r="A704" t="s">
        <v>774</v>
      </c>
      <c r="B704" t="s">
        <v>1773</v>
      </c>
      <c r="C704" s="6">
        <v>45871</v>
      </c>
      <c r="D704" t="s">
        <v>2093</v>
      </c>
      <c r="E704" t="s">
        <v>70</v>
      </c>
      <c r="F704" t="str">
        <f>_xlfn.XLOOKUP(E704,Table8[City],Table8[State])</f>
        <v>Karnataka</v>
      </c>
      <c r="G704" t="str">
        <f>_xlfn.XLOOKUP(E704,Table8[City],Table8[Region])</f>
        <v>South</v>
      </c>
      <c r="H704" t="s">
        <v>26</v>
      </c>
      <c r="I704" t="str">
        <f>_xlfn.XLOOKUP(H704,Table6[Product],Table6[Category])</f>
        <v>Office</v>
      </c>
      <c r="J704" t="s">
        <v>56</v>
      </c>
      <c r="K704">
        <v>6</v>
      </c>
      <c r="L704">
        <f>_xlfn.XLOOKUP(H704,Table6[Product],Table6[Unit Price])</f>
        <v>15000</v>
      </c>
      <c r="M704">
        <f>_xlfn.XLOOKUP(H704,Table6[Product],Table6[Cost Price])</f>
        <v>11500</v>
      </c>
      <c r="N704" s="7">
        <v>0.08</v>
      </c>
      <c r="O704">
        <f t="shared" si="30"/>
        <v>82800</v>
      </c>
      <c r="P704">
        <f t="shared" si="31"/>
        <v>69000</v>
      </c>
      <c r="Q704">
        <f t="shared" si="32"/>
        <v>13800</v>
      </c>
      <c r="R704" t="s">
        <v>43</v>
      </c>
      <c r="S704" t="s">
        <v>49</v>
      </c>
    </row>
    <row r="705" spans="1:19" ht="18" x14ac:dyDescent="0.5">
      <c r="A705" t="s">
        <v>775</v>
      </c>
      <c r="B705" t="s">
        <v>1774</v>
      </c>
      <c r="C705" s="6">
        <v>45401</v>
      </c>
      <c r="D705" t="s">
        <v>59</v>
      </c>
      <c r="E705" t="s">
        <v>2073</v>
      </c>
      <c r="F705" t="str">
        <f>_xlfn.XLOOKUP(E705,Table8[City],Table8[State])</f>
        <v>Maharashtra</v>
      </c>
      <c r="G705" t="str">
        <f>_xlfn.XLOOKUP(E705,Table8[City],Table8[Region])</f>
        <v>West</v>
      </c>
      <c r="H705" t="s">
        <v>19</v>
      </c>
      <c r="I705" t="str">
        <f>_xlfn.XLOOKUP(H705,Table6[Product],Table6[Category])</f>
        <v>Electronics</v>
      </c>
      <c r="J705" t="s">
        <v>58</v>
      </c>
      <c r="K705">
        <v>6</v>
      </c>
      <c r="L705">
        <f>_xlfn.XLOOKUP(H705,Table6[Product],Table6[Unit Price])</f>
        <v>25000</v>
      </c>
      <c r="M705">
        <f>_xlfn.XLOOKUP(H705,Table6[Product],Table6[Cost Price])</f>
        <v>20000</v>
      </c>
      <c r="N705" s="7">
        <v>0.27</v>
      </c>
      <c r="O705">
        <f t="shared" si="30"/>
        <v>109500</v>
      </c>
      <c r="P705">
        <f t="shared" si="31"/>
        <v>120000</v>
      </c>
      <c r="Q705">
        <f t="shared" si="32"/>
        <v>-10500</v>
      </c>
      <c r="R705" t="s">
        <v>46</v>
      </c>
      <c r="S705" t="s">
        <v>49</v>
      </c>
    </row>
    <row r="706" spans="1:19" ht="18" x14ac:dyDescent="0.5">
      <c r="A706" t="s">
        <v>776</v>
      </c>
      <c r="B706" t="s">
        <v>1775</v>
      </c>
      <c r="C706" s="6">
        <v>45436</v>
      </c>
      <c r="D706" t="s">
        <v>63</v>
      </c>
      <c r="E706" t="s">
        <v>2078</v>
      </c>
      <c r="F706" t="str">
        <f>_xlfn.XLOOKUP(E706,Table8[City],Table8[State])</f>
        <v>Telangana</v>
      </c>
      <c r="G706" t="str">
        <f>_xlfn.XLOOKUP(E706,Table8[City],Table8[Region])</f>
        <v>South</v>
      </c>
      <c r="H706" t="s">
        <v>26</v>
      </c>
      <c r="I706" t="str">
        <f>_xlfn.XLOOKUP(H706,Table6[Product],Table6[Category])</f>
        <v>Office</v>
      </c>
      <c r="J706" t="s">
        <v>61</v>
      </c>
      <c r="K706">
        <v>4</v>
      </c>
      <c r="L706">
        <f>_xlfn.XLOOKUP(H706,Table6[Product],Table6[Unit Price])</f>
        <v>15000</v>
      </c>
      <c r="M706">
        <f>_xlfn.XLOOKUP(H706,Table6[Product],Table6[Cost Price])</f>
        <v>11500</v>
      </c>
      <c r="N706" s="7">
        <v>0.27</v>
      </c>
      <c r="O706">
        <f t="shared" si="30"/>
        <v>43800</v>
      </c>
      <c r="P706">
        <f t="shared" si="31"/>
        <v>46000</v>
      </c>
      <c r="Q706">
        <f t="shared" si="32"/>
        <v>-2200</v>
      </c>
      <c r="R706" t="s">
        <v>46</v>
      </c>
      <c r="S706" t="s">
        <v>49</v>
      </c>
    </row>
    <row r="707" spans="1:19" ht="18" x14ac:dyDescent="0.5">
      <c r="A707" t="s">
        <v>777</v>
      </c>
      <c r="B707" t="s">
        <v>1776</v>
      </c>
      <c r="C707" s="6">
        <v>46012</v>
      </c>
      <c r="D707" t="s">
        <v>2086</v>
      </c>
      <c r="E707" t="s">
        <v>2076</v>
      </c>
      <c r="F707" t="str">
        <f>_xlfn.XLOOKUP(E707,Table8[City],Table8[State])</f>
        <v>Tamil Nadu</v>
      </c>
      <c r="G707" t="str">
        <f>_xlfn.XLOOKUP(E707,Table8[City],Table8[Region])</f>
        <v>South</v>
      </c>
      <c r="H707" t="s">
        <v>24</v>
      </c>
      <c r="I707" t="str">
        <f>_xlfn.XLOOKUP(H707,Table6[Product],Table6[Category])</f>
        <v>Accessories</v>
      </c>
      <c r="J707" t="s">
        <v>56</v>
      </c>
      <c r="K707">
        <v>7</v>
      </c>
      <c r="L707">
        <f>_xlfn.XLOOKUP(H707,Table6[Product],Table6[Unit Price])</f>
        <v>1500</v>
      </c>
      <c r="M707">
        <f>_xlfn.XLOOKUP(H707,Table6[Product],Table6[Cost Price])</f>
        <v>900</v>
      </c>
      <c r="N707" s="7">
        <v>0.15</v>
      </c>
      <c r="O707">
        <f t="shared" ref="O707:O770" si="33">(L707*K707)*(1-N707)</f>
        <v>8925</v>
      </c>
      <c r="P707">
        <f t="shared" ref="P707:P770" si="34">M707*K707</f>
        <v>6300</v>
      </c>
      <c r="Q707">
        <f t="shared" ref="Q707:Q770" si="35">O707-P707</f>
        <v>2625</v>
      </c>
      <c r="R707" t="s">
        <v>47</v>
      </c>
      <c r="S707" t="s">
        <v>51</v>
      </c>
    </row>
    <row r="708" spans="1:19" ht="18" x14ac:dyDescent="0.5">
      <c r="A708" t="s">
        <v>778</v>
      </c>
      <c r="B708" t="s">
        <v>1777</v>
      </c>
      <c r="C708" s="6">
        <v>45361</v>
      </c>
      <c r="D708" t="s">
        <v>2085</v>
      </c>
      <c r="E708" t="s">
        <v>2105</v>
      </c>
      <c r="F708" t="str">
        <f>_xlfn.XLOOKUP(E708,Table8[City],Table8[State])</f>
        <v>Rajasthan</v>
      </c>
      <c r="G708" t="str">
        <f>_xlfn.XLOOKUP(E708,Table8[City],Table8[Region])</f>
        <v>North</v>
      </c>
      <c r="H708" t="s">
        <v>22</v>
      </c>
      <c r="I708" t="str">
        <f>_xlfn.XLOOKUP(H708,Table6[Product],Table6[Category])</f>
        <v>Wearables</v>
      </c>
      <c r="J708" t="s">
        <v>57</v>
      </c>
      <c r="K708">
        <v>8</v>
      </c>
      <c r="L708">
        <f>_xlfn.XLOOKUP(H708,Table6[Product],Table6[Unit Price])</f>
        <v>12000</v>
      </c>
      <c r="M708">
        <f>_xlfn.XLOOKUP(H708,Table6[Product],Table6[Cost Price])</f>
        <v>8500</v>
      </c>
      <c r="N708" s="7">
        <v>0.15</v>
      </c>
      <c r="O708">
        <f t="shared" si="33"/>
        <v>81600</v>
      </c>
      <c r="P708">
        <f t="shared" si="34"/>
        <v>68000</v>
      </c>
      <c r="Q708">
        <f t="shared" si="35"/>
        <v>13600</v>
      </c>
      <c r="R708" t="s">
        <v>44</v>
      </c>
      <c r="S708" t="s">
        <v>50</v>
      </c>
    </row>
    <row r="709" spans="1:19" ht="18" x14ac:dyDescent="0.5">
      <c r="A709" t="s">
        <v>779</v>
      </c>
      <c r="B709" t="s">
        <v>1778</v>
      </c>
      <c r="C709" s="6">
        <v>45849</v>
      </c>
      <c r="D709" t="s">
        <v>2095</v>
      </c>
      <c r="E709" t="s">
        <v>2073</v>
      </c>
      <c r="F709" t="str">
        <f>_xlfn.XLOOKUP(E709,Table8[City],Table8[State])</f>
        <v>Maharashtra</v>
      </c>
      <c r="G709" t="str">
        <f>_xlfn.XLOOKUP(E709,Table8[City],Table8[Region])</f>
        <v>West</v>
      </c>
      <c r="H709" t="s">
        <v>22</v>
      </c>
      <c r="I709" t="str">
        <f>_xlfn.XLOOKUP(H709,Table6[Product],Table6[Category])</f>
        <v>Wearables</v>
      </c>
      <c r="J709" t="s">
        <v>61</v>
      </c>
      <c r="K709">
        <v>4</v>
      </c>
      <c r="L709">
        <f>_xlfn.XLOOKUP(H709,Table6[Product],Table6[Unit Price])</f>
        <v>12000</v>
      </c>
      <c r="M709">
        <f>_xlfn.XLOOKUP(H709,Table6[Product],Table6[Cost Price])</f>
        <v>8500</v>
      </c>
      <c r="N709" s="7">
        <v>0.15</v>
      </c>
      <c r="O709">
        <f t="shared" si="33"/>
        <v>40800</v>
      </c>
      <c r="P709">
        <f t="shared" si="34"/>
        <v>34000</v>
      </c>
      <c r="Q709">
        <f t="shared" si="35"/>
        <v>6800</v>
      </c>
      <c r="R709" t="s">
        <v>46</v>
      </c>
      <c r="S709" t="s">
        <v>49</v>
      </c>
    </row>
    <row r="710" spans="1:19" ht="18" x14ac:dyDescent="0.5">
      <c r="A710" t="s">
        <v>780</v>
      </c>
      <c r="B710" t="s">
        <v>1779</v>
      </c>
      <c r="C710" s="6">
        <v>45334</v>
      </c>
      <c r="D710" t="s">
        <v>2097</v>
      </c>
      <c r="E710" t="s">
        <v>2104</v>
      </c>
      <c r="F710" t="str">
        <f>_xlfn.XLOOKUP(E710,Table8[City],Table8[State])</f>
        <v>Delhi</v>
      </c>
      <c r="G710" t="str">
        <f>_xlfn.XLOOKUP(E710,Table8[City],Table8[Region])</f>
        <v>North</v>
      </c>
      <c r="H710" t="s">
        <v>24</v>
      </c>
      <c r="I710" t="str">
        <f>_xlfn.XLOOKUP(H710,Table6[Product],Table6[Category])</f>
        <v>Accessories</v>
      </c>
      <c r="J710" t="s">
        <v>57</v>
      </c>
      <c r="K710">
        <v>9</v>
      </c>
      <c r="L710">
        <f>_xlfn.XLOOKUP(H710,Table6[Product],Table6[Unit Price])</f>
        <v>1500</v>
      </c>
      <c r="M710">
        <f>_xlfn.XLOOKUP(H710,Table6[Product],Table6[Cost Price])</f>
        <v>900</v>
      </c>
      <c r="N710" s="7">
        <v>0.18</v>
      </c>
      <c r="O710">
        <f t="shared" si="33"/>
        <v>11070</v>
      </c>
      <c r="P710">
        <f t="shared" si="34"/>
        <v>8100</v>
      </c>
      <c r="Q710">
        <f t="shared" si="35"/>
        <v>2970</v>
      </c>
      <c r="R710" t="s">
        <v>46</v>
      </c>
      <c r="S710" t="s">
        <v>50</v>
      </c>
    </row>
    <row r="711" spans="1:19" ht="18" x14ac:dyDescent="0.5">
      <c r="A711" t="s">
        <v>781</v>
      </c>
      <c r="B711" t="s">
        <v>1780</v>
      </c>
      <c r="C711" s="6">
        <v>45481</v>
      </c>
      <c r="D711" t="s">
        <v>2098</v>
      </c>
      <c r="E711" t="s">
        <v>2104</v>
      </c>
      <c r="F711" t="str">
        <f>_xlfn.XLOOKUP(E711,Table8[City],Table8[State])</f>
        <v>Delhi</v>
      </c>
      <c r="G711" t="str">
        <f>_xlfn.XLOOKUP(E711,Table8[City],Table8[Region])</f>
        <v>North</v>
      </c>
      <c r="H711" t="s">
        <v>25</v>
      </c>
      <c r="I711" t="str">
        <f>_xlfn.XLOOKUP(H711,Table6[Product],Table6[Category])</f>
        <v>Accessories</v>
      </c>
      <c r="J711" t="s">
        <v>62</v>
      </c>
      <c r="K711">
        <v>9</v>
      </c>
      <c r="L711">
        <f>_xlfn.XLOOKUP(H711,Table6[Product],Table6[Unit Price])</f>
        <v>800</v>
      </c>
      <c r="M711">
        <f>_xlfn.XLOOKUP(H711,Table6[Product],Table6[Cost Price])</f>
        <v>450</v>
      </c>
      <c r="N711" s="7">
        <v>0.19</v>
      </c>
      <c r="O711">
        <f t="shared" si="33"/>
        <v>5832</v>
      </c>
      <c r="P711">
        <f t="shared" si="34"/>
        <v>4050</v>
      </c>
      <c r="Q711">
        <f t="shared" si="35"/>
        <v>1782</v>
      </c>
      <c r="R711" t="s">
        <v>43</v>
      </c>
      <c r="S711" t="s">
        <v>49</v>
      </c>
    </row>
    <row r="712" spans="1:19" ht="18" x14ac:dyDescent="0.5">
      <c r="A712" t="s">
        <v>782</v>
      </c>
      <c r="B712" t="s">
        <v>1781</v>
      </c>
      <c r="C712" s="6">
        <v>45318</v>
      </c>
      <c r="D712" t="s">
        <v>2084</v>
      </c>
      <c r="E712" t="s">
        <v>70</v>
      </c>
      <c r="F712" t="str">
        <f>_xlfn.XLOOKUP(E712,Table8[City],Table8[State])</f>
        <v>Karnataka</v>
      </c>
      <c r="G712" t="str">
        <f>_xlfn.XLOOKUP(E712,Table8[City],Table8[Region])</f>
        <v>South</v>
      </c>
      <c r="H712" t="s">
        <v>26</v>
      </c>
      <c r="I712" t="str">
        <f>_xlfn.XLOOKUP(H712,Table6[Product],Table6[Category])</f>
        <v>Office</v>
      </c>
      <c r="J712" t="s">
        <v>60</v>
      </c>
      <c r="K712">
        <v>8</v>
      </c>
      <c r="L712">
        <f>_xlfn.XLOOKUP(H712,Table6[Product],Table6[Unit Price])</f>
        <v>15000</v>
      </c>
      <c r="M712">
        <f>_xlfn.XLOOKUP(H712,Table6[Product],Table6[Cost Price])</f>
        <v>11500</v>
      </c>
      <c r="N712" s="7">
        <v>0.16</v>
      </c>
      <c r="O712">
        <f t="shared" si="33"/>
        <v>100800</v>
      </c>
      <c r="P712">
        <f t="shared" si="34"/>
        <v>92000</v>
      </c>
      <c r="Q712">
        <f t="shared" si="35"/>
        <v>8800</v>
      </c>
      <c r="R712" t="s">
        <v>45</v>
      </c>
      <c r="S712" t="s">
        <v>52</v>
      </c>
    </row>
    <row r="713" spans="1:19" ht="18" x14ac:dyDescent="0.5">
      <c r="A713" t="s">
        <v>783</v>
      </c>
      <c r="B713" t="s">
        <v>1782</v>
      </c>
      <c r="C713" s="6">
        <v>45860</v>
      </c>
      <c r="D713" t="s">
        <v>2096</v>
      </c>
      <c r="E713" t="s">
        <v>2104</v>
      </c>
      <c r="F713" t="str">
        <f>_xlfn.XLOOKUP(E713,Table8[City],Table8[State])</f>
        <v>Delhi</v>
      </c>
      <c r="G713" t="str">
        <f>_xlfn.XLOOKUP(E713,Table8[City],Table8[Region])</f>
        <v>North</v>
      </c>
      <c r="H713" t="s">
        <v>24</v>
      </c>
      <c r="I713" t="str">
        <f>_xlfn.XLOOKUP(H713,Table6[Product],Table6[Category])</f>
        <v>Accessories</v>
      </c>
      <c r="J713" t="s">
        <v>61</v>
      </c>
      <c r="K713">
        <v>8</v>
      </c>
      <c r="L713">
        <f>_xlfn.XLOOKUP(H713,Table6[Product],Table6[Unit Price])</f>
        <v>1500</v>
      </c>
      <c r="M713">
        <f>_xlfn.XLOOKUP(H713,Table6[Product],Table6[Cost Price])</f>
        <v>900</v>
      </c>
      <c r="N713" s="7">
        <v>0.23</v>
      </c>
      <c r="O713">
        <f t="shared" si="33"/>
        <v>9240</v>
      </c>
      <c r="P713">
        <f t="shared" si="34"/>
        <v>7200</v>
      </c>
      <c r="Q713">
        <f t="shared" si="35"/>
        <v>2040</v>
      </c>
      <c r="R713" t="s">
        <v>43</v>
      </c>
      <c r="S713" t="s">
        <v>51</v>
      </c>
    </row>
    <row r="714" spans="1:19" ht="18" x14ac:dyDescent="0.5">
      <c r="A714" t="s">
        <v>784</v>
      </c>
      <c r="B714" t="s">
        <v>1783</v>
      </c>
      <c r="C714" s="6">
        <v>45886</v>
      </c>
      <c r="D714" t="s">
        <v>2096</v>
      </c>
      <c r="E714" t="s">
        <v>70</v>
      </c>
      <c r="F714" t="str">
        <f>_xlfn.XLOOKUP(E714,Table8[City],Table8[State])</f>
        <v>Karnataka</v>
      </c>
      <c r="G714" t="str">
        <f>_xlfn.XLOOKUP(E714,Table8[City],Table8[Region])</f>
        <v>South</v>
      </c>
      <c r="H714" t="s">
        <v>19</v>
      </c>
      <c r="I714" t="str">
        <f>_xlfn.XLOOKUP(H714,Table6[Product],Table6[Category])</f>
        <v>Electronics</v>
      </c>
      <c r="J714" t="s">
        <v>63</v>
      </c>
      <c r="K714">
        <v>3</v>
      </c>
      <c r="L714">
        <f>_xlfn.XLOOKUP(H714,Table6[Product],Table6[Unit Price])</f>
        <v>25000</v>
      </c>
      <c r="M714">
        <f>_xlfn.XLOOKUP(H714,Table6[Product],Table6[Cost Price])</f>
        <v>20000</v>
      </c>
      <c r="N714" s="7">
        <v>0.28999999999999998</v>
      </c>
      <c r="O714">
        <f t="shared" si="33"/>
        <v>53250</v>
      </c>
      <c r="P714">
        <f t="shared" si="34"/>
        <v>60000</v>
      </c>
      <c r="Q714">
        <f t="shared" si="35"/>
        <v>-6750</v>
      </c>
      <c r="R714" t="s">
        <v>46</v>
      </c>
      <c r="S714" t="s">
        <v>49</v>
      </c>
    </row>
    <row r="715" spans="1:19" ht="18" x14ac:dyDescent="0.5">
      <c r="A715" t="s">
        <v>785</v>
      </c>
      <c r="B715" t="s">
        <v>1784</v>
      </c>
      <c r="C715" s="6">
        <v>45631</v>
      </c>
      <c r="D715" t="s">
        <v>63</v>
      </c>
      <c r="E715" t="s">
        <v>2075</v>
      </c>
      <c r="F715" t="str">
        <f>_xlfn.XLOOKUP(E715,Table8[City],Table8[State])</f>
        <v>Tamil Nadu</v>
      </c>
      <c r="G715" t="str">
        <f>_xlfn.XLOOKUP(E715,Table8[City],Table8[Region])</f>
        <v>South</v>
      </c>
      <c r="H715" t="s">
        <v>26</v>
      </c>
      <c r="I715" t="str">
        <f>_xlfn.XLOOKUP(H715,Table6[Product],Table6[Category])</f>
        <v>Office</v>
      </c>
      <c r="J715" t="s">
        <v>56</v>
      </c>
      <c r="K715">
        <v>3</v>
      </c>
      <c r="L715">
        <f>_xlfn.XLOOKUP(H715,Table6[Product],Table6[Unit Price])</f>
        <v>15000</v>
      </c>
      <c r="M715">
        <f>_xlfn.XLOOKUP(H715,Table6[Product],Table6[Cost Price])</f>
        <v>11500</v>
      </c>
      <c r="N715" s="7">
        <v>0.24</v>
      </c>
      <c r="O715">
        <f t="shared" si="33"/>
        <v>34200</v>
      </c>
      <c r="P715">
        <f t="shared" si="34"/>
        <v>34500</v>
      </c>
      <c r="Q715">
        <f t="shared" si="35"/>
        <v>-300</v>
      </c>
      <c r="R715" t="s">
        <v>44</v>
      </c>
      <c r="S715" t="s">
        <v>51</v>
      </c>
    </row>
    <row r="716" spans="1:19" ht="18" x14ac:dyDescent="0.5">
      <c r="A716" t="s">
        <v>786</v>
      </c>
      <c r="B716" t="s">
        <v>1785</v>
      </c>
      <c r="C716" s="6">
        <v>45294</v>
      </c>
      <c r="D716" t="s">
        <v>2084</v>
      </c>
      <c r="E716" t="s">
        <v>2073</v>
      </c>
      <c r="F716" t="str">
        <f>_xlfn.XLOOKUP(E716,Table8[City],Table8[State])</f>
        <v>Maharashtra</v>
      </c>
      <c r="G716" t="str">
        <f>_xlfn.XLOOKUP(E716,Table8[City],Table8[Region])</f>
        <v>West</v>
      </c>
      <c r="H716" t="s">
        <v>20</v>
      </c>
      <c r="I716" t="str">
        <f>_xlfn.XLOOKUP(H716,Table6[Product],Table6[Category])</f>
        <v>Accessories</v>
      </c>
      <c r="J716" t="s">
        <v>57</v>
      </c>
      <c r="K716">
        <v>7</v>
      </c>
      <c r="L716">
        <f>_xlfn.XLOOKUP(H716,Table6[Product],Table6[Unit Price])</f>
        <v>3000</v>
      </c>
      <c r="M716">
        <f>_xlfn.XLOOKUP(H716,Table6[Product],Table6[Cost Price])</f>
        <v>1800</v>
      </c>
      <c r="N716" s="7">
        <v>0.28000000000000003</v>
      </c>
      <c r="O716">
        <f t="shared" si="33"/>
        <v>15120</v>
      </c>
      <c r="P716">
        <f t="shared" si="34"/>
        <v>12600</v>
      </c>
      <c r="Q716">
        <f t="shared" si="35"/>
        <v>2520</v>
      </c>
      <c r="R716" t="s">
        <v>46</v>
      </c>
      <c r="S716" t="s">
        <v>49</v>
      </c>
    </row>
    <row r="717" spans="1:19" ht="18" x14ac:dyDescent="0.5">
      <c r="A717" t="s">
        <v>787</v>
      </c>
      <c r="B717" t="s">
        <v>1786</v>
      </c>
      <c r="C717" s="6">
        <v>46021</v>
      </c>
      <c r="D717" t="s">
        <v>2089</v>
      </c>
      <c r="E717" t="s">
        <v>2073</v>
      </c>
      <c r="F717" t="str">
        <f>_xlfn.XLOOKUP(E717,Table8[City],Table8[State])</f>
        <v>Maharashtra</v>
      </c>
      <c r="G717" t="str">
        <f>_xlfn.XLOOKUP(E717,Table8[City],Table8[Region])</f>
        <v>West</v>
      </c>
      <c r="H717" t="s">
        <v>20</v>
      </c>
      <c r="I717" t="str">
        <f>_xlfn.XLOOKUP(H717,Table6[Product],Table6[Category])</f>
        <v>Accessories</v>
      </c>
      <c r="J717" t="s">
        <v>58</v>
      </c>
      <c r="K717">
        <v>4</v>
      </c>
      <c r="L717">
        <f>_xlfn.XLOOKUP(H717,Table6[Product],Table6[Unit Price])</f>
        <v>3000</v>
      </c>
      <c r="M717">
        <f>_xlfn.XLOOKUP(H717,Table6[Product],Table6[Cost Price])</f>
        <v>1800</v>
      </c>
      <c r="N717" s="7">
        <v>0.17</v>
      </c>
      <c r="O717">
        <f t="shared" si="33"/>
        <v>9960</v>
      </c>
      <c r="P717">
        <f t="shared" si="34"/>
        <v>7200</v>
      </c>
      <c r="Q717">
        <f t="shared" si="35"/>
        <v>2760</v>
      </c>
      <c r="R717" t="s">
        <v>44</v>
      </c>
      <c r="S717" t="s">
        <v>49</v>
      </c>
    </row>
    <row r="718" spans="1:19" ht="18" x14ac:dyDescent="0.5">
      <c r="A718" t="s">
        <v>788</v>
      </c>
      <c r="B718" t="s">
        <v>1787</v>
      </c>
      <c r="C718" s="6">
        <v>45621</v>
      </c>
      <c r="D718" t="s">
        <v>2084</v>
      </c>
      <c r="E718" t="s">
        <v>2106</v>
      </c>
      <c r="F718" t="str">
        <f>_xlfn.XLOOKUP(E718,Table8[City],Table8[State])</f>
        <v>West Bengal</v>
      </c>
      <c r="G718" t="str">
        <f>_xlfn.XLOOKUP(E718,Table8[City],Table8[Region])</f>
        <v>East</v>
      </c>
      <c r="H718" t="s">
        <v>16</v>
      </c>
      <c r="I718" t="str">
        <f>_xlfn.XLOOKUP(H718,Table6[Product],Table6[Category])</f>
        <v>Electronics</v>
      </c>
      <c r="J718" t="s">
        <v>56</v>
      </c>
      <c r="K718">
        <v>7</v>
      </c>
      <c r="L718">
        <f>_xlfn.XLOOKUP(H718,Table6[Product],Table6[Unit Price])</f>
        <v>65000</v>
      </c>
      <c r="M718">
        <f>_xlfn.XLOOKUP(H718,Table6[Product],Table6[Cost Price])</f>
        <v>52000</v>
      </c>
      <c r="N718" s="7">
        <v>0.13</v>
      </c>
      <c r="O718">
        <f t="shared" si="33"/>
        <v>395850</v>
      </c>
      <c r="P718">
        <f t="shared" si="34"/>
        <v>364000</v>
      </c>
      <c r="Q718">
        <f t="shared" si="35"/>
        <v>31850</v>
      </c>
      <c r="R718" t="s">
        <v>44</v>
      </c>
      <c r="S718" t="s">
        <v>49</v>
      </c>
    </row>
    <row r="719" spans="1:19" ht="18" x14ac:dyDescent="0.5">
      <c r="A719" t="s">
        <v>789</v>
      </c>
      <c r="B719" t="s">
        <v>1788</v>
      </c>
      <c r="C719" s="6">
        <v>45964</v>
      </c>
      <c r="D719" t="s">
        <v>2086</v>
      </c>
      <c r="E719" t="s">
        <v>2073</v>
      </c>
      <c r="F719" t="str">
        <f>_xlfn.XLOOKUP(E719,Table8[City],Table8[State])</f>
        <v>Maharashtra</v>
      </c>
      <c r="G719" t="str">
        <f>_xlfn.XLOOKUP(E719,Table8[City],Table8[Region])</f>
        <v>West</v>
      </c>
      <c r="H719" t="s">
        <v>19</v>
      </c>
      <c r="I719" t="str">
        <f>_xlfn.XLOOKUP(H719,Table6[Product],Table6[Category])</f>
        <v>Electronics</v>
      </c>
      <c r="J719" t="s">
        <v>58</v>
      </c>
      <c r="K719">
        <v>2</v>
      </c>
      <c r="L719">
        <f>_xlfn.XLOOKUP(H719,Table6[Product],Table6[Unit Price])</f>
        <v>25000</v>
      </c>
      <c r="M719">
        <f>_xlfn.XLOOKUP(H719,Table6[Product],Table6[Cost Price])</f>
        <v>20000</v>
      </c>
      <c r="N719" s="7">
        <v>0.25</v>
      </c>
      <c r="O719">
        <f t="shared" si="33"/>
        <v>37500</v>
      </c>
      <c r="P719">
        <f t="shared" si="34"/>
        <v>40000</v>
      </c>
      <c r="Q719">
        <f t="shared" si="35"/>
        <v>-2500</v>
      </c>
      <c r="R719" t="s">
        <v>45</v>
      </c>
      <c r="S719" t="s">
        <v>50</v>
      </c>
    </row>
    <row r="720" spans="1:19" ht="18" x14ac:dyDescent="0.5">
      <c r="A720" t="s">
        <v>790</v>
      </c>
      <c r="B720" t="s">
        <v>1789</v>
      </c>
      <c r="C720" s="6">
        <v>45936</v>
      </c>
      <c r="D720" t="s">
        <v>2098</v>
      </c>
      <c r="E720" t="s">
        <v>70</v>
      </c>
      <c r="F720" t="str">
        <f>_xlfn.XLOOKUP(E720,Table8[City],Table8[State])</f>
        <v>Karnataka</v>
      </c>
      <c r="G720" t="str">
        <f>_xlfn.XLOOKUP(E720,Table8[City],Table8[Region])</f>
        <v>South</v>
      </c>
      <c r="H720" t="s">
        <v>25</v>
      </c>
      <c r="I720" t="str">
        <f>_xlfn.XLOOKUP(H720,Table6[Product],Table6[Category])</f>
        <v>Accessories</v>
      </c>
      <c r="J720" t="s">
        <v>58</v>
      </c>
      <c r="K720">
        <v>1</v>
      </c>
      <c r="L720">
        <f>_xlfn.XLOOKUP(H720,Table6[Product],Table6[Unit Price])</f>
        <v>800</v>
      </c>
      <c r="M720">
        <f>_xlfn.XLOOKUP(H720,Table6[Product],Table6[Cost Price])</f>
        <v>450</v>
      </c>
      <c r="N720" s="7">
        <v>0</v>
      </c>
      <c r="O720">
        <f t="shared" si="33"/>
        <v>800</v>
      </c>
      <c r="P720">
        <f t="shared" si="34"/>
        <v>450</v>
      </c>
      <c r="Q720">
        <f t="shared" si="35"/>
        <v>350</v>
      </c>
      <c r="R720" t="s">
        <v>46</v>
      </c>
      <c r="S720" t="s">
        <v>50</v>
      </c>
    </row>
    <row r="721" spans="1:19" ht="18" x14ac:dyDescent="0.5">
      <c r="A721" t="s">
        <v>791</v>
      </c>
      <c r="B721" t="s">
        <v>1790</v>
      </c>
      <c r="C721" s="6">
        <v>45719</v>
      </c>
      <c r="D721" t="s">
        <v>2093</v>
      </c>
      <c r="E721" t="s">
        <v>2077</v>
      </c>
      <c r="F721" t="str">
        <f>_xlfn.XLOOKUP(E721,Table8[City],Table8[State])</f>
        <v>Telangana</v>
      </c>
      <c r="G721" t="str">
        <f>_xlfn.XLOOKUP(E721,Table8[City],Table8[Region])</f>
        <v>South</v>
      </c>
      <c r="H721" t="s">
        <v>25</v>
      </c>
      <c r="I721" t="str">
        <f>_xlfn.XLOOKUP(H721,Table6[Product],Table6[Category])</f>
        <v>Accessories</v>
      </c>
      <c r="J721" t="s">
        <v>61</v>
      </c>
      <c r="K721">
        <v>10</v>
      </c>
      <c r="L721">
        <f>_xlfn.XLOOKUP(H721,Table6[Product],Table6[Unit Price])</f>
        <v>800</v>
      </c>
      <c r="M721">
        <f>_xlfn.XLOOKUP(H721,Table6[Product],Table6[Cost Price])</f>
        <v>450</v>
      </c>
      <c r="N721" s="7">
        <v>0.05</v>
      </c>
      <c r="O721">
        <f t="shared" si="33"/>
        <v>7600</v>
      </c>
      <c r="P721">
        <f t="shared" si="34"/>
        <v>4500</v>
      </c>
      <c r="Q721">
        <f t="shared" si="35"/>
        <v>3100</v>
      </c>
      <c r="R721" t="s">
        <v>45</v>
      </c>
      <c r="S721" t="s">
        <v>52</v>
      </c>
    </row>
    <row r="722" spans="1:19" ht="18" x14ac:dyDescent="0.5">
      <c r="A722" t="s">
        <v>792</v>
      </c>
      <c r="B722" t="s">
        <v>1791</v>
      </c>
      <c r="C722" s="6">
        <v>45414</v>
      </c>
      <c r="D722" t="s">
        <v>2083</v>
      </c>
      <c r="E722" t="s">
        <v>2106</v>
      </c>
      <c r="F722" t="str">
        <f>_xlfn.XLOOKUP(E722,Table8[City],Table8[State])</f>
        <v>West Bengal</v>
      </c>
      <c r="G722" t="str">
        <f>_xlfn.XLOOKUP(E722,Table8[City],Table8[Region])</f>
        <v>East</v>
      </c>
      <c r="H722" t="s">
        <v>28</v>
      </c>
      <c r="I722" t="str">
        <f>_xlfn.XLOOKUP(H722,Table6[Product],Table6[Category])</f>
        <v>Office</v>
      </c>
      <c r="J722" t="s">
        <v>59</v>
      </c>
      <c r="K722">
        <v>4</v>
      </c>
      <c r="L722">
        <f>_xlfn.XLOOKUP(H722,Table6[Product],Table6[Unit Price])</f>
        <v>18000</v>
      </c>
      <c r="M722">
        <f>_xlfn.XLOOKUP(H722,Table6[Product],Table6[Cost Price])</f>
        <v>14000</v>
      </c>
      <c r="N722" s="7">
        <v>0.04</v>
      </c>
      <c r="O722">
        <f t="shared" si="33"/>
        <v>69120</v>
      </c>
      <c r="P722">
        <f t="shared" si="34"/>
        <v>56000</v>
      </c>
      <c r="Q722">
        <f t="shared" si="35"/>
        <v>13120</v>
      </c>
      <c r="R722" t="s">
        <v>44</v>
      </c>
      <c r="S722" t="s">
        <v>50</v>
      </c>
    </row>
    <row r="723" spans="1:19" ht="18" x14ac:dyDescent="0.5">
      <c r="A723" t="s">
        <v>793</v>
      </c>
      <c r="B723" t="s">
        <v>1792</v>
      </c>
      <c r="C723" s="6">
        <v>45911</v>
      </c>
      <c r="D723" t="s">
        <v>2083</v>
      </c>
      <c r="E723" t="s">
        <v>2105</v>
      </c>
      <c r="F723" t="str">
        <f>_xlfn.XLOOKUP(E723,Table8[City],Table8[State])</f>
        <v>Rajasthan</v>
      </c>
      <c r="G723" t="str">
        <f>_xlfn.XLOOKUP(E723,Table8[City],Table8[Region])</f>
        <v>North</v>
      </c>
      <c r="H723" t="s">
        <v>26</v>
      </c>
      <c r="I723" t="str">
        <f>_xlfn.XLOOKUP(H723,Table6[Product],Table6[Category])</f>
        <v>Office</v>
      </c>
      <c r="J723" t="s">
        <v>57</v>
      </c>
      <c r="K723">
        <v>1</v>
      </c>
      <c r="L723">
        <f>_xlfn.XLOOKUP(H723,Table6[Product],Table6[Unit Price])</f>
        <v>15000</v>
      </c>
      <c r="M723">
        <f>_xlfn.XLOOKUP(H723,Table6[Product],Table6[Cost Price])</f>
        <v>11500</v>
      </c>
      <c r="N723" s="7">
        <v>0.24</v>
      </c>
      <c r="O723">
        <f t="shared" si="33"/>
        <v>11400</v>
      </c>
      <c r="P723">
        <f t="shared" si="34"/>
        <v>11500</v>
      </c>
      <c r="Q723">
        <f t="shared" si="35"/>
        <v>-100</v>
      </c>
      <c r="R723" t="s">
        <v>46</v>
      </c>
      <c r="S723" t="s">
        <v>52</v>
      </c>
    </row>
    <row r="724" spans="1:19" ht="18" x14ac:dyDescent="0.5">
      <c r="A724" t="s">
        <v>794</v>
      </c>
      <c r="B724" t="s">
        <v>1793</v>
      </c>
      <c r="C724" s="6">
        <v>45695</v>
      </c>
      <c r="D724" t="s">
        <v>2086</v>
      </c>
      <c r="E724" t="s">
        <v>2077</v>
      </c>
      <c r="F724" t="str">
        <f>_xlfn.XLOOKUP(E724,Table8[City],Table8[State])</f>
        <v>Telangana</v>
      </c>
      <c r="G724" t="str">
        <f>_xlfn.XLOOKUP(E724,Table8[City],Table8[Region])</f>
        <v>South</v>
      </c>
      <c r="H724" t="s">
        <v>19</v>
      </c>
      <c r="I724" t="str">
        <f>_xlfn.XLOOKUP(H724,Table6[Product],Table6[Category])</f>
        <v>Electronics</v>
      </c>
      <c r="J724" t="s">
        <v>61</v>
      </c>
      <c r="K724">
        <v>3</v>
      </c>
      <c r="L724">
        <f>_xlfn.XLOOKUP(H724,Table6[Product],Table6[Unit Price])</f>
        <v>25000</v>
      </c>
      <c r="M724">
        <f>_xlfn.XLOOKUP(H724,Table6[Product],Table6[Cost Price])</f>
        <v>20000</v>
      </c>
      <c r="N724" s="7">
        <v>0.27</v>
      </c>
      <c r="O724">
        <f t="shared" si="33"/>
        <v>54750</v>
      </c>
      <c r="P724">
        <f t="shared" si="34"/>
        <v>60000</v>
      </c>
      <c r="Q724">
        <f t="shared" si="35"/>
        <v>-5250</v>
      </c>
      <c r="R724" t="s">
        <v>47</v>
      </c>
      <c r="S724" t="s">
        <v>52</v>
      </c>
    </row>
    <row r="725" spans="1:19" ht="18" x14ac:dyDescent="0.5">
      <c r="A725" t="s">
        <v>795</v>
      </c>
      <c r="B725" t="s">
        <v>1794</v>
      </c>
      <c r="C725" s="6">
        <v>45669</v>
      </c>
      <c r="D725" t="s">
        <v>2091</v>
      </c>
      <c r="E725" t="s">
        <v>2104</v>
      </c>
      <c r="F725" t="str">
        <f>_xlfn.XLOOKUP(E725,Table8[City],Table8[State])</f>
        <v>Delhi</v>
      </c>
      <c r="G725" t="str">
        <f>_xlfn.XLOOKUP(E725,Table8[City],Table8[Region])</f>
        <v>North</v>
      </c>
      <c r="H725" t="s">
        <v>18</v>
      </c>
      <c r="I725" t="str">
        <f>_xlfn.XLOOKUP(H725,Table6[Product],Table6[Category])</f>
        <v>Electronics</v>
      </c>
      <c r="J725" t="s">
        <v>61</v>
      </c>
      <c r="K725">
        <v>1</v>
      </c>
      <c r="L725">
        <f>_xlfn.XLOOKUP(H725,Table6[Product],Table6[Unit Price])</f>
        <v>35000</v>
      </c>
      <c r="M725">
        <f>_xlfn.XLOOKUP(H725,Table6[Product],Table6[Cost Price])</f>
        <v>28000</v>
      </c>
      <c r="N725" s="7">
        <v>0.12</v>
      </c>
      <c r="O725">
        <f t="shared" si="33"/>
        <v>30800</v>
      </c>
      <c r="P725">
        <f t="shared" si="34"/>
        <v>28000</v>
      </c>
      <c r="Q725">
        <f t="shared" si="35"/>
        <v>2800</v>
      </c>
      <c r="R725" t="s">
        <v>44</v>
      </c>
      <c r="S725" t="s">
        <v>50</v>
      </c>
    </row>
    <row r="726" spans="1:19" ht="18" x14ac:dyDescent="0.5">
      <c r="A726" t="s">
        <v>796</v>
      </c>
      <c r="B726" t="s">
        <v>1795</v>
      </c>
      <c r="C726" s="6">
        <v>45293</v>
      </c>
      <c r="D726" t="s">
        <v>2097</v>
      </c>
      <c r="E726" t="s">
        <v>2105</v>
      </c>
      <c r="F726" t="str">
        <f>_xlfn.XLOOKUP(E726,Table8[City],Table8[State])</f>
        <v>Rajasthan</v>
      </c>
      <c r="G726" t="str">
        <f>_xlfn.XLOOKUP(E726,Table8[City],Table8[Region])</f>
        <v>North</v>
      </c>
      <c r="H726" t="s">
        <v>24</v>
      </c>
      <c r="I726" t="str">
        <f>_xlfn.XLOOKUP(H726,Table6[Product],Table6[Category])</f>
        <v>Accessories</v>
      </c>
      <c r="J726" t="s">
        <v>63</v>
      </c>
      <c r="K726">
        <v>7</v>
      </c>
      <c r="L726">
        <f>_xlfn.XLOOKUP(H726,Table6[Product],Table6[Unit Price])</f>
        <v>1500</v>
      </c>
      <c r="M726">
        <f>_xlfn.XLOOKUP(H726,Table6[Product],Table6[Cost Price])</f>
        <v>900</v>
      </c>
      <c r="N726" s="7">
        <v>0.06</v>
      </c>
      <c r="O726">
        <f t="shared" si="33"/>
        <v>9870</v>
      </c>
      <c r="P726">
        <f t="shared" si="34"/>
        <v>6300</v>
      </c>
      <c r="Q726">
        <f t="shared" si="35"/>
        <v>3570</v>
      </c>
      <c r="R726" t="s">
        <v>47</v>
      </c>
      <c r="S726" t="s">
        <v>50</v>
      </c>
    </row>
    <row r="727" spans="1:19" ht="18" x14ac:dyDescent="0.5">
      <c r="A727" t="s">
        <v>797</v>
      </c>
      <c r="B727" t="s">
        <v>1796</v>
      </c>
      <c r="C727" s="6">
        <v>45313</v>
      </c>
      <c r="D727" t="s">
        <v>2093</v>
      </c>
      <c r="E727" t="s">
        <v>2105</v>
      </c>
      <c r="F727" t="str">
        <f>_xlfn.XLOOKUP(E727,Table8[City],Table8[State])</f>
        <v>Rajasthan</v>
      </c>
      <c r="G727" t="str">
        <f>_xlfn.XLOOKUP(E727,Table8[City],Table8[Region])</f>
        <v>North</v>
      </c>
      <c r="H727" t="s">
        <v>18</v>
      </c>
      <c r="I727" t="str">
        <f>_xlfn.XLOOKUP(H727,Table6[Product],Table6[Category])</f>
        <v>Electronics</v>
      </c>
      <c r="J727" t="s">
        <v>55</v>
      </c>
      <c r="K727">
        <v>10</v>
      </c>
      <c r="L727">
        <f>_xlfn.XLOOKUP(H727,Table6[Product],Table6[Unit Price])</f>
        <v>35000</v>
      </c>
      <c r="M727">
        <f>_xlfn.XLOOKUP(H727,Table6[Product],Table6[Cost Price])</f>
        <v>28000</v>
      </c>
      <c r="N727" s="7">
        <v>0.11</v>
      </c>
      <c r="O727">
        <f t="shared" si="33"/>
        <v>311500</v>
      </c>
      <c r="P727">
        <f t="shared" si="34"/>
        <v>280000</v>
      </c>
      <c r="Q727">
        <f t="shared" si="35"/>
        <v>31500</v>
      </c>
      <c r="R727" t="s">
        <v>45</v>
      </c>
      <c r="S727" t="s">
        <v>52</v>
      </c>
    </row>
    <row r="728" spans="1:19" ht="18" x14ac:dyDescent="0.5">
      <c r="A728" t="s">
        <v>798</v>
      </c>
      <c r="B728" t="s">
        <v>1797</v>
      </c>
      <c r="C728" s="6">
        <v>45558</v>
      </c>
      <c r="D728" t="s">
        <v>2097</v>
      </c>
      <c r="E728" t="s">
        <v>2105</v>
      </c>
      <c r="F728" t="str">
        <f>_xlfn.XLOOKUP(E728,Table8[City],Table8[State])</f>
        <v>Rajasthan</v>
      </c>
      <c r="G728" t="str">
        <f>_xlfn.XLOOKUP(E728,Table8[City],Table8[Region])</f>
        <v>North</v>
      </c>
      <c r="H728" t="s">
        <v>19</v>
      </c>
      <c r="I728" t="str">
        <f>_xlfn.XLOOKUP(H728,Table6[Product],Table6[Category])</f>
        <v>Electronics</v>
      </c>
      <c r="J728" t="s">
        <v>58</v>
      </c>
      <c r="K728">
        <v>6</v>
      </c>
      <c r="L728">
        <f>_xlfn.XLOOKUP(H728,Table6[Product],Table6[Unit Price])</f>
        <v>25000</v>
      </c>
      <c r="M728">
        <f>_xlfn.XLOOKUP(H728,Table6[Product],Table6[Cost Price])</f>
        <v>20000</v>
      </c>
      <c r="N728" s="7">
        <v>0.24</v>
      </c>
      <c r="O728">
        <f t="shared" si="33"/>
        <v>114000</v>
      </c>
      <c r="P728">
        <f t="shared" si="34"/>
        <v>120000</v>
      </c>
      <c r="Q728">
        <f t="shared" si="35"/>
        <v>-6000</v>
      </c>
      <c r="R728" t="s">
        <v>44</v>
      </c>
      <c r="S728" t="s">
        <v>52</v>
      </c>
    </row>
    <row r="729" spans="1:19" ht="18" x14ac:dyDescent="0.5">
      <c r="A729" t="s">
        <v>799</v>
      </c>
      <c r="B729" t="s">
        <v>1798</v>
      </c>
      <c r="C729" s="6">
        <v>45394</v>
      </c>
      <c r="D729" t="s">
        <v>2095</v>
      </c>
      <c r="E729" t="s">
        <v>2077</v>
      </c>
      <c r="F729" t="str">
        <f>_xlfn.XLOOKUP(E729,Table8[City],Table8[State])</f>
        <v>Telangana</v>
      </c>
      <c r="G729" t="str">
        <f>_xlfn.XLOOKUP(E729,Table8[City],Table8[Region])</f>
        <v>South</v>
      </c>
      <c r="H729" t="s">
        <v>16</v>
      </c>
      <c r="I729" t="str">
        <f>_xlfn.XLOOKUP(H729,Table6[Product],Table6[Category])</f>
        <v>Electronics</v>
      </c>
      <c r="J729" t="s">
        <v>59</v>
      </c>
      <c r="K729">
        <v>5</v>
      </c>
      <c r="L729">
        <f>_xlfn.XLOOKUP(H729,Table6[Product],Table6[Unit Price])</f>
        <v>65000</v>
      </c>
      <c r="M729">
        <f>_xlfn.XLOOKUP(H729,Table6[Product],Table6[Cost Price])</f>
        <v>52000</v>
      </c>
      <c r="N729" s="7">
        <v>0.28999999999999998</v>
      </c>
      <c r="O729">
        <f t="shared" si="33"/>
        <v>230750</v>
      </c>
      <c r="P729">
        <f t="shared" si="34"/>
        <v>260000</v>
      </c>
      <c r="Q729">
        <f t="shared" si="35"/>
        <v>-29250</v>
      </c>
      <c r="R729" t="s">
        <v>47</v>
      </c>
      <c r="S729" t="s">
        <v>49</v>
      </c>
    </row>
    <row r="730" spans="1:19" ht="18" x14ac:dyDescent="0.5">
      <c r="A730" t="s">
        <v>800</v>
      </c>
      <c r="B730" t="s">
        <v>1799</v>
      </c>
      <c r="C730" s="6">
        <v>45746</v>
      </c>
      <c r="D730" t="s">
        <v>2085</v>
      </c>
      <c r="E730" t="s">
        <v>2075</v>
      </c>
      <c r="F730" t="str">
        <f>_xlfn.XLOOKUP(E730,Table8[City],Table8[State])</f>
        <v>Tamil Nadu</v>
      </c>
      <c r="G730" t="str">
        <f>_xlfn.XLOOKUP(E730,Table8[City],Table8[Region])</f>
        <v>South</v>
      </c>
      <c r="H730" t="s">
        <v>18</v>
      </c>
      <c r="I730" t="str">
        <f>_xlfn.XLOOKUP(H730,Table6[Product],Table6[Category])</f>
        <v>Electronics</v>
      </c>
      <c r="J730" t="s">
        <v>59</v>
      </c>
      <c r="K730">
        <v>9</v>
      </c>
      <c r="L730">
        <f>_xlfn.XLOOKUP(H730,Table6[Product],Table6[Unit Price])</f>
        <v>35000</v>
      </c>
      <c r="M730">
        <f>_xlfn.XLOOKUP(H730,Table6[Product],Table6[Cost Price])</f>
        <v>28000</v>
      </c>
      <c r="N730" s="7">
        <v>0.25</v>
      </c>
      <c r="O730">
        <f t="shared" si="33"/>
        <v>236250</v>
      </c>
      <c r="P730">
        <f t="shared" si="34"/>
        <v>252000</v>
      </c>
      <c r="Q730">
        <f t="shared" si="35"/>
        <v>-15750</v>
      </c>
      <c r="R730" t="s">
        <v>47</v>
      </c>
      <c r="S730" t="s">
        <v>51</v>
      </c>
    </row>
    <row r="731" spans="1:19" ht="18" x14ac:dyDescent="0.5">
      <c r="A731" t="s">
        <v>801</v>
      </c>
      <c r="B731" t="s">
        <v>1800</v>
      </c>
      <c r="C731" s="6">
        <v>45681</v>
      </c>
      <c r="D731" t="s">
        <v>2097</v>
      </c>
      <c r="E731" t="s">
        <v>2072</v>
      </c>
      <c r="F731" t="str">
        <f>_xlfn.XLOOKUP(E731,Table8[City],Table8[State])</f>
        <v>Karnataka</v>
      </c>
      <c r="G731" t="str">
        <f>_xlfn.XLOOKUP(E731,Table8[City],Table8[Region])</f>
        <v>South</v>
      </c>
      <c r="H731" t="s">
        <v>22</v>
      </c>
      <c r="I731" t="str">
        <f>_xlfn.XLOOKUP(H731,Table6[Product],Table6[Category])</f>
        <v>Wearables</v>
      </c>
      <c r="J731" t="s">
        <v>55</v>
      </c>
      <c r="K731">
        <v>10</v>
      </c>
      <c r="L731">
        <f>_xlfn.XLOOKUP(H731,Table6[Product],Table6[Unit Price])</f>
        <v>12000</v>
      </c>
      <c r="M731">
        <f>_xlfn.XLOOKUP(H731,Table6[Product],Table6[Cost Price])</f>
        <v>8500</v>
      </c>
      <c r="N731" s="7">
        <v>0.14000000000000001</v>
      </c>
      <c r="O731">
        <f t="shared" si="33"/>
        <v>103200</v>
      </c>
      <c r="P731">
        <f t="shared" si="34"/>
        <v>85000</v>
      </c>
      <c r="Q731">
        <f t="shared" si="35"/>
        <v>18200</v>
      </c>
      <c r="R731" t="s">
        <v>46</v>
      </c>
      <c r="S731" t="s">
        <v>52</v>
      </c>
    </row>
    <row r="732" spans="1:19" ht="18" x14ac:dyDescent="0.5">
      <c r="A732" t="s">
        <v>802</v>
      </c>
      <c r="B732" t="s">
        <v>1801</v>
      </c>
      <c r="C732" s="6">
        <v>45925</v>
      </c>
      <c r="D732" t="s">
        <v>2083</v>
      </c>
      <c r="E732" t="s">
        <v>70</v>
      </c>
      <c r="F732" t="str">
        <f>_xlfn.XLOOKUP(E732,Table8[City],Table8[State])</f>
        <v>Karnataka</v>
      </c>
      <c r="G732" t="str">
        <f>_xlfn.XLOOKUP(E732,Table8[City],Table8[Region])</f>
        <v>South</v>
      </c>
      <c r="H732" t="s">
        <v>16</v>
      </c>
      <c r="I732" t="str">
        <f>_xlfn.XLOOKUP(H732,Table6[Product],Table6[Category])</f>
        <v>Electronics</v>
      </c>
      <c r="J732" t="s">
        <v>61</v>
      </c>
      <c r="K732">
        <v>6</v>
      </c>
      <c r="L732">
        <f>_xlfn.XLOOKUP(H732,Table6[Product],Table6[Unit Price])</f>
        <v>65000</v>
      </c>
      <c r="M732">
        <f>_xlfn.XLOOKUP(H732,Table6[Product],Table6[Cost Price])</f>
        <v>52000</v>
      </c>
      <c r="N732" s="7">
        <v>0.23</v>
      </c>
      <c r="O732">
        <f t="shared" si="33"/>
        <v>300300</v>
      </c>
      <c r="P732">
        <f t="shared" si="34"/>
        <v>312000</v>
      </c>
      <c r="Q732">
        <f t="shared" si="35"/>
        <v>-11700</v>
      </c>
      <c r="R732" t="s">
        <v>44</v>
      </c>
      <c r="S732" t="s">
        <v>49</v>
      </c>
    </row>
    <row r="733" spans="1:19" ht="18" x14ac:dyDescent="0.5">
      <c r="A733" t="s">
        <v>803</v>
      </c>
      <c r="B733" t="s">
        <v>1802</v>
      </c>
      <c r="C733" s="6">
        <v>45297</v>
      </c>
      <c r="D733" t="s">
        <v>69</v>
      </c>
      <c r="E733" t="s">
        <v>2105</v>
      </c>
      <c r="F733" t="str">
        <f>_xlfn.XLOOKUP(E733,Table8[City],Table8[State])</f>
        <v>Rajasthan</v>
      </c>
      <c r="G733" t="str">
        <f>_xlfn.XLOOKUP(E733,Table8[City],Table8[Region])</f>
        <v>North</v>
      </c>
      <c r="H733" t="s">
        <v>24</v>
      </c>
      <c r="I733" t="str">
        <f>_xlfn.XLOOKUP(H733,Table6[Product],Table6[Category])</f>
        <v>Accessories</v>
      </c>
      <c r="J733" t="s">
        <v>55</v>
      </c>
      <c r="K733">
        <v>9</v>
      </c>
      <c r="L733">
        <f>_xlfn.XLOOKUP(H733,Table6[Product],Table6[Unit Price])</f>
        <v>1500</v>
      </c>
      <c r="M733">
        <f>_xlfn.XLOOKUP(H733,Table6[Product],Table6[Cost Price])</f>
        <v>900</v>
      </c>
      <c r="N733" s="7">
        <v>0.12</v>
      </c>
      <c r="O733">
        <f t="shared" si="33"/>
        <v>11880</v>
      </c>
      <c r="P733">
        <f t="shared" si="34"/>
        <v>8100</v>
      </c>
      <c r="Q733">
        <f t="shared" si="35"/>
        <v>3780</v>
      </c>
      <c r="R733" t="s">
        <v>47</v>
      </c>
      <c r="S733" t="s">
        <v>52</v>
      </c>
    </row>
    <row r="734" spans="1:19" ht="18" x14ac:dyDescent="0.5">
      <c r="A734" t="s">
        <v>804</v>
      </c>
      <c r="B734" t="s">
        <v>1803</v>
      </c>
      <c r="C734" s="6">
        <v>45884</v>
      </c>
      <c r="D734" t="s">
        <v>2088</v>
      </c>
      <c r="E734" t="s">
        <v>2079</v>
      </c>
      <c r="F734" t="str">
        <f>_xlfn.XLOOKUP(E734,Table8[City],Table8[State])</f>
        <v>Gujarat</v>
      </c>
      <c r="G734" t="str">
        <f>_xlfn.XLOOKUP(E734,Table8[City],Table8[Region])</f>
        <v>West</v>
      </c>
      <c r="H734" t="s">
        <v>25</v>
      </c>
      <c r="I734" t="str">
        <f>_xlfn.XLOOKUP(H734,Table6[Product],Table6[Category])</f>
        <v>Accessories</v>
      </c>
      <c r="J734" t="s">
        <v>55</v>
      </c>
      <c r="K734">
        <v>2</v>
      </c>
      <c r="L734">
        <f>_xlfn.XLOOKUP(H734,Table6[Product],Table6[Unit Price])</f>
        <v>800</v>
      </c>
      <c r="M734">
        <f>_xlfn.XLOOKUP(H734,Table6[Product],Table6[Cost Price])</f>
        <v>450</v>
      </c>
      <c r="N734" s="7">
        <v>0.19</v>
      </c>
      <c r="O734">
        <f t="shared" si="33"/>
        <v>1296</v>
      </c>
      <c r="P734">
        <f t="shared" si="34"/>
        <v>900</v>
      </c>
      <c r="Q734">
        <f t="shared" si="35"/>
        <v>396</v>
      </c>
      <c r="R734" t="s">
        <v>45</v>
      </c>
      <c r="S734" t="s">
        <v>52</v>
      </c>
    </row>
    <row r="735" spans="1:19" ht="18" x14ac:dyDescent="0.5">
      <c r="A735" t="s">
        <v>805</v>
      </c>
      <c r="B735" t="s">
        <v>1804</v>
      </c>
      <c r="C735" s="6">
        <v>45412</v>
      </c>
      <c r="D735" t="s">
        <v>2083</v>
      </c>
      <c r="E735" t="s">
        <v>2104</v>
      </c>
      <c r="F735" t="str">
        <f>_xlfn.XLOOKUP(E735,Table8[City],Table8[State])</f>
        <v>Delhi</v>
      </c>
      <c r="G735" t="str">
        <f>_xlfn.XLOOKUP(E735,Table8[City],Table8[Region])</f>
        <v>North</v>
      </c>
      <c r="H735" t="s">
        <v>19</v>
      </c>
      <c r="I735" t="str">
        <f>_xlfn.XLOOKUP(H735,Table6[Product],Table6[Category])</f>
        <v>Electronics</v>
      </c>
      <c r="J735" t="s">
        <v>56</v>
      </c>
      <c r="K735">
        <v>4</v>
      </c>
      <c r="L735">
        <f>_xlfn.XLOOKUP(H735,Table6[Product],Table6[Unit Price])</f>
        <v>25000</v>
      </c>
      <c r="M735">
        <f>_xlfn.XLOOKUP(H735,Table6[Product],Table6[Cost Price])</f>
        <v>20000</v>
      </c>
      <c r="N735" s="7">
        <v>0.28000000000000003</v>
      </c>
      <c r="O735">
        <f t="shared" si="33"/>
        <v>72000</v>
      </c>
      <c r="P735">
        <f t="shared" si="34"/>
        <v>80000</v>
      </c>
      <c r="Q735">
        <f t="shared" si="35"/>
        <v>-8000</v>
      </c>
      <c r="R735" t="s">
        <v>43</v>
      </c>
      <c r="S735" t="s">
        <v>52</v>
      </c>
    </row>
    <row r="736" spans="1:19" ht="18" x14ac:dyDescent="0.5">
      <c r="A736" t="s">
        <v>806</v>
      </c>
      <c r="B736" t="s">
        <v>1805</v>
      </c>
      <c r="C736" s="6">
        <v>45553</v>
      </c>
      <c r="D736" t="s">
        <v>2095</v>
      </c>
      <c r="E736" t="s">
        <v>2104</v>
      </c>
      <c r="F736" t="str">
        <f>_xlfn.XLOOKUP(E736,Table8[City],Table8[State])</f>
        <v>Delhi</v>
      </c>
      <c r="G736" t="str">
        <f>_xlfn.XLOOKUP(E736,Table8[City],Table8[Region])</f>
        <v>North</v>
      </c>
      <c r="H736" t="s">
        <v>22</v>
      </c>
      <c r="I736" t="str">
        <f>_xlfn.XLOOKUP(H736,Table6[Product],Table6[Category])</f>
        <v>Wearables</v>
      </c>
      <c r="J736" t="s">
        <v>58</v>
      </c>
      <c r="K736">
        <v>2</v>
      </c>
      <c r="L736">
        <f>_xlfn.XLOOKUP(H736,Table6[Product],Table6[Unit Price])</f>
        <v>12000</v>
      </c>
      <c r="M736">
        <f>_xlfn.XLOOKUP(H736,Table6[Product],Table6[Cost Price])</f>
        <v>8500</v>
      </c>
      <c r="N736" s="7">
        <v>0.2</v>
      </c>
      <c r="O736">
        <f t="shared" si="33"/>
        <v>19200</v>
      </c>
      <c r="P736">
        <f t="shared" si="34"/>
        <v>17000</v>
      </c>
      <c r="Q736">
        <f t="shared" si="35"/>
        <v>2200</v>
      </c>
      <c r="R736" t="s">
        <v>43</v>
      </c>
      <c r="S736" t="s">
        <v>49</v>
      </c>
    </row>
    <row r="737" spans="1:19" ht="18" x14ac:dyDescent="0.5">
      <c r="A737" t="s">
        <v>807</v>
      </c>
      <c r="B737" t="s">
        <v>1806</v>
      </c>
      <c r="C737" s="6">
        <v>45414</v>
      </c>
      <c r="D737" t="s">
        <v>2086</v>
      </c>
      <c r="E737" t="s">
        <v>2079</v>
      </c>
      <c r="F737" t="str">
        <f>_xlfn.XLOOKUP(E737,Table8[City],Table8[State])</f>
        <v>Gujarat</v>
      </c>
      <c r="G737" t="str">
        <f>_xlfn.XLOOKUP(E737,Table8[City],Table8[Region])</f>
        <v>West</v>
      </c>
      <c r="H737" t="s">
        <v>20</v>
      </c>
      <c r="I737" t="str">
        <f>_xlfn.XLOOKUP(H737,Table6[Product],Table6[Category])</f>
        <v>Accessories</v>
      </c>
      <c r="J737" t="s">
        <v>59</v>
      </c>
      <c r="K737">
        <v>7</v>
      </c>
      <c r="L737">
        <f>_xlfn.XLOOKUP(H737,Table6[Product],Table6[Unit Price])</f>
        <v>3000</v>
      </c>
      <c r="M737">
        <f>_xlfn.XLOOKUP(H737,Table6[Product],Table6[Cost Price])</f>
        <v>1800</v>
      </c>
      <c r="N737" s="7">
        <v>0.03</v>
      </c>
      <c r="O737">
        <f t="shared" si="33"/>
        <v>20370</v>
      </c>
      <c r="P737">
        <f t="shared" si="34"/>
        <v>12600</v>
      </c>
      <c r="Q737">
        <f t="shared" si="35"/>
        <v>7770</v>
      </c>
      <c r="R737" t="s">
        <v>47</v>
      </c>
      <c r="S737" t="s">
        <v>50</v>
      </c>
    </row>
    <row r="738" spans="1:19" ht="18" x14ac:dyDescent="0.5">
      <c r="A738" t="s">
        <v>808</v>
      </c>
      <c r="B738" t="s">
        <v>1807</v>
      </c>
      <c r="C738" s="6">
        <v>45841</v>
      </c>
      <c r="D738" t="s">
        <v>2093</v>
      </c>
      <c r="E738" t="s">
        <v>2077</v>
      </c>
      <c r="F738" t="str">
        <f>_xlfn.XLOOKUP(E738,Table8[City],Table8[State])</f>
        <v>Telangana</v>
      </c>
      <c r="G738" t="str">
        <f>_xlfn.XLOOKUP(E738,Table8[City],Table8[Region])</f>
        <v>South</v>
      </c>
      <c r="H738" t="s">
        <v>19</v>
      </c>
      <c r="I738" t="str">
        <f>_xlfn.XLOOKUP(H738,Table6[Product],Table6[Category])</f>
        <v>Electronics</v>
      </c>
      <c r="J738" t="s">
        <v>63</v>
      </c>
      <c r="K738">
        <v>7</v>
      </c>
      <c r="L738">
        <f>_xlfn.XLOOKUP(H738,Table6[Product],Table6[Unit Price])</f>
        <v>25000</v>
      </c>
      <c r="M738">
        <f>_xlfn.XLOOKUP(H738,Table6[Product],Table6[Cost Price])</f>
        <v>20000</v>
      </c>
      <c r="N738" s="7">
        <v>0.28000000000000003</v>
      </c>
      <c r="O738">
        <f t="shared" si="33"/>
        <v>126000</v>
      </c>
      <c r="P738">
        <f t="shared" si="34"/>
        <v>140000</v>
      </c>
      <c r="Q738">
        <f t="shared" si="35"/>
        <v>-14000</v>
      </c>
      <c r="R738" t="s">
        <v>47</v>
      </c>
      <c r="S738" t="s">
        <v>50</v>
      </c>
    </row>
    <row r="739" spans="1:19" ht="18" x14ac:dyDescent="0.5">
      <c r="A739" t="s">
        <v>809</v>
      </c>
      <c r="B739" t="s">
        <v>1808</v>
      </c>
      <c r="C739" s="6">
        <v>45802</v>
      </c>
      <c r="D739" t="s">
        <v>2099</v>
      </c>
      <c r="E739" t="s">
        <v>2080</v>
      </c>
      <c r="F739" t="str">
        <f>_xlfn.XLOOKUP(E739,Table8[City],Table8[State])</f>
        <v>Gujarat</v>
      </c>
      <c r="G739" t="str">
        <f>_xlfn.XLOOKUP(E739,Table8[City],Table8[Region])</f>
        <v>West</v>
      </c>
      <c r="H739" t="s">
        <v>28</v>
      </c>
      <c r="I739" t="str">
        <f>_xlfn.XLOOKUP(H739,Table6[Product],Table6[Category])</f>
        <v>Office</v>
      </c>
      <c r="J739" t="s">
        <v>62</v>
      </c>
      <c r="K739">
        <v>9</v>
      </c>
      <c r="L739">
        <f>_xlfn.XLOOKUP(H739,Table6[Product],Table6[Unit Price])</f>
        <v>18000</v>
      </c>
      <c r="M739">
        <f>_xlfn.XLOOKUP(H739,Table6[Product],Table6[Cost Price])</f>
        <v>14000</v>
      </c>
      <c r="N739" s="7">
        <v>7.0000000000000007E-2</v>
      </c>
      <c r="O739">
        <f t="shared" si="33"/>
        <v>150660</v>
      </c>
      <c r="P739">
        <f t="shared" si="34"/>
        <v>126000</v>
      </c>
      <c r="Q739">
        <f t="shared" si="35"/>
        <v>24660</v>
      </c>
      <c r="R739" t="s">
        <v>46</v>
      </c>
      <c r="S739" t="s">
        <v>50</v>
      </c>
    </row>
    <row r="740" spans="1:19" ht="18" x14ac:dyDescent="0.5">
      <c r="A740" t="s">
        <v>810</v>
      </c>
      <c r="B740" t="s">
        <v>1809</v>
      </c>
      <c r="C740" s="6">
        <v>45888</v>
      </c>
      <c r="D740" t="s">
        <v>2090</v>
      </c>
      <c r="E740" t="s">
        <v>70</v>
      </c>
      <c r="F740" t="str">
        <f>_xlfn.XLOOKUP(E740,Table8[City],Table8[State])</f>
        <v>Karnataka</v>
      </c>
      <c r="G740" t="str">
        <f>_xlfn.XLOOKUP(E740,Table8[City],Table8[Region])</f>
        <v>South</v>
      </c>
      <c r="H740" t="s">
        <v>26</v>
      </c>
      <c r="I740" t="str">
        <f>_xlfn.XLOOKUP(H740,Table6[Product],Table6[Category])</f>
        <v>Office</v>
      </c>
      <c r="J740" t="s">
        <v>58</v>
      </c>
      <c r="K740">
        <v>7</v>
      </c>
      <c r="L740">
        <f>_xlfn.XLOOKUP(H740,Table6[Product],Table6[Unit Price])</f>
        <v>15000</v>
      </c>
      <c r="M740">
        <f>_xlfn.XLOOKUP(H740,Table6[Product],Table6[Cost Price])</f>
        <v>11500</v>
      </c>
      <c r="N740" s="7">
        <v>0.18</v>
      </c>
      <c r="O740">
        <f t="shared" si="33"/>
        <v>86100</v>
      </c>
      <c r="P740">
        <f t="shared" si="34"/>
        <v>80500</v>
      </c>
      <c r="Q740">
        <f t="shared" si="35"/>
        <v>5600</v>
      </c>
      <c r="R740" t="s">
        <v>45</v>
      </c>
      <c r="S740" t="s">
        <v>52</v>
      </c>
    </row>
    <row r="741" spans="1:19" ht="18" x14ac:dyDescent="0.5">
      <c r="A741" t="s">
        <v>811</v>
      </c>
      <c r="B741" t="s">
        <v>1810</v>
      </c>
      <c r="C741" s="6">
        <v>45369</v>
      </c>
      <c r="D741" t="s">
        <v>2092</v>
      </c>
      <c r="E741" t="s">
        <v>70</v>
      </c>
      <c r="F741" t="str">
        <f>_xlfn.XLOOKUP(E741,Table8[City],Table8[State])</f>
        <v>Karnataka</v>
      </c>
      <c r="G741" t="str">
        <f>_xlfn.XLOOKUP(E741,Table8[City],Table8[Region])</f>
        <v>South</v>
      </c>
      <c r="H741" t="s">
        <v>18</v>
      </c>
      <c r="I741" t="str">
        <f>_xlfn.XLOOKUP(H741,Table6[Product],Table6[Category])</f>
        <v>Electronics</v>
      </c>
      <c r="J741" t="s">
        <v>59</v>
      </c>
      <c r="K741">
        <v>7</v>
      </c>
      <c r="L741">
        <f>_xlfn.XLOOKUP(H741,Table6[Product],Table6[Unit Price])</f>
        <v>35000</v>
      </c>
      <c r="M741">
        <f>_xlfn.XLOOKUP(H741,Table6[Product],Table6[Cost Price])</f>
        <v>28000</v>
      </c>
      <c r="N741" s="7">
        <v>0.3</v>
      </c>
      <c r="O741">
        <f t="shared" si="33"/>
        <v>171500</v>
      </c>
      <c r="P741">
        <f t="shared" si="34"/>
        <v>196000</v>
      </c>
      <c r="Q741">
        <f t="shared" si="35"/>
        <v>-24500</v>
      </c>
      <c r="R741" t="s">
        <v>47</v>
      </c>
      <c r="S741" t="s">
        <v>49</v>
      </c>
    </row>
    <row r="742" spans="1:19" ht="18" x14ac:dyDescent="0.5">
      <c r="A742" t="s">
        <v>812</v>
      </c>
      <c r="B742" t="s">
        <v>1811</v>
      </c>
      <c r="C742" s="6">
        <v>45294</v>
      </c>
      <c r="D742" t="s">
        <v>2090</v>
      </c>
      <c r="E742" t="s">
        <v>2080</v>
      </c>
      <c r="F742" t="str">
        <f>_xlfn.XLOOKUP(E742,Table8[City],Table8[State])</f>
        <v>Gujarat</v>
      </c>
      <c r="G742" t="str">
        <f>_xlfn.XLOOKUP(E742,Table8[City],Table8[Region])</f>
        <v>West</v>
      </c>
      <c r="H742" t="s">
        <v>22</v>
      </c>
      <c r="I742" t="str">
        <f>_xlfn.XLOOKUP(H742,Table6[Product],Table6[Category])</f>
        <v>Wearables</v>
      </c>
      <c r="J742" t="s">
        <v>62</v>
      </c>
      <c r="K742">
        <v>10</v>
      </c>
      <c r="L742">
        <f>_xlfn.XLOOKUP(H742,Table6[Product],Table6[Unit Price])</f>
        <v>12000</v>
      </c>
      <c r="M742">
        <f>_xlfn.XLOOKUP(H742,Table6[Product],Table6[Cost Price])</f>
        <v>8500</v>
      </c>
      <c r="N742" s="7">
        <v>0.27</v>
      </c>
      <c r="O742">
        <f t="shared" si="33"/>
        <v>87600</v>
      </c>
      <c r="P742">
        <f t="shared" si="34"/>
        <v>85000</v>
      </c>
      <c r="Q742">
        <f t="shared" si="35"/>
        <v>2600</v>
      </c>
      <c r="R742" t="s">
        <v>44</v>
      </c>
      <c r="S742" t="s">
        <v>51</v>
      </c>
    </row>
    <row r="743" spans="1:19" ht="18" x14ac:dyDescent="0.5">
      <c r="A743" t="s">
        <v>813</v>
      </c>
      <c r="B743" t="s">
        <v>1812</v>
      </c>
      <c r="C743" s="6">
        <v>45345</v>
      </c>
      <c r="D743" t="s">
        <v>69</v>
      </c>
      <c r="E743" t="s">
        <v>2080</v>
      </c>
      <c r="F743" t="str">
        <f>_xlfn.XLOOKUP(E743,Table8[City],Table8[State])</f>
        <v>Gujarat</v>
      </c>
      <c r="G743" t="str">
        <f>_xlfn.XLOOKUP(E743,Table8[City],Table8[Region])</f>
        <v>West</v>
      </c>
      <c r="H743" t="s">
        <v>29</v>
      </c>
      <c r="I743" t="str">
        <f>_xlfn.XLOOKUP(H743,Table6[Product],Table6[Category])</f>
        <v>Electronics</v>
      </c>
      <c r="J743" t="s">
        <v>61</v>
      </c>
      <c r="K743">
        <v>1</v>
      </c>
      <c r="L743">
        <f>_xlfn.XLOOKUP(H743,Table6[Product],Table6[Unit Price])</f>
        <v>5000</v>
      </c>
      <c r="M743">
        <f>_xlfn.XLOOKUP(H743,Table6[Product],Table6[Cost Price])</f>
        <v>3200</v>
      </c>
      <c r="N743" s="7">
        <v>0.18</v>
      </c>
      <c r="O743">
        <f t="shared" si="33"/>
        <v>4100</v>
      </c>
      <c r="P743">
        <f t="shared" si="34"/>
        <v>3200</v>
      </c>
      <c r="Q743">
        <f t="shared" si="35"/>
        <v>900</v>
      </c>
      <c r="R743" t="s">
        <v>46</v>
      </c>
      <c r="S743" t="s">
        <v>51</v>
      </c>
    </row>
    <row r="744" spans="1:19" ht="18" x14ac:dyDescent="0.5">
      <c r="A744" t="s">
        <v>814</v>
      </c>
      <c r="B744" t="s">
        <v>1813</v>
      </c>
      <c r="C744" s="6">
        <v>45856</v>
      </c>
      <c r="D744" t="s">
        <v>2092</v>
      </c>
      <c r="E744" t="s">
        <v>70</v>
      </c>
      <c r="F744" t="str">
        <f>_xlfn.XLOOKUP(E744,Table8[City],Table8[State])</f>
        <v>Karnataka</v>
      </c>
      <c r="G744" t="str">
        <f>_xlfn.XLOOKUP(E744,Table8[City],Table8[Region])</f>
        <v>South</v>
      </c>
      <c r="H744" t="s">
        <v>29</v>
      </c>
      <c r="I744" t="str">
        <f>_xlfn.XLOOKUP(H744,Table6[Product],Table6[Category])</f>
        <v>Electronics</v>
      </c>
      <c r="J744" t="s">
        <v>54</v>
      </c>
      <c r="K744">
        <v>10</v>
      </c>
      <c r="L744">
        <f>_xlfn.XLOOKUP(H744,Table6[Product],Table6[Unit Price])</f>
        <v>5000</v>
      </c>
      <c r="M744">
        <f>_xlfn.XLOOKUP(H744,Table6[Product],Table6[Cost Price])</f>
        <v>3200</v>
      </c>
      <c r="N744" s="7">
        <v>0</v>
      </c>
      <c r="O744">
        <f t="shared" si="33"/>
        <v>50000</v>
      </c>
      <c r="P744">
        <f t="shared" si="34"/>
        <v>32000</v>
      </c>
      <c r="Q744">
        <f t="shared" si="35"/>
        <v>18000</v>
      </c>
      <c r="R744" t="s">
        <v>47</v>
      </c>
      <c r="S744" t="s">
        <v>51</v>
      </c>
    </row>
    <row r="745" spans="1:19" ht="18" x14ac:dyDescent="0.5">
      <c r="A745" t="s">
        <v>815</v>
      </c>
      <c r="B745" t="s">
        <v>1814</v>
      </c>
      <c r="C745" s="6">
        <v>45292</v>
      </c>
      <c r="D745" t="s">
        <v>2085</v>
      </c>
      <c r="E745" t="s">
        <v>70</v>
      </c>
      <c r="F745" t="str">
        <f>_xlfn.XLOOKUP(E745,Table8[City],Table8[State])</f>
        <v>Karnataka</v>
      </c>
      <c r="G745" t="str">
        <f>_xlfn.XLOOKUP(E745,Table8[City],Table8[Region])</f>
        <v>South</v>
      </c>
      <c r="H745" t="s">
        <v>22</v>
      </c>
      <c r="I745" t="str">
        <f>_xlfn.XLOOKUP(H745,Table6[Product],Table6[Category])</f>
        <v>Wearables</v>
      </c>
      <c r="J745" t="s">
        <v>58</v>
      </c>
      <c r="K745">
        <v>7</v>
      </c>
      <c r="L745">
        <f>_xlfn.XLOOKUP(H745,Table6[Product],Table6[Unit Price])</f>
        <v>12000</v>
      </c>
      <c r="M745">
        <f>_xlfn.XLOOKUP(H745,Table6[Product],Table6[Cost Price])</f>
        <v>8500</v>
      </c>
      <c r="N745" s="7">
        <v>0.27</v>
      </c>
      <c r="O745">
        <f t="shared" si="33"/>
        <v>61320</v>
      </c>
      <c r="P745">
        <f t="shared" si="34"/>
        <v>59500</v>
      </c>
      <c r="Q745">
        <f t="shared" si="35"/>
        <v>1820</v>
      </c>
      <c r="R745" t="s">
        <v>44</v>
      </c>
      <c r="S745" t="s">
        <v>50</v>
      </c>
    </row>
    <row r="746" spans="1:19" ht="18" x14ac:dyDescent="0.5">
      <c r="A746" t="s">
        <v>816</v>
      </c>
      <c r="B746" t="s">
        <v>1815</v>
      </c>
      <c r="C746" s="6">
        <v>45756</v>
      </c>
      <c r="D746" t="s">
        <v>2092</v>
      </c>
      <c r="E746" t="s">
        <v>2075</v>
      </c>
      <c r="F746" t="str">
        <f>_xlfn.XLOOKUP(E746,Table8[City],Table8[State])</f>
        <v>Tamil Nadu</v>
      </c>
      <c r="G746" t="str">
        <f>_xlfn.XLOOKUP(E746,Table8[City],Table8[Region])</f>
        <v>South</v>
      </c>
      <c r="H746" t="s">
        <v>28</v>
      </c>
      <c r="I746" t="str">
        <f>_xlfn.XLOOKUP(H746,Table6[Product],Table6[Category])</f>
        <v>Office</v>
      </c>
      <c r="J746" t="s">
        <v>54</v>
      </c>
      <c r="K746">
        <v>1</v>
      </c>
      <c r="L746">
        <f>_xlfn.XLOOKUP(H746,Table6[Product],Table6[Unit Price])</f>
        <v>18000</v>
      </c>
      <c r="M746">
        <f>_xlfn.XLOOKUP(H746,Table6[Product],Table6[Cost Price])</f>
        <v>14000</v>
      </c>
      <c r="N746" s="7">
        <v>0.06</v>
      </c>
      <c r="O746">
        <f t="shared" si="33"/>
        <v>16920</v>
      </c>
      <c r="P746">
        <f t="shared" si="34"/>
        <v>14000</v>
      </c>
      <c r="Q746">
        <f t="shared" si="35"/>
        <v>2920</v>
      </c>
      <c r="R746" t="s">
        <v>45</v>
      </c>
      <c r="S746" t="s">
        <v>50</v>
      </c>
    </row>
    <row r="747" spans="1:19" ht="18" x14ac:dyDescent="0.5">
      <c r="A747" t="s">
        <v>817</v>
      </c>
      <c r="B747" t="s">
        <v>1816</v>
      </c>
      <c r="C747" s="6">
        <v>45354</v>
      </c>
      <c r="D747" t="s">
        <v>69</v>
      </c>
      <c r="E747" t="s">
        <v>2106</v>
      </c>
      <c r="F747" t="str">
        <f>_xlfn.XLOOKUP(E747,Table8[City],Table8[State])</f>
        <v>West Bengal</v>
      </c>
      <c r="G747" t="str">
        <f>_xlfn.XLOOKUP(E747,Table8[City],Table8[Region])</f>
        <v>East</v>
      </c>
      <c r="H747" t="s">
        <v>19</v>
      </c>
      <c r="I747" t="str">
        <f>_xlfn.XLOOKUP(H747,Table6[Product],Table6[Category])</f>
        <v>Electronics</v>
      </c>
      <c r="J747" t="s">
        <v>55</v>
      </c>
      <c r="K747">
        <v>1</v>
      </c>
      <c r="L747">
        <f>_xlfn.XLOOKUP(H747,Table6[Product],Table6[Unit Price])</f>
        <v>25000</v>
      </c>
      <c r="M747">
        <f>_xlfn.XLOOKUP(H747,Table6[Product],Table6[Cost Price])</f>
        <v>20000</v>
      </c>
      <c r="N747" s="7">
        <v>7.0000000000000007E-2</v>
      </c>
      <c r="O747">
        <f t="shared" si="33"/>
        <v>23250</v>
      </c>
      <c r="P747">
        <f t="shared" si="34"/>
        <v>20000</v>
      </c>
      <c r="Q747">
        <f t="shared" si="35"/>
        <v>3250</v>
      </c>
      <c r="R747" t="s">
        <v>45</v>
      </c>
      <c r="S747" t="s">
        <v>52</v>
      </c>
    </row>
    <row r="748" spans="1:19" ht="18" x14ac:dyDescent="0.5">
      <c r="A748" t="s">
        <v>818</v>
      </c>
      <c r="B748" t="s">
        <v>1817</v>
      </c>
      <c r="C748" s="6">
        <v>45697</v>
      </c>
      <c r="D748" t="s">
        <v>2092</v>
      </c>
      <c r="E748" t="s">
        <v>2075</v>
      </c>
      <c r="F748" t="str">
        <f>_xlfn.XLOOKUP(E748,Table8[City],Table8[State])</f>
        <v>Tamil Nadu</v>
      </c>
      <c r="G748" t="str">
        <f>_xlfn.XLOOKUP(E748,Table8[City],Table8[Region])</f>
        <v>South</v>
      </c>
      <c r="H748" t="s">
        <v>16</v>
      </c>
      <c r="I748" t="str">
        <f>_xlfn.XLOOKUP(H748,Table6[Product],Table6[Category])</f>
        <v>Electronics</v>
      </c>
      <c r="J748" t="s">
        <v>59</v>
      </c>
      <c r="K748">
        <v>5</v>
      </c>
      <c r="L748">
        <f>_xlfn.XLOOKUP(H748,Table6[Product],Table6[Unit Price])</f>
        <v>65000</v>
      </c>
      <c r="M748">
        <f>_xlfn.XLOOKUP(H748,Table6[Product],Table6[Cost Price])</f>
        <v>52000</v>
      </c>
      <c r="N748" s="7">
        <v>0.08</v>
      </c>
      <c r="O748">
        <f t="shared" si="33"/>
        <v>299000</v>
      </c>
      <c r="P748">
        <f t="shared" si="34"/>
        <v>260000</v>
      </c>
      <c r="Q748">
        <f t="shared" si="35"/>
        <v>39000</v>
      </c>
      <c r="R748" t="s">
        <v>47</v>
      </c>
      <c r="S748" t="s">
        <v>50</v>
      </c>
    </row>
    <row r="749" spans="1:19" ht="18" x14ac:dyDescent="0.5">
      <c r="A749" t="s">
        <v>819</v>
      </c>
      <c r="B749" t="s">
        <v>1818</v>
      </c>
      <c r="C749" s="6">
        <v>45533</v>
      </c>
      <c r="D749" t="s">
        <v>69</v>
      </c>
      <c r="E749" t="s">
        <v>2080</v>
      </c>
      <c r="F749" t="str">
        <f>_xlfn.XLOOKUP(E749,Table8[City],Table8[State])</f>
        <v>Gujarat</v>
      </c>
      <c r="G749" t="str">
        <f>_xlfn.XLOOKUP(E749,Table8[City],Table8[Region])</f>
        <v>West</v>
      </c>
      <c r="H749" t="s">
        <v>16</v>
      </c>
      <c r="I749" t="str">
        <f>_xlfn.XLOOKUP(H749,Table6[Product],Table6[Category])</f>
        <v>Electronics</v>
      </c>
      <c r="J749" t="s">
        <v>58</v>
      </c>
      <c r="K749">
        <v>2</v>
      </c>
      <c r="L749">
        <f>_xlfn.XLOOKUP(H749,Table6[Product],Table6[Unit Price])</f>
        <v>65000</v>
      </c>
      <c r="M749">
        <f>_xlfn.XLOOKUP(H749,Table6[Product],Table6[Cost Price])</f>
        <v>52000</v>
      </c>
      <c r="N749" s="7">
        <v>0.28000000000000003</v>
      </c>
      <c r="O749">
        <f t="shared" si="33"/>
        <v>93600</v>
      </c>
      <c r="P749">
        <f t="shared" si="34"/>
        <v>104000</v>
      </c>
      <c r="Q749">
        <f t="shared" si="35"/>
        <v>-10400</v>
      </c>
      <c r="R749" t="s">
        <v>44</v>
      </c>
      <c r="S749" t="s">
        <v>50</v>
      </c>
    </row>
    <row r="750" spans="1:19" ht="18" x14ac:dyDescent="0.5">
      <c r="A750" t="s">
        <v>820</v>
      </c>
      <c r="B750" t="s">
        <v>1819</v>
      </c>
      <c r="C750" s="6">
        <v>45552</v>
      </c>
      <c r="D750" t="s">
        <v>2095</v>
      </c>
      <c r="E750" t="s">
        <v>2072</v>
      </c>
      <c r="F750" t="str">
        <f>_xlfn.XLOOKUP(E750,Table8[City],Table8[State])</f>
        <v>Karnataka</v>
      </c>
      <c r="G750" t="str">
        <f>_xlfn.XLOOKUP(E750,Table8[City],Table8[Region])</f>
        <v>South</v>
      </c>
      <c r="H750" t="s">
        <v>19</v>
      </c>
      <c r="I750" t="str">
        <f>_xlfn.XLOOKUP(H750,Table6[Product],Table6[Category])</f>
        <v>Electronics</v>
      </c>
      <c r="J750" t="s">
        <v>62</v>
      </c>
      <c r="K750">
        <v>5</v>
      </c>
      <c r="L750">
        <f>_xlfn.XLOOKUP(H750,Table6[Product],Table6[Unit Price])</f>
        <v>25000</v>
      </c>
      <c r="M750">
        <f>_xlfn.XLOOKUP(H750,Table6[Product],Table6[Cost Price])</f>
        <v>20000</v>
      </c>
      <c r="N750" s="7">
        <v>0.17</v>
      </c>
      <c r="O750">
        <f t="shared" si="33"/>
        <v>103750</v>
      </c>
      <c r="P750">
        <f t="shared" si="34"/>
        <v>100000</v>
      </c>
      <c r="Q750">
        <f t="shared" si="35"/>
        <v>3750</v>
      </c>
      <c r="R750" t="s">
        <v>46</v>
      </c>
      <c r="S750" t="s">
        <v>52</v>
      </c>
    </row>
    <row r="751" spans="1:19" ht="18" x14ac:dyDescent="0.5">
      <c r="A751" t="s">
        <v>821</v>
      </c>
      <c r="B751" t="s">
        <v>1820</v>
      </c>
      <c r="C751" s="6">
        <v>45434</v>
      </c>
      <c r="D751" t="s">
        <v>2098</v>
      </c>
      <c r="E751" t="s">
        <v>2079</v>
      </c>
      <c r="F751" t="str">
        <f>_xlfn.XLOOKUP(E751,Table8[City],Table8[State])</f>
        <v>Gujarat</v>
      </c>
      <c r="G751" t="str">
        <f>_xlfn.XLOOKUP(E751,Table8[City],Table8[Region])</f>
        <v>West</v>
      </c>
      <c r="H751" t="s">
        <v>16</v>
      </c>
      <c r="I751" t="str">
        <f>_xlfn.XLOOKUP(H751,Table6[Product],Table6[Category])</f>
        <v>Electronics</v>
      </c>
      <c r="J751" t="s">
        <v>56</v>
      </c>
      <c r="K751">
        <v>2</v>
      </c>
      <c r="L751">
        <f>_xlfn.XLOOKUP(H751,Table6[Product],Table6[Unit Price])</f>
        <v>65000</v>
      </c>
      <c r="M751">
        <f>_xlfn.XLOOKUP(H751,Table6[Product],Table6[Cost Price])</f>
        <v>52000</v>
      </c>
      <c r="N751" s="7">
        <v>0.17</v>
      </c>
      <c r="O751">
        <f t="shared" si="33"/>
        <v>107900</v>
      </c>
      <c r="P751">
        <f t="shared" si="34"/>
        <v>104000</v>
      </c>
      <c r="Q751">
        <f t="shared" si="35"/>
        <v>3900</v>
      </c>
      <c r="R751" t="s">
        <v>47</v>
      </c>
      <c r="S751" t="s">
        <v>52</v>
      </c>
    </row>
    <row r="752" spans="1:19" ht="18" x14ac:dyDescent="0.5">
      <c r="A752" t="s">
        <v>822</v>
      </c>
      <c r="B752" t="s">
        <v>1821</v>
      </c>
      <c r="C752" s="6">
        <v>45631</v>
      </c>
      <c r="D752" t="s">
        <v>2083</v>
      </c>
      <c r="E752" t="s">
        <v>2106</v>
      </c>
      <c r="F752" t="str">
        <f>_xlfn.XLOOKUP(E752,Table8[City],Table8[State])</f>
        <v>West Bengal</v>
      </c>
      <c r="G752" t="str">
        <f>_xlfn.XLOOKUP(E752,Table8[City],Table8[Region])</f>
        <v>East</v>
      </c>
      <c r="H752" t="s">
        <v>29</v>
      </c>
      <c r="I752" t="str">
        <f>_xlfn.XLOOKUP(H752,Table6[Product],Table6[Category])</f>
        <v>Electronics</v>
      </c>
      <c r="J752" t="s">
        <v>57</v>
      </c>
      <c r="K752">
        <v>5</v>
      </c>
      <c r="L752">
        <f>_xlfn.XLOOKUP(H752,Table6[Product],Table6[Unit Price])</f>
        <v>5000</v>
      </c>
      <c r="M752">
        <f>_xlfn.XLOOKUP(H752,Table6[Product],Table6[Cost Price])</f>
        <v>3200</v>
      </c>
      <c r="N752" s="7">
        <v>0.23</v>
      </c>
      <c r="O752">
        <f t="shared" si="33"/>
        <v>19250</v>
      </c>
      <c r="P752">
        <f t="shared" si="34"/>
        <v>16000</v>
      </c>
      <c r="Q752">
        <f t="shared" si="35"/>
        <v>3250</v>
      </c>
      <c r="R752" t="s">
        <v>46</v>
      </c>
      <c r="S752" t="s">
        <v>51</v>
      </c>
    </row>
    <row r="753" spans="1:19" ht="18" x14ac:dyDescent="0.5">
      <c r="A753" t="s">
        <v>823</v>
      </c>
      <c r="B753" t="s">
        <v>1822</v>
      </c>
      <c r="C753" s="6">
        <v>45923</v>
      </c>
      <c r="D753" t="s">
        <v>2094</v>
      </c>
      <c r="E753" t="s">
        <v>2105</v>
      </c>
      <c r="F753" t="str">
        <f>_xlfn.XLOOKUP(E753,Table8[City],Table8[State])</f>
        <v>Rajasthan</v>
      </c>
      <c r="G753" t="str">
        <f>_xlfn.XLOOKUP(E753,Table8[City],Table8[Region])</f>
        <v>North</v>
      </c>
      <c r="H753" t="s">
        <v>26</v>
      </c>
      <c r="I753" t="str">
        <f>_xlfn.XLOOKUP(H753,Table6[Product],Table6[Category])</f>
        <v>Office</v>
      </c>
      <c r="J753" t="s">
        <v>57</v>
      </c>
      <c r="K753">
        <v>5</v>
      </c>
      <c r="L753">
        <f>_xlfn.XLOOKUP(H753,Table6[Product],Table6[Unit Price])</f>
        <v>15000</v>
      </c>
      <c r="M753">
        <f>_xlfn.XLOOKUP(H753,Table6[Product],Table6[Cost Price])</f>
        <v>11500</v>
      </c>
      <c r="N753" s="7">
        <v>0.14000000000000001</v>
      </c>
      <c r="O753">
        <f t="shared" si="33"/>
        <v>64500</v>
      </c>
      <c r="P753">
        <f t="shared" si="34"/>
        <v>57500</v>
      </c>
      <c r="Q753">
        <f t="shared" si="35"/>
        <v>7000</v>
      </c>
      <c r="R753" t="s">
        <v>47</v>
      </c>
      <c r="S753" t="s">
        <v>51</v>
      </c>
    </row>
    <row r="754" spans="1:19" ht="18" x14ac:dyDescent="0.5">
      <c r="A754" t="s">
        <v>824</v>
      </c>
      <c r="B754" t="s">
        <v>1823</v>
      </c>
      <c r="C754" s="6">
        <v>45967</v>
      </c>
      <c r="D754" t="s">
        <v>59</v>
      </c>
      <c r="E754" t="s">
        <v>2073</v>
      </c>
      <c r="F754" t="str">
        <f>_xlfn.XLOOKUP(E754,Table8[City],Table8[State])</f>
        <v>Maharashtra</v>
      </c>
      <c r="G754" t="str">
        <f>_xlfn.XLOOKUP(E754,Table8[City],Table8[Region])</f>
        <v>West</v>
      </c>
      <c r="H754" t="s">
        <v>19</v>
      </c>
      <c r="I754" t="str">
        <f>_xlfn.XLOOKUP(H754,Table6[Product],Table6[Category])</f>
        <v>Electronics</v>
      </c>
      <c r="J754" t="s">
        <v>63</v>
      </c>
      <c r="K754">
        <v>2</v>
      </c>
      <c r="L754">
        <f>_xlfn.XLOOKUP(H754,Table6[Product],Table6[Unit Price])</f>
        <v>25000</v>
      </c>
      <c r="M754">
        <f>_xlfn.XLOOKUP(H754,Table6[Product],Table6[Cost Price])</f>
        <v>20000</v>
      </c>
      <c r="N754" s="7">
        <v>0.1</v>
      </c>
      <c r="O754">
        <f t="shared" si="33"/>
        <v>45000</v>
      </c>
      <c r="P754">
        <f t="shared" si="34"/>
        <v>40000</v>
      </c>
      <c r="Q754">
        <f t="shared" si="35"/>
        <v>5000</v>
      </c>
      <c r="R754" t="s">
        <v>43</v>
      </c>
      <c r="S754" t="s">
        <v>52</v>
      </c>
    </row>
    <row r="755" spans="1:19" ht="18" x14ac:dyDescent="0.5">
      <c r="A755" t="s">
        <v>825</v>
      </c>
      <c r="B755" t="s">
        <v>1824</v>
      </c>
      <c r="C755" s="6">
        <v>45461</v>
      </c>
      <c r="D755" t="s">
        <v>2083</v>
      </c>
      <c r="E755" t="s">
        <v>2075</v>
      </c>
      <c r="F755" t="str">
        <f>_xlfn.XLOOKUP(E755,Table8[City],Table8[State])</f>
        <v>Tamil Nadu</v>
      </c>
      <c r="G755" t="str">
        <f>_xlfn.XLOOKUP(E755,Table8[City],Table8[Region])</f>
        <v>South</v>
      </c>
      <c r="H755" t="s">
        <v>25</v>
      </c>
      <c r="I755" t="str">
        <f>_xlfn.XLOOKUP(H755,Table6[Product],Table6[Category])</f>
        <v>Accessories</v>
      </c>
      <c r="J755" t="s">
        <v>55</v>
      </c>
      <c r="K755">
        <v>5</v>
      </c>
      <c r="L755">
        <f>_xlfn.XLOOKUP(H755,Table6[Product],Table6[Unit Price])</f>
        <v>800</v>
      </c>
      <c r="M755">
        <f>_xlfn.XLOOKUP(H755,Table6[Product],Table6[Cost Price])</f>
        <v>450</v>
      </c>
      <c r="N755" s="7">
        <v>0.3</v>
      </c>
      <c r="O755">
        <f t="shared" si="33"/>
        <v>2800</v>
      </c>
      <c r="P755">
        <f t="shared" si="34"/>
        <v>2250</v>
      </c>
      <c r="Q755">
        <f t="shared" si="35"/>
        <v>550</v>
      </c>
      <c r="R755" t="s">
        <v>45</v>
      </c>
      <c r="S755" t="s">
        <v>50</v>
      </c>
    </row>
    <row r="756" spans="1:19" ht="18" x14ac:dyDescent="0.5">
      <c r="A756" t="s">
        <v>826</v>
      </c>
      <c r="B756" t="s">
        <v>1825</v>
      </c>
      <c r="C756" s="6">
        <v>45337</v>
      </c>
      <c r="D756" t="s">
        <v>2099</v>
      </c>
      <c r="E756" t="s">
        <v>2074</v>
      </c>
      <c r="F756" t="str">
        <f>_xlfn.XLOOKUP(E756,Table8[City],Table8[State])</f>
        <v>Maharashtra</v>
      </c>
      <c r="G756" t="str">
        <f>_xlfn.XLOOKUP(E756,Table8[City],Table8[Region])</f>
        <v>West</v>
      </c>
      <c r="H756" t="s">
        <v>19</v>
      </c>
      <c r="I756" t="str">
        <f>_xlfn.XLOOKUP(H756,Table6[Product],Table6[Category])</f>
        <v>Electronics</v>
      </c>
      <c r="J756" t="s">
        <v>63</v>
      </c>
      <c r="K756">
        <v>10</v>
      </c>
      <c r="L756">
        <f>_xlfn.XLOOKUP(H756,Table6[Product],Table6[Unit Price])</f>
        <v>25000</v>
      </c>
      <c r="M756">
        <f>_xlfn.XLOOKUP(H756,Table6[Product],Table6[Cost Price])</f>
        <v>20000</v>
      </c>
      <c r="N756" s="7">
        <v>0.1</v>
      </c>
      <c r="O756">
        <f t="shared" si="33"/>
        <v>225000</v>
      </c>
      <c r="P756">
        <f t="shared" si="34"/>
        <v>200000</v>
      </c>
      <c r="Q756">
        <f t="shared" si="35"/>
        <v>25000</v>
      </c>
      <c r="R756" t="s">
        <v>46</v>
      </c>
      <c r="S756" t="s">
        <v>49</v>
      </c>
    </row>
    <row r="757" spans="1:19" ht="18" x14ac:dyDescent="0.5">
      <c r="A757" t="s">
        <v>827</v>
      </c>
      <c r="B757" t="s">
        <v>1826</v>
      </c>
      <c r="C757" s="6">
        <v>46005</v>
      </c>
      <c r="D757" t="s">
        <v>2083</v>
      </c>
      <c r="E757" t="s">
        <v>2105</v>
      </c>
      <c r="F757" t="str">
        <f>_xlfn.XLOOKUP(E757,Table8[City],Table8[State])</f>
        <v>Rajasthan</v>
      </c>
      <c r="G757" t="str">
        <f>_xlfn.XLOOKUP(E757,Table8[City],Table8[Region])</f>
        <v>North</v>
      </c>
      <c r="H757" t="s">
        <v>20</v>
      </c>
      <c r="I757" t="str">
        <f>_xlfn.XLOOKUP(H757,Table6[Product],Table6[Category])</f>
        <v>Accessories</v>
      </c>
      <c r="J757" t="s">
        <v>62</v>
      </c>
      <c r="K757">
        <v>10</v>
      </c>
      <c r="L757">
        <f>_xlfn.XLOOKUP(H757,Table6[Product],Table6[Unit Price])</f>
        <v>3000</v>
      </c>
      <c r="M757">
        <f>_xlfn.XLOOKUP(H757,Table6[Product],Table6[Cost Price])</f>
        <v>1800</v>
      </c>
      <c r="N757" s="7">
        <v>0.23</v>
      </c>
      <c r="O757">
        <f t="shared" si="33"/>
        <v>23100</v>
      </c>
      <c r="P757">
        <f t="shared" si="34"/>
        <v>18000</v>
      </c>
      <c r="Q757">
        <f t="shared" si="35"/>
        <v>5100</v>
      </c>
      <c r="R757" t="s">
        <v>46</v>
      </c>
      <c r="S757" t="s">
        <v>51</v>
      </c>
    </row>
    <row r="758" spans="1:19" ht="18" x14ac:dyDescent="0.5">
      <c r="A758" t="s">
        <v>828</v>
      </c>
      <c r="B758" t="s">
        <v>1827</v>
      </c>
      <c r="C758" s="6">
        <v>45977</v>
      </c>
      <c r="D758" t="s">
        <v>2087</v>
      </c>
      <c r="E758" t="s">
        <v>2073</v>
      </c>
      <c r="F758" t="str">
        <f>_xlfn.XLOOKUP(E758,Table8[City],Table8[State])</f>
        <v>Maharashtra</v>
      </c>
      <c r="G758" t="str">
        <f>_xlfn.XLOOKUP(E758,Table8[City],Table8[Region])</f>
        <v>West</v>
      </c>
      <c r="H758" t="s">
        <v>29</v>
      </c>
      <c r="I758" t="str">
        <f>_xlfn.XLOOKUP(H758,Table6[Product],Table6[Category])</f>
        <v>Electronics</v>
      </c>
      <c r="J758" t="s">
        <v>59</v>
      </c>
      <c r="K758">
        <v>4</v>
      </c>
      <c r="L758">
        <f>_xlfn.XLOOKUP(H758,Table6[Product],Table6[Unit Price])</f>
        <v>5000</v>
      </c>
      <c r="M758">
        <f>_xlfn.XLOOKUP(H758,Table6[Product],Table6[Cost Price])</f>
        <v>3200</v>
      </c>
      <c r="N758" s="7">
        <v>7.0000000000000007E-2</v>
      </c>
      <c r="O758">
        <f t="shared" si="33"/>
        <v>18600</v>
      </c>
      <c r="P758">
        <f t="shared" si="34"/>
        <v>12800</v>
      </c>
      <c r="Q758">
        <f t="shared" si="35"/>
        <v>5800</v>
      </c>
      <c r="R758" t="s">
        <v>46</v>
      </c>
      <c r="S758" t="s">
        <v>49</v>
      </c>
    </row>
    <row r="759" spans="1:19" ht="18" x14ac:dyDescent="0.5">
      <c r="A759" t="s">
        <v>829</v>
      </c>
      <c r="B759" t="s">
        <v>1828</v>
      </c>
      <c r="C759" s="6">
        <v>45817</v>
      </c>
      <c r="D759" t="s">
        <v>2096</v>
      </c>
      <c r="E759" t="s">
        <v>2104</v>
      </c>
      <c r="F759" t="str">
        <f>_xlfn.XLOOKUP(E759,Table8[City],Table8[State])</f>
        <v>Delhi</v>
      </c>
      <c r="G759" t="str">
        <f>_xlfn.XLOOKUP(E759,Table8[City],Table8[Region])</f>
        <v>North</v>
      </c>
      <c r="H759" t="s">
        <v>16</v>
      </c>
      <c r="I759" t="str">
        <f>_xlfn.XLOOKUP(H759,Table6[Product],Table6[Category])</f>
        <v>Electronics</v>
      </c>
      <c r="J759" t="s">
        <v>63</v>
      </c>
      <c r="K759">
        <v>5</v>
      </c>
      <c r="L759">
        <f>_xlfn.XLOOKUP(H759,Table6[Product],Table6[Unit Price])</f>
        <v>65000</v>
      </c>
      <c r="M759">
        <f>_xlfn.XLOOKUP(H759,Table6[Product],Table6[Cost Price])</f>
        <v>52000</v>
      </c>
      <c r="N759" s="7">
        <v>0.3</v>
      </c>
      <c r="O759">
        <f t="shared" si="33"/>
        <v>227500</v>
      </c>
      <c r="P759">
        <f t="shared" si="34"/>
        <v>260000</v>
      </c>
      <c r="Q759">
        <f t="shared" si="35"/>
        <v>-32500</v>
      </c>
      <c r="R759" t="s">
        <v>44</v>
      </c>
      <c r="S759" t="s">
        <v>50</v>
      </c>
    </row>
    <row r="760" spans="1:19" ht="18" x14ac:dyDescent="0.5">
      <c r="A760" t="s">
        <v>830</v>
      </c>
      <c r="B760" t="s">
        <v>1829</v>
      </c>
      <c r="C760" s="6">
        <v>45595</v>
      </c>
      <c r="D760" t="s">
        <v>2083</v>
      </c>
      <c r="E760" t="s">
        <v>2078</v>
      </c>
      <c r="F760" t="str">
        <f>_xlfn.XLOOKUP(E760,Table8[City],Table8[State])</f>
        <v>Telangana</v>
      </c>
      <c r="G760" t="str">
        <f>_xlfn.XLOOKUP(E760,Table8[City],Table8[Region])</f>
        <v>South</v>
      </c>
      <c r="H760" t="s">
        <v>20</v>
      </c>
      <c r="I760" t="str">
        <f>_xlfn.XLOOKUP(H760,Table6[Product],Table6[Category])</f>
        <v>Accessories</v>
      </c>
      <c r="J760" t="s">
        <v>62</v>
      </c>
      <c r="K760">
        <v>3</v>
      </c>
      <c r="L760">
        <f>_xlfn.XLOOKUP(H760,Table6[Product],Table6[Unit Price])</f>
        <v>3000</v>
      </c>
      <c r="M760">
        <f>_xlfn.XLOOKUP(H760,Table6[Product],Table6[Cost Price])</f>
        <v>1800</v>
      </c>
      <c r="N760" s="7">
        <v>0.08</v>
      </c>
      <c r="O760">
        <f t="shared" si="33"/>
        <v>8280</v>
      </c>
      <c r="P760">
        <f t="shared" si="34"/>
        <v>5400</v>
      </c>
      <c r="Q760">
        <f t="shared" si="35"/>
        <v>2880</v>
      </c>
      <c r="R760" t="s">
        <v>47</v>
      </c>
      <c r="S760" t="s">
        <v>52</v>
      </c>
    </row>
    <row r="761" spans="1:19" ht="18" x14ac:dyDescent="0.5">
      <c r="A761" t="s">
        <v>831</v>
      </c>
      <c r="B761" t="s">
        <v>1830</v>
      </c>
      <c r="C761" s="6">
        <v>45878</v>
      </c>
      <c r="D761" t="s">
        <v>59</v>
      </c>
      <c r="E761" t="s">
        <v>2079</v>
      </c>
      <c r="F761" t="str">
        <f>_xlfn.XLOOKUP(E761,Table8[City],Table8[State])</f>
        <v>Gujarat</v>
      </c>
      <c r="G761" t="str">
        <f>_xlfn.XLOOKUP(E761,Table8[City],Table8[Region])</f>
        <v>West</v>
      </c>
      <c r="H761" t="s">
        <v>16</v>
      </c>
      <c r="I761" t="str">
        <f>_xlfn.XLOOKUP(H761,Table6[Product],Table6[Category])</f>
        <v>Electronics</v>
      </c>
      <c r="J761" t="s">
        <v>59</v>
      </c>
      <c r="K761">
        <v>7</v>
      </c>
      <c r="L761">
        <f>_xlfn.XLOOKUP(H761,Table6[Product],Table6[Unit Price])</f>
        <v>65000</v>
      </c>
      <c r="M761">
        <f>_xlfn.XLOOKUP(H761,Table6[Product],Table6[Cost Price])</f>
        <v>52000</v>
      </c>
      <c r="N761" s="7">
        <v>0.08</v>
      </c>
      <c r="O761">
        <f t="shared" si="33"/>
        <v>418600</v>
      </c>
      <c r="P761">
        <f t="shared" si="34"/>
        <v>364000</v>
      </c>
      <c r="Q761">
        <f t="shared" si="35"/>
        <v>54600</v>
      </c>
      <c r="R761" t="s">
        <v>43</v>
      </c>
      <c r="S761" t="s">
        <v>51</v>
      </c>
    </row>
    <row r="762" spans="1:19" ht="18" x14ac:dyDescent="0.5">
      <c r="A762" t="s">
        <v>832</v>
      </c>
      <c r="B762" t="s">
        <v>1831</v>
      </c>
      <c r="C762" s="6">
        <v>45614</v>
      </c>
      <c r="D762" t="s">
        <v>69</v>
      </c>
      <c r="E762" t="s">
        <v>2076</v>
      </c>
      <c r="F762" t="str">
        <f>_xlfn.XLOOKUP(E762,Table8[City],Table8[State])</f>
        <v>Tamil Nadu</v>
      </c>
      <c r="G762" t="str">
        <f>_xlfn.XLOOKUP(E762,Table8[City],Table8[Region])</f>
        <v>South</v>
      </c>
      <c r="H762" t="s">
        <v>24</v>
      </c>
      <c r="I762" t="str">
        <f>_xlfn.XLOOKUP(H762,Table6[Product],Table6[Category])</f>
        <v>Accessories</v>
      </c>
      <c r="J762" t="s">
        <v>62</v>
      </c>
      <c r="K762">
        <v>5</v>
      </c>
      <c r="L762">
        <f>_xlfn.XLOOKUP(H762,Table6[Product],Table6[Unit Price])</f>
        <v>1500</v>
      </c>
      <c r="M762">
        <f>_xlfn.XLOOKUP(H762,Table6[Product],Table6[Cost Price])</f>
        <v>900</v>
      </c>
      <c r="N762" s="7">
        <v>0.18</v>
      </c>
      <c r="O762">
        <f t="shared" si="33"/>
        <v>6150.0000000000009</v>
      </c>
      <c r="P762">
        <f t="shared" si="34"/>
        <v>4500</v>
      </c>
      <c r="Q762">
        <f t="shared" si="35"/>
        <v>1650.0000000000009</v>
      </c>
      <c r="R762" t="s">
        <v>44</v>
      </c>
      <c r="S762" t="s">
        <v>50</v>
      </c>
    </row>
    <row r="763" spans="1:19" ht="18" x14ac:dyDescent="0.5">
      <c r="A763" t="s">
        <v>833</v>
      </c>
      <c r="B763" t="s">
        <v>1832</v>
      </c>
      <c r="C763" s="6">
        <v>45937</v>
      </c>
      <c r="D763" t="s">
        <v>2097</v>
      </c>
      <c r="E763" t="s">
        <v>2077</v>
      </c>
      <c r="F763" t="str">
        <f>_xlfn.XLOOKUP(E763,Table8[City],Table8[State])</f>
        <v>Telangana</v>
      </c>
      <c r="G763" t="str">
        <f>_xlfn.XLOOKUP(E763,Table8[City],Table8[Region])</f>
        <v>South</v>
      </c>
      <c r="H763" t="s">
        <v>24</v>
      </c>
      <c r="I763" t="str">
        <f>_xlfn.XLOOKUP(H763,Table6[Product],Table6[Category])</f>
        <v>Accessories</v>
      </c>
      <c r="J763" t="s">
        <v>55</v>
      </c>
      <c r="K763">
        <v>8</v>
      </c>
      <c r="L763">
        <f>_xlfn.XLOOKUP(H763,Table6[Product],Table6[Unit Price])</f>
        <v>1500</v>
      </c>
      <c r="M763">
        <f>_xlfn.XLOOKUP(H763,Table6[Product],Table6[Cost Price])</f>
        <v>900</v>
      </c>
      <c r="N763" s="7">
        <v>0.27</v>
      </c>
      <c r="O763">
        <f t="shared" si="33"/>
        <v>8760</v>
      </c>
      <c r="P763">
        <f t="shared" si="34"/>
        <v>7200</v>
      </c>
      <c r="Q763">
        <f t="shared" si="35"/>
        <v>1560</v>
      </c>
      <c r="R763" t="s">
        <v>47</v>
      </c>
      <c r="S763" t="s">
        <v>52</v>
      </c>
    </row>
    <row r="764" spans="1:19" ht="18" x14ac:dyDescent="0.5">
      <c r="A764" t="s">
        <v>834</v>
      </c>
      <c r="B764" t="s">
        <v>1833</v>
      </c>
      <c r="C764" s="6">
        <v>45495</v>
      </c>
      <c r="D764" t="s">
        <v>2083</v>
      </c>
      <c r="E764" t="s">
        <v>2073</v>
      </c>
      <c r="F764" t="str">
        <f>_xlfn.XLOOKUP(E764,Table8[City],Table8[State])</f>
        <v>Maharashtra</v>
      </c>
      <c r="G764" t="str">
        <f>_xlfn.XLOOKUP(E764,Table8[City],Table8[Region])</f>
        <v>West</v>
      </c>
      <c r="H764" t="s">
        <v>20</v>
      </c>
      <c r="I764" t="str">
        <f>_xlfn.XLOOKUP(H764,Table6[Product],Table6[Category])</f>
        <v>Accessories</v>
      </c>
      <c r="J764" t="s">
        <v>60</v>
      </c>
      <c r="K764">
        <v>4</v>
      </c>
      <c r="L764">
        <f>_xlfn.XLOOKUP(H764,Table6[Product],Table6[Unit Price])</f>
        <v>3000</v>
      </c>
      <c r="M764">
        <f>_xlfn.XLOOKUP(H764,Table6[Product],Table6[Cost Price])</f>
        <v>1800</v>
      </c>
      <c r="N764" s="7">
        <v>0.02</v>
      </c>
      <c r="O764">
        <f t="shared" si="33"/>
        <v>11760</v>
      </c>
      <c r="P764">
        <f t="shared" si="34"/>
        <v>7200</v>
      </c>
      <c r="Q764">
        <f t="shared" si="35"/>
        <v>4560</v>
      </c>
      <c r="R764" t="s">
        <v>46</v>
      </c>
      <c r="S764" t="s">
        <v>49</v>
      </c>
    </row>
    <row r="765" spans="1:19" ht="18" x14ac:dyDescent="0.5">
      <c r="A765" t="s">
        <v>835</v>
      </c>
      <c r="B765" t="s">
        <v>1834</v>
      </c>
      <c r="C765" s="6">
        <v>45611</v>
      </c>
      <c r="D765" t="s">
        <v>2093</v>
      </c>
      <c r="E765" t="s">
        <v>2072</v>
      </c>
      <c r="F765" t="str">
        <f>_xlfn.XLOOKUP(E765,Table8[City],Table8[State])</f>
        <v>Karnataka</v>
      </c>
      <c r="G765" t="str">
        <f>_xlfn.XLOOKUP(E765,Table8[City],Table8[Region])</f>
        <v>South</v>
      </c>
      <c r="H765" t="s">
        <v>28</v>
      </c>
      <c r="I765" t="str">
        <f>_xlfn.XLOOKUP(H765,Table6[Product],Table6[Category])</f>
        <v>Office</v>
      </c>
      <c r="J765" t="s">
        <v>57</v>
      </c>
      <c r="K765">
        <v>3</v>
      </c>
      <c r="L765">
        <f>_xlfn.XLOOKUP(H765,Table6[Product],Table6[Unit Price])</f>
        <v>18000</v>
      </c>
      <c r="M765">
        <f>_xlfn.XLOOKUP(H765,Table6[Product],Table6[Cost Price])</f>
        <v>14000</v>
      </c>
      <c r="N765" s="7">
        <v>0.2</v>
      </c>
      <c r="O765">
        <f t="shared" si="33"/>
        <v>43200</v>
      </c>
      <c r="P765">
        <f t="shared" si="34"/>
        <v>42000</v>
      </c>
      <c r="Q765">
        <f t="shared" si="35"/>
        <v>1200</v>
      </c>
      <c r="R765" t="s">
        <v>45</v>
      </c>
      <c r="S765" t="s">
        <v>51</v>
      </c>
    </row>
    <row r="766" spans="1:19" ht="18" x14ac:dyDescent="0.5">
      <c r="A766" t="s">
        <v>836</v>
      </c>
      <c r="B766" t="s">
        <v>1835</v>
      </c>
      <c r="C766" s="6">
        <v>45508</v>
      </c>
      <c r="D766" t="s">
        <v>2098</v>
      </c>
      <c r="E766" t="s">
        <v>2073</v>
      </c>
      <c r="F766" t="str">
        <f>_xlfn.XLOOKUP(E766,Table8[City],Table8[State])</f>
        <v>Maharashtra</v>
      </c>
      <c r="G766" t="str">
        <f>_xlfn.XLOOKUP(E766,Table8[City],Table8[Region])</f>
        <v>West</v>
      </c>
      <c r="H766" t="s">
        <v>20</v>
      </c>
      <c r="I766" t="str">
        <f>_xlfn.XLOOKUP(H766,Table6[Product],Table6[Category])</f>
        <v>Accessories</v>
      </c>
      <c r="J766" t="s">
        <v>57</v>
      </c>
      <c r="K766">
        <v>2</v>
      </c>
      <c r="L766">
        <f>_xlfn.XLOOKUP(H766,Table6[Product],Table6[Unit Price])</f>
        <v>3000</v>
      </c>
      <c r="M766">
        <f>_xlfn.XLOOKUP(H766,Table6[Product],Table6[Cost Price])</f>
        <v>1800</v>
      </c>
      <c r="N766" s="7">
        <v>0.22</v>
      </c>
      <c r="O766">
        <f t="shared" si="33"/>
        <v>4680</v>
      </c>
      <c r="P766">
        <f t="shared" si="34"/>
        <v>3600</v>
      </c>
      <c r="Q766">
        <f t="shared" si="35"/>
        <v>1080</v>
      </c>
      <c r="R766" t="s">
        <v>46</v>
      </c>
      <c r="S766" t="s">
        <v>49</v>
      </c>
    </row>
    <row r="767" spans="1:19" ht="18" x14ac:dyDescent="0.5">
      <c r="A767" t="s">
        <v>837</v>
      </c>
      <c r="B767" t="s">
        <v>1836</v>
      </c>
      <c r="C767" s="6">
        <v>45666</v>
      </c>
      <c r="D767" t="s">
        <v>2095</v>
      </c>
      <c r="E767" t="s">
        <v>2076</v>
      </c>
      <c r="F767" t="str">
        <f>_xlfn.XLOOKUP(E767,Table8[City],Table8[State])</f>
        <v>Tamil Nadu</v>
      </c>
      <c r="G767" t="str">
        <f>_xlfn.XLOOKUP(E767,Table8[City],Table8[Region])</f>
        <v>South</v>
      </c>
      <c r="H767" t="s">
        <v>20</v>
      </c>
      <c r="I767" t="str">
        <f>_xlfn.XLOOKUP(H767,Table6[Product],Table6[Category])</f>
        <v>Accessories</v>
      </c>
      <c r="J767" t="s">
        <v>58</v>
      </c>
      <c r="K767">
        <v>6</v>
      </c>
      <c r="L767">
        <f>_xlfn.XLOOKUP(H767,Table6[Product],Table6[Unit Price])</f>
        <v>3000</v>
      </c>
      <c r="M767">
        <f>_xlfn.XLOOKUP(H767,Table6[Product],Table6[Cost Price])</f>
        <v>1800</v>
      </c>
      <c r="N767" s="7">
        <v>0.02</v>
      </c>
      <c r="O767">
        <f t="shared" si="33"/>
        <v>17640</v>
      </c>
      <c r="P767">
        <f t="shared" si="34"/>
        <v>10800</v>
      </c>
      <c r="Q767">
        <f t="shared" si="35"/>
        <v>6840</v>
      </c>
      <c r="R767" t="s">
        <v>44</v>
      </c>
      <c r="S767" t="s">
        <v>51</v>
      </c>
    </row>
    <row r="768" spans="1:19" ht="18" x14ac:dyDescent="0.5">
      <c r="A768" t="s">
        <v>838</v>
      </c>
      <c r="B768" t="s">
        <v>1837</v>
      </c>
      <c r="C768" s="6">
        <v>45722</v>
      </c>
      <c r="D768" t="s">
        <v>69</v>
      </c>
      <c r="E768" t="s">
        <v>2075</v>
      </c>
      <c r="F768" t="str">
        <f>_xlfn.XLOOKUP(E768,Table8[City],Table8[State])</f>
        <v>Tamil Nadu</v>
      </c>
      <c r="G768" t="str">
        <f>_xlfn.XLOOKUP(E768,Table8[City],Table8[Region])</f>
        <v>South</v>
      </c>
      <c r="H768" t="s">
        <v>24</v>
      </c>
      <c r="I768" t="str">
        <f>_xlfn.XLOOKUP(H768,Table6[Product],Table6[Category])</f>
        <v>Accessories</v>
      </c>
      <c r="J768" t="s">
        <v>59</v>
      </c>
      <c r="K768">
        <v>8</v>
      </c>
      <c r="L768">
        <f>_xlfn.XLOOKUP(H768,Table6[Product],Table6[Unit Price])</f>
        <v>1500</v>
      </c>
      <c r="M768">
        <f>_xlfn.XLOOKUP(H768,Table6[Product],Table6[Cost Price])</f>
        <v>900</v>
      </c>
      <c r="N768" s="7">
        <v>7.0000000000000007E-2</v>
      </c>
      <c r="O768">
        <f t="shared" si="33"/>
        <v>11160</v>
      </c>
      <c r="P768">
        <f t="shared" si="34"/>
        <v>7200</v>
      </c>
      <c r="Q768">
        <f t="shared" si="35"/>
        <v>3960</v>
      </c>
      <c r="R768" t="s">
        <v>46</v>
      </c>
      <c r="S768" t="s">
        <v>52</v>
      </c>
    </row>
    <row r="769" spans="1:19" ht="18" x14ac:dyDescent="0.5">
      <c r="A769" t="s">
        <v>839</v>
      </c>
      <c r="B769" t="s">
        <v>1838</v>
      </c>
      <c r="C769" s="6">
        <v>45447</v>
      </c>
      <c r="D769" t="s">
        <v>2098</v>
      </c>
      <c r="E769" t="s">
        <v>2076</v>
      </c>
      <c r="F769" t="str">
        <f>_xlfn.XLOOKUP(E769,Table8[City],Table8[State])</f>
        <v>Tamil Nadu</v>
      </c>
      <c r="G769" t="str">
        <f>_xlfn.XLOOKUP(E769,Table8[City],Table8[Region])</f>
        <v>South</v>
      </c>
      <c r="H769" t="s">
        <v>16</v>
      </c>
      <c r="I769" t="str">
        <f>_xlfn.XLOOKUP(H769,Table6[Product],Table6[Category])</f>
        <v>Electronics</v>
      </c>
      <c r="J769" t="s">
        <v>57</v>
      </c>
      <c r="K769">
        <v>1</v>
      </c>
      <c r="L769">
        <f>_xlfn.XLOOKUP(H769,Table6[Product],Table6[Unit Price])</f>
        <v>65000</v>
      </c>
      <c r="M769">
        <f>_xlfn.XLOOKUP(H769,Table6[Product],Table6[Cost Price])</f>
        <v>52000</v>
      </c>
      <c r="N769" s="7">
        <v>0.09</v>
      </c>
      <c r="O769">
        <f t="shared" si="33"/>
        <v>59150</v>
      </c>
      <c r="P769">
        <f t="shared" si="34"/>
        <v>52000</v>
      </c>
      <c r="Q769">
        <f t="shared" si="35"/>
        <v>7150</v>
      </c>
      <c r="R769" t="s">
        <v>45</v>
      </c>
      <c r="S769" t="s">
        <v>51</v>
      </c>
    </row>
    <row r="770" spans="1:19" ht="18" x14ac:dyDescent="0.5">
      <c r="A770" t="s">
        <v>840</v>
      </c>
      <c r="B770" t="s">
        <v>1839</v>
      </c>
      <c r="C770" s="6">
        <v>45778</v>
      </c>
      <c r="D770" t="s">
        <v>59</v>
      </c>
      <c r="E770" t="s">
        <v>2074</v>
      </c>
      <c r="F770" t="str">
        <f>_xlfn.XLOOKUP(E770,Table8[City],Table8[State])</f>
        <v>Maharashtra</v>
      </c>
      <c r="G770" t="str">
        <f>_xlfn.XLOOKUP(E770,Table8[City],Table8[Region])</f>
        <v>West</v>
      </c>
      <c r="H770" t="s">
        <v>29</v>
      </c>
      <c r="I770" t="str">
        <f>_xlfn.XLOOKUP(H770,Table6[Product],Table6[Category])</f>
        <v>Electronics</v>
      </c>
      <c r="J770" t="s">
        <v>61</v>
      </c>
      <c r="K770">
        <v>3</v>
      </c>
      <c r="L770">
        <f>_xlfn.XLOOKUP(H770,Table6[Product],Table6[Unit Price])</f>
        <v>5000</v>
      </c>
      <c r="M770">
        <f>_xlfn.XLOOKUP(H770,Table6[Product],Table6[Cost Price])</f>
        <v>3200</v>
      </c>
      <c r="N770" s="7">
        <v>0.09</v>
      </c>
      <c r="O770">
        <f t="shared" si="33"/>
        <v>13650</v>
      </c>
      <c r="P770">
        <f t="shared" si="34"/>
        <v>9600</v>
      </c>
      <c r="Q770">
        <f t="shared" si="35"/>
        <v>4050</v>
      </c>
      <c r="R770" t="s">
        <v>47</v>
      </c>
      <c r="S770" t="s">
        <v>49</v>
      </c>
    </row>
    <row r="771" spans="1:19" ht="18" x14ac:dyDescent="0.5">
      <c r="A771" t="s">
        <v>841</v>
      </c>
      <c r="B771" t="s">
        <v>1840</v>
      </c>
      <c r="C771" s="6">
        <v>45900</v>
      </c>
      <c r="D771" t="s">
        <v>2099</v>
      </c>
      <c r="E771" t="s">
        <v>2077</v>
      </c>
      <c r="F771" t="str">
        <f>_xlfn.XLOOKUP(E771,Table8[City],Table8[State])</f>
        <v>Telangana</v>
      </c>
      <c r="G771" t="str">
        <f>_xlfn.XLOOKUP(E771,Table8[City],Table8[Region])</f>
        <v>South</v>
      </c>
      <c r="H771" t="s">
        <v>25</v>
      </c>
      <c r="I771" t="str">
        <f>_xlfn.XLOOKUP(H771,Table6[Product],Table6[Category])</f>
        <v>Accessories</v>
      </c>
      <c r="J771" t="s">
        <v>57</v>
      </c>
      <c r="K771">
        <v>5</v>
      </c>
      <c r="L771">
        <f>_xlfn.XLOOKUP(H771,Table6[Product],Table6[Unit Price])</f>
        <v>800</v>
      </c>
      <c r="M771">
        <f>_xlfn.XLOOKUP(H771,Table6[Product],Table6[Cost Price])</f>
        <v>450</v>
      </c>
      <c r="N771" s="7">
        <v>0.03</v>
      </c>
      <c r="O771">
        <f t="shared" ref="O771:O834" si="36">(L771*K771)*(1-N771)</f>
        <v>3880</v>
      </c>
      <c r="P771">
        <f t="shared" ref="P771:P834" si="37">M771*K771</f>
        <v>2250</v>
      </c>
      <c r="Q771">
        <f t="shared" ref="Q771:Q834" si="38">O771-P771</f>
        <v>1630</v>
      </c>
      <c r="R771" t="s">
        <v>45</v>
      </c>
      <c r="S771" t="s">
        <v>50</v>
      </c>
    </row>
    <row r="772" spans="1:19" ht="18" x14ac:dyDescent="0.5">
      <c r="A772" t="s">
        <v>842</v>
      </c>
      <c r="B772" t="s">
        <v>1841</v>
      </c>
      <c r="C772" s="6">
        <v>45960</v>
      </c>
      <c r="D772" t="s">
        <v>2092</v>
      </c>
      <c r="E772" t="s">
        <v>2078</v>
      </c>
      <c r="F772" t="str">
        <f>_xlfn.XLOOKUP(E772,Table8[City],Table8[State])</f>
        <v>Telangana</v>
      </c>
      <c r="G772" t="str">
        <f>_xlfn.XLOOKUP(E772,Table8[City],Table8[Region])</f>
        <v>South</v>
      </c>
      <c r="H772" t="s">
        <v>20</v>
      </c>
      <c r="I772" t="str">
        <f>_xlfn.XLOOKUP(H772,Table6[Product],Table6[Category])</f>
        <v>Accessories</v>
      </c>
      <c r="J772" t="s">
        <v>54</v>
      </c>
      <c r="K772">
        <v>5</v>
      </c>
      <c r="L772">
        <f>_xlfn.XLOOKUP(H772,Table6[Product],Table6[Unit Price])</f>
        <v>3000</v>
      </c>
      <c r="M772">
        <f>_xlfn.XLOOKUP(H772,Table6[Product],Table6[Cost Price])</f>
        <v>1800</v>
      </c>
      <c r="N772" s="7">
        <v>0.2</v>
      </c>
      <c r="O772">
        <f t="shared" si="36"/>
        <v>12000</v>
      </c>
      <c r="P772">
        <f t="shared" si="37"/>
        <v>9000</v>
      </c>
      <c r="Q772">
        <f t="shared" si="38"/>
        <v>3000</v>
      </c>
      <c r="R772" t="s">
        <v>44</v>
      </c>
      <c r="S772" t="s">
        <v>51</v>
      </c>
    </row>
    <row r="773" spans="1:19" ht="18" x14ac:dyDescent="0.5">
      <c r="A773" t="s">
        <v>843</v>
      </c>
      <c r="B773" t="s">
        <v>1842</v>
      </c>
      <c r="C773" s="6">
        <v>45905</v>
      </c>
      <c r="D773" t="s">
        <v>2099</v>
      </c>
      <c r="E773" t="s">
        <v>2072</v>
      </c>
      <c r="F773" t="str">
        <f>_xlfn.XLOOKUP(E773,Table8[City],Table8[State])</f>
        <v>Karnataka</v>
      </c>
      <c r="G773" t="str">
        <f>_xlfn.XLOOKUP(E773,Table8[City],Table8[Region])</f>
        <v>South</v>
      </c>
      <c r="H773" t="s">
        <v>26</v>
      </c>
      <c r="I773" t="str">
        <f>_xlfn.XLOOKUP(H773,Table6[Product],Table6[Category])</f>
        <v>Office</v>
      </c>
      <c r="J773" t="s">
        <v>55</v>
      </c>
      <c r="K773">
        <v>9</v>
      </c>
      <c r="L773">
        <f>_xlfn.XLOOKUP(H773,Table6[Product],Table6[Unit Price])</f>
        <v>15000</v>
      </c>
      <c r="M773">
        <f>_xlfn.XLOOKUP(H773,Table6[Product],Table6[Cost Price])</f>
        <v>11500</v>
      </c>
      <c r="N773" s="7">
        <v>0.16</v>
      </c>
      <c r="O773">
        <f t="shared" si="36"/>
        <v>113400</v>
      </c>
      <c r="P773">
        <f t="shared" si="37"/>
        <v>103500</v>
      </c>
      <c r="Q773">
        <f t="shared" si="38"/>
        <v>9900</v>
      </c>
      <c r="R773" t="s">
        <v>45</v>
      </c>
      <c r="S773" t="s">
        <v>49</v>
      </c>
    </row>
    <row r="774" spans="1:19" ht="18" x14ac:dyDescent="0.5">
      <c r="A774" t="s">
        <v>844</v>
      </c>
      <c r="B774" t="s">
        <v>1843</v>
      </c>
      <c r="C774" s="6">
        <v>45871</v>
      </c>
      <c r="D774" t="s">
        <v>2095</v>
      </c>
      <c r="E774" t="s">
        <v>2077</v>
      </c>
      <c r="F774" t="str">
        <f>_xlfn.XLOOKUP(E774,Table8[City],Table8[State])</f>
        <v>Telangana</v>
      </c>
      <c r="G774" t="str">
        <f>_xlfn.XLOOKUP(E774,Table8[City],Table8[Region])</f>
        <v>South</v>
      </c>
      <c r="H774" t="s">
        <v>29</v>
      </c>
      <c r="I774" t="str">
        <f>_xlfn.XLOOKUP(H774,Table6[Product],Table6[Category])</f>
        <v>Electronics</v>
      </c>
      <c r="J774" t="s">
        <v>61</v>
      </c>
      <c r="K774">
        <v>10</v>
      </c>
      <c r="L774">
        <f>_xlfn.XLOOKUP(H774,Table6[Product],Table6[Unit Price])</f>
        <v>5000</v>
      </c>
      <c r="M774">
        <f>_xlfn.XLOOKUP(H774,Table6[Product],Table6[Cost Price])</f>
        <v>3200</v>
      </c>
      <c r="N774" s="7">
        <v>0.17</v>
      </c>
      <c r="O774">
        <f t="shared" si="36"/>
        <v>41500</v>
      </c>
      <c r="P774">
        <f t="shared" si="37"/>
        <v>32000</v>
      </c>
      <c r="Q774">
        <f t="shared" si="38"/>
        <v>9500</v>
      </c>
      <c r="R774" t="s">
        <v>43</v>
      </c>
      <c r="S774" t="s">
        <v>51</v>
      </c>
    </row>
    <row r="775" spans="1:19" ht="18" x14ac:dyDescent="0.5">
      <c r="A775" t="s">
        <v>845</v>
      </c>
      <c r="B775" t="s">
        <v>1844</v>
      </c>
      <c r="C775" s="6">
        <v>45601</v>
      </c>
      <c r="D775" t="s">
        <v>2083</v>
      </c>
      <c r="E775" t="s">
        <v>2075</v>
      </c>
      <c r="F775" t="str">
        <f>_xlfn.XLOOKUP(E775,Table8[City],Table8[State])</f>
        <v>Tamil Nadu</v>
      </c>
      <c r="G775" t="str">
        <f>_xlfn.XLOOKUP(E775,Table8[City],Table8[Region])</f>
        <v>South</v>
      </c>
      <c r="H775" t="s">
        <v>19</v>
      </c>
      <c r="I775" t="str">
        <f>_xlfn.XLOOKUP(H775,Table6[Product],Table6[Category])</f>
        <v>Electronics</v>
      </c>
      <c r="J775" t="s">
        <v>55</v>
      </c>
      <c r="K775">
        <v>2</v>
      </c>
      <c r="L775">
        <f>_xlfn.XLOOKUP(H775,Table6[Product],Table6[Unit Price])</f>
        <v>25000</v>
      </c>
      <c r="M775">
        <f>_xlfn.XLOOKUP(H775,Table6[Product],Table6[Cost Price])</f>
        <v>20000</v>
      </c>
      <c r="N775" s="7">
        <v>0.28999999999999998</v>
      </c>
      <c r="O775">
        <f t="shared" si="36"/>
        <v>35500</v>
      </c>
      <c r="P775">
        <f t="shared" si="37"/>
        <v>40000</v>
      </c>
      <c r="Q775">
        <f t="shared" si="38"/>
        <v>-4500</v>
      </c>
      <c r="R775" t="s">
        <v>47</v>
      </c>
      <c r="S775" t="s">
        <v>49</v>
      </c>
    </row>
    <row r="776" spans="1:19" ht="18" x14ac:dyDescent="0.5">
      <c r="A776" t="s">
        <v>846</v>
      </c>
      <c r="B776" t="s">
        <v>1845</v>
      </c>
      <c r="C776" s="6">
        <v>45875</v>
      </c>
      <c r="D776" t="s">
        <v>2085</v>
      </c>
      <c r="E776" t="s">
        <v>2078</v>
      </c>
      <c r="F776" t="str">
        <f>_xlfn.XLOOKUP(E776,Table8[City],Table8[State])</f>
        <v>Telangana</v>
      </c>
      <c r="G776" t="str">
        <f>_xlfn.XLOOKUP(E776,Table8[City],Table8[Region])</f>
        <v>South</v>
      </c>
      <c r="H776" t="s">
        <v>26</v>
      </c>
      <c r="I776" t="str">
        <f>_xlfn.XLOOKUP(H776,Table6[Product],Table6[Category])</f>
        <v>Office</v>
      </c>
      <c r="J776" t="s">
        <v>58</v>
      </c>
      <c r="K776">
        <v>5</v>
      </c>
      <c r="L776">
        <f>_xlfn.XLOOKUP(H776,Table6[Product],Table6[Unit Price])</f>
        <v>15000</v>
      </c>
      <c r="M776">
        <f>_xlfn.XLOOKUP(H776,Table6[Product],Table6[Cost Price])</f>
        <v>11500</v>
      </c>
      <c r="N776" s="7">
        <v>0.17</v>
      </c>
      <c r="O776">
        <f t="shared" si="36"/>
        <v>62250</v>
      </c>
      <c r="P776">
        <f t="shared" si="37"/>
        <v>57500</v>
      </c>
      <c r="Q776">
        <f t="shared" si="38"/>
        <v>4750</v>
      </c>
      <c r="R776" t="s">
        <v>44</v>
      </c>
      <c r="S776" t="s">
        <v>52</v>
      </c>
    </row>
    <row r="777" spans="1:19" ht="18" x14ac:dyDescent="0.5">
      <c r="A777" t="s">
        <v>847</v>
      </c>
      <c r="B777" t="s">
        <v>1846</v>
      </c>
      <c r="C777" s="6">
        <v>45605</v>
      </c>
      <c r="D777" t="s">
        <v>69</v>
      </c>
      <c r="E777" t="s">
        <v>2105</v>
      </c>
      <c r="F777" t="str">
        <f>_xlfn.XLOOKUP(E777,Table8[City],Table8[State])</f>
        <v>Rajasthan</v>
      </c>
      <c r="G777" t="str">
        <f>_xlfn.XLOOKUP(E777,Table8[City],Table8[Region])</f>
        <v>North</v>
      </c>
      <c r="H777" t="s">
        <v>25</v>
      </c>
      <c r="I777" t="str">
        <f>_xlfn.XLOOKUP(H777,Table6[Product],Table6[Category])</f>
        <v>Accessories</v>
      </c>
      <c r="J777" t="s">
        <v>62</v>
      </c>
      <c r="K777">
        <v>2</v>
      </c>
      <c r="L777">
        <f>_xlfn.XLOOKUP(H777,Table6[Product],Table6[Unit Price])</f>
        <v>800</v>
      </c>
      <c r="M777">
        <f>_xlfn.XLOOKUP(H777,Table6[Product],Table6[Cost Price])</f>
        <v>450</v>
      </c>
      <c r="N777" s="7">
        <v>0.13</v>
      </c>
      <c r="O777">
        <f t="shared" si="36"/>
        <v>1392</v>
      </c>
      <c r="P777">
        <f t="shared" si="37"/>
        <v>900</v>
      </c>
      <c r="Q777">
        <f t="shared" si="38"/>
        <v>492</v>
      </c>
      <c r="R777" t="s">
        <v>47</v>
      </c>
      <c r="S777" t="s">
        <v>51</v>
      </c>
    </row>
    <row r="778" spans="1:19" ht="18" x14ac:dyDescent="0.5">
      <c r="A778" t="s">
        <v>848</v>
      </c>
      <c r="B778" t="s">
        <v>1847</v>
      </c>
      <c r="C778" s="6">
        <v>45695</v>
      </c>
      <c r="D778" t="s">
        <v>2097</v>
      </c>
      <c r="E778" t="s">
        <v>2075</v>
      </c>
      <c r="F778" t="str">
        <f>_xlfn.XLOOKUP(E778,Table8[City],Table8[State])</f>
        <v>Tamil Nadu</v>
      </c>
      <c r="G778" t="str">
        <f>_xlfn.XLOOKUP(E778,Table8[City],Table8[Region])</f>
        <v>South</v>
      </c>
      <c r="H778" t="s">
        <v>28</v>
      </c>
      <c r="I778" t="str">
        <f>_xlfn.XLOOKUP(H778,Table6[Product],Table6[Category])</f>
        <v>Office</v>
      </c>
      <c r="J778" t="s">
        <v>58</v>
      </c>
      <c r="K778">
        <v>8</v>
      </c>
      <c r="L778">
        <f>_xlfn.XLOOKUP(H778,Table6[Product],Table6[Unit Price])</f>
        <v>18000</v>
      </c>
      <c r="M778">
        <f>_xlfn.XLOOKUP(H778,Table6[Product],Table6[Cost Price])</f>
        <v>14000</v>
      </c>
      <c r="N778" s="7">
        <v>0.02</v>
      </c>
      <c r="O778">
        <f t="shared" si="36"/>
        <v>141120</v>
      </c>
      <c r="P778">
        <f t="shared" si="37"/>
        <v>112000</v>
      </c>
      <c r="Q778">
        <f t="shared" si="38"/>
        <v>29120</v>
      </c>
      <c r="R778" t="s">
        <v>45</v>
      </c>
      <c r="S778" t="s">
        <v>50</v>
      </c>
    </row>
    <row r="779" spans="1:19" ht="18" x14ac:dyDescent="0.5">
      <c r="A779" t="s">
        <v>849</v>
      </c>
      <c r="B779" t="s">
        <v>1848</v>
      </c>
      <c r="C779" s="6">
        <v>45743</v>
      </c>
      <c r="D779" t="s">
        <v>2097</v>
      </c>
      <c r="E779" t="s">
        <v>70</v>
      </c>
      <c r="F779" t="str">
        <f>_xlfn.XLOOKUP(E779,Table8[City],Table8[State])</f>
        <v>Karnataka</v>
      </c>
      <c r="G779" t="str">
        <f>_xlfn.XLOOKUP(E779,Table8[City],Table8[Region])</f>
        <v>South</v>
      </c>
      <c r="H779" t="s">
        <v>26</v>
      </c>
      <c r="I779" t="str">
        <f>_xlfn.XLOOKUP(H779,Table6[Product],Table6[Category])</f>
        <v>Office</v>
      </c>
      <c r="J779" t="s">
        <v>60</v>
      </c>
      <c r="K779">
        <v>8</v>
      </c>
      <c r="L779">
        <f>_xlfn.XLOOKUP(H779,Table6[Product],Table6[Unit Price])</f>
        <v>15000</v>
      </c>
      <c r="M779">
        <f>_xlfn.XLOOKUP(H779,Table6[Product],Table6[Cost Price])</f>
        <v>11500</v>
      </c>
      <c r="N779" s="7">
        <v>0.18</v>
      </c>
      <c r="O779">
        <f t="shared" si="36"/>
        <v>98400.000000000015</v>
      </c>
      <c r="P779">
        <f t="shared" si="37"/>
        <v>92000</v>
      </c>
      <c r="Q779">
        <f t="shared" si="38"/>
        <v>6400.0000000000146</v>
      </c>
      <c r="R779" t="s">
        <v>45</v>
      </c>
      <c r="S779" t="s">
        <v>50</v>
      </c>
    </row>
    <row r="780" spans="1:19" ht="18" x14ac:dyDescent="0.5">
      <c r="A780" t="s">
        <v>850</v>
      </c>
      <c r="B780" t="s">
        <v>1849</v>
      </c>
      <c r="C780" s="6">
        <v>45432</v>
      </c>
      <c r="D780" t="s">
        <v>63</v>
      </c>
      <c r="E780" t="s">
        <v>2074</v>
      </c>
      <c r="F780" t="str">
        <f>_xlfn.XLOOKUP(E780,Table8[City],Table8[State])</f>
        <v>Maharashtra</v>
      </c>
      <c r="G780" t="str">
        <f>_xlfn.XLOOKUP(E780,Table8[City],Table8[Region])</f>
        <v>West</v>
      </c>
      <c r="H780" t="s">
        <v>16</v>
      </c>
      <c r="I780" t="str">
        <f>_xlfn.XLOOKUP(H780,Table6[Product],Table6[Category])</f>
        <v>Electronics</v>
      </c>
      <c r="J780" t="s">
        <v>55</v>
      </c>
      <c r="K780">
        <v>4</v>
      </c>
      <c r="L780">
        <f>_xlfn.XLOOKUP(H780,Table6[Product],Table6[Unit Price])</f>
        <v>65000</v>
      </c>
      <c r="M780">
        <f>_xlfn.XLOOKUP(H780,Table6[Product],Table6[Cost Price])</f>
        <v>52000</v>
      </c>
      <c r="N780" s="7">
        <v>0.06</v>
      </c>
      <c r="O780">
        <f t="shared" si="36"/>
        <v>244400</v>
      </c>
      <c r="P780">
        <f t="shared" si="37"/>
        <v>208000</v>
      </c>
      <c r="Q780">
        <f t="shared" si="38"/>
        <v>36400</v>
      </c>
      <c r="R780" t="s">
        <v>44</v>
      </c>
      <c r="S780" t="s">
        <v>52</v>
      </c>
    </row>
    <row r="781" spans="1:19" ht="18" x14ac:dyDescent="0.5">
      <c r="A781" t="s">
        <v>851</v>
      </c>
      <c r="B781" t="s">
        <v>1850</v>
      </c>
      <c r="C781" s="6">
        <v>45979</v>
      </c>
      <c r="D781" t="s">
        <v>2097</v>
      </c>
      <c r="E781" t="s">
        <v>2105</v>
      </c>
      <c r="F781" t="str">
        <f>_xlfn.XLOOKUP(E781,Table8[City],Table8[State])</f>
        <v>Rajasthan</v>
      </c>
      <c r="G781" t="str">
        <f>_xlfn.XLOOKUP(E781,Table8[City],Table8[Region])</f>
        <v>North</v>
      </c>
      <c r="H781" t="s">
        <v>19</v>
      </c>
      <c r="I781" t="str">
        <f>_xlfn.XLOOKUP(H781,Table6[Product],Table6[Category])</f>
        <v>Electronics</v>
      </c>
      <c r="J781" t="s">
        <v>61</v>
      </c>
      <c r="K781">
        <v>3</v>
      </c>
      <c r="L781">
        <f>_xlfn.XLOOKUP(H781,Table6[Product],Table6[Unit Price])</f>
        <v>25000</v>
      </c>
      <c r="M781">
        <f>_xlfn.XLOOKUP(H781,Table6[Product],Table6[Cost Price])</f>
        <v>20000</v>
      </c>
      <c r="N781" s="7">
        <v>0.3</v>
      </c>
      <c r="O781">
        <f t="shared" si="36"/>
        <v>52500</v>
      </c>
      <c r="P781">
        <f t="shared" si="37"/>
        <v>60000</v>
      </c>
      <c r="Q781">
        <f t="shared" si="38"/>
        <v>-7500</v>
      </c>
      <c r="R781" t="s">
        <v>46</v>
      </c>
      <c r="S781" t="s">
        <v>49</v>
      </c>
    </row>
    <row r="782" spans="1:19" ht="18" x14ac:dyDescent="0.5">
      <c r="A782" t="s">
        <v>852</v>
      </c>
      <c r="B782" t="s">
        <v>1851</v>
      </c>
      <c r="C782" s="6">
        <v>45396</v>
      </c>
      <c r="D782" t="s">
        <v>2094</v>
      </c>
      <c r="E782" t="s">
        <v>2073</v>
      </c>
      <c r="F782" t="str">
        <f>_xlfn.XLOOKUP(E782,Table8[City],Table8[State])</f>
        <v>Maharashtra</v>
      </c>
      <c r="G782" t="str">
        <f>_xlfn.XLOOKUP(E782,Table8[City],Table8[Region])</f>
        <v>West</v>
      </c>
      <c r="H782" t="s">
        <v>19</v>
      </c>
      <c r="I782" t="str">
        <f>_xlfn.XLOOKUP(H782,Table6[Product],Table6[Category])</f>
        <v>Electronics</v>
      </c>
      <c r="J782" t="s">
        <v>58</v>
      </c>
      <c r="K782">
        <v>10</v>
      </c>
      <c r="L782">
        <f>_xlfn.XLOOKUP(H782,Table6[Product],Table6[Unit Price])</f>
        <v>25000</v>
      </c>
      <c r="M782">
        <f>_xlfn.XLOOKUP(H782,Table6[Product],Table6[Cost Price])</f>
        <v>20000</v>
      </c>
      <c r="N782" s="7">
        <v>0.26</v>
      </c>
      <c r="O782">
        <f t="shared" si="36"/>
        <v>185000</v>
      </c>
      <c r="P782">
        <f t="shared" si="37"/>
        <v>200000</v>
      </c>
      <c r="Q782">
        <f t="shared" si="38"/>
        <v>-15000</v>
      </c>
      <c r="R782" t="s">
        <v>43</v>
      </c>
      <c r="S782" t="s">
        <v>51</v>
      </c>
    </row>
    <row r="783" spans="1:19" ht="18" x14ac:dyDescent="0.5">
      <c r="A783" t="s">
        <v>853</v>
      </c>
      <c r="B783" t="s">
        <v>1852</v>
      </c>
      <c r="C783" s="6">
        <v>45430</v>
      </c>
      <c r="D783" t="s">
        <v>2098</v>
      </c>
      <c r="E783" t="s">
        <v>2075</v>
      </c>
      <c r="F783" t="str">
        <f>_xlfn.XLOOKUP(E783,Table8[City],Table8[State])</f>
        <v>Tamil Nadu</v>
      </c>
      <c r="G783" t="str">
        <f>_xlfn.XLOOKUP(E783,Table8[City],Table8[Region])</f>
        <v>South</v>
      </c>
      <c r="H783" t="s">
        <v>18</v>
      </c>
      <c r="I783" t="str">
        <f>_xlfn.XLOOKUP(H783,Table6[Product],Table6[Category])</f>
        <v>Electronics</v>
      </c>
      <c r="J783" t="s">
        <v>56</v>
      </c>
      <c r="K783">
        <v>10</v>
      </c>
      <c r="L783">
        <f>_xlfn.XLOOKUP(H783,Table6[Product],Table6[Unit Price])</f>
        <v>35000</v>
      </c>
      <c r="M783">
        <f>_xlfn.XLOOKUP(H783,Table6[Product],Table6[Cost Price])</f>
        <v>28000</v>
      </c>
      <c r="N783" s="7">
        <v>0.21</v>
      </c>
      <c r="O783">
        <f t="shared" si="36"/>
        <v>276500</v>
      </c>
      <c r="P783">
        <f t="shared" si="37"/>
        <v>280000</v>
      </c>
      <c r="Q783">
        <f t="shared" si="38"/>
        <v>-3500</v>
      </c>
      <c r="R783" t="s">
        <v>45</v>
      </c>
      <c r="S783" t="s">
        <v>52</v>
      </c>
    </row>
    <row r="784" spans="1:19" ht="18" x14ac:dyDescent="0.5">
      <c r="A784" t="s">
        <v>854</v>
      </c>
      <c r="B784" t="s">
        <v>1853</v>
      </c>
      <c r="C784" s="6">
        <v>45444</v>
      </c>
      <c r="D784" t="s">
        <v>2089</v>
      </c>
      <c r="E784" t="s">
        <v>2080</v>
      </c>
      <c r="F784" t="str">
        <f>_xlfn.XLOOKUP(E784,Table8[City],Table8[State])</f>
        <v>Gujarat</v>
      </c>
      <c r="G784" t="str">
        <f>_xlfn.XLOOKUP(E784,Table8[City],Table8[Region])</f>
        <v>West</v>
      </c>
      <c r="H784" t="s">
        <v>22</v>
      </c>
      <c r="I784" t="str">
        <f>_xlfn.XLOOKUP(H784,Table6[Product],Table6[Category])</f>
        <v>Wearables</v>
      </c>
      <c r="J784" t="s">
        <v>58</v>
      </c>
      <c r="K784">
        <v>6</v>
      </c>
      <c r="L784">
        <f>_xlfn.XLOOKUP(H784,Table6[Product],Table6[Unit Price])</f>
        <v>12000</v>
      </c>
      <c r="M784">
        <f>_xlfn.XLOOKUP(H784,Table6[Product],Table6[Cost Price])</f>
        <v>8500</v>
      </c>
      <c r="N784" s="7">
        <v>0.08</v>
      </c>
      <c r="O784">
        <f t="shared" si="36"/>
        <v>66240</v>
      </c>
      <c r="P784">
        <f t="shared" si="37"/>
        <v>51000</v>
      </c>
      <c r="Q784">
        <f t="shared" si="38"/>
        <v>15240</v>
      </c>
      <c r="R784" t="s">
        <v>43</v>
      </c>
      <c r="S784" t="s">
        <v>49</v>
      </c>
    </row>
    <row r="785" spans="1:19" ht="18" x14ac:dyDescent="0.5">
      <c r="A785" t="s">
        <v>855</v>
      </c>
      <c r="B785" t="s">
        <v>1854</v>
      </c>
      <c r="C785" s="6">
        <v>45836</v>
      </c>
      <c r="D785" t="s">
        <v>2095</v>
      </c>
      <c r="E785" t="s">
        <v>2072</v>
      </c>
      <c r="F785" t="str">
        <f>_xlfn.XLOOKUP(E785,Table8[City],Table8[State])</f>
        <v>Karnataka</v>
      </c>
      <c r="G785" t="str">
        <f>_xlfn.XLOOKUP(E785,Table8[City],Table8[Region])</f>
        <v>South</v>
      </c>
      <c r="H785" t="s">
        <v>28</v>
      </c>
      <c r="I785" t="str">
        <f>_xlfn.XLOOKUP(H785,Table6[Product],Table6[Category])</f>
        <v>Office</v>
      </c>
      <c r="J785" t="s">
        <v>61</v>
      </c>
      <c r="K785">
        <v>6</v>
      </c>
      <c r="L785">
        <f>_xlfn.XLOOKUP(H785,Table6[Product],Table6[Unit Price])</f>
        <v>18000</v>
      </c>
      <c r="M785">
        <f>_xlfn.XLOOKUP(H785,Table6[Product],Table6[Cost Price])</f>
        <v>14000</v>
      </c>
      <c r="N785" s="7">
        <v>0.23</v>
      </c>
      <c r="O785">
        <f t="shared" si="36"/>
        <v>83160</v>
      </c>
      <c r="P785">
        <f t="shared" si="37"/>
        <v>84000</v>
      </c>
      <c r="Q785">
        <f t="shared" si="38"/>
        <v>-840</v>
      </c>
      <c r="R785" t="s">
        <v>47</v>
      </c>
      <c r="S785" t="s">
        <v>50</v>
      </c>
    </row>
    <row r="786" spans="1:19" ht="18" x14ac:dyDescent="0.5">
      <c r="A786" t="s">
        <v>856</v>
      </c>
      <c r="B786" t="s">
        <v>1855</v>
      </c>
      <c r="C786" s="6">
        <v>45868</v>
      </c>
      <c r="D786" t="s">
        <v>63</v>
      </c>
      <c r="E786" t="s">
        <v>2080</v>
      </c>
      <c r="F786" t="str">
        <f>_xlfn.XLOOKUP(E786,Table8[City],Table8[State])</f>
        <v>Gujarat</v>
      </c>
      <c r="G786" t="str">
        <f>_xlfn.XLOOKUP(E786,Table8[City],Table8[Region])</f>
        <v>West</v>
      </c>
      <c r="H786" t="s">
        <v>16</v>
      </c>
      <c r="I786" t="str">
        <f>_xlfn.XLOOKUP(H786,Table6[Product],Table6[Category])</f>
        <v>Electronics</v>
      </c>
      <c r="J786" t="s">
        <v>54</v>
      </c>
      <c r="K786">
        <v>2</v>
      </c>
      <c r="L786">
        <f>_xlfn.XLOOKUP(H786,Table6[Product],Table6[Unit Price])</f>
        <v>65000</v>
      </c>
      <c r="M786">
        <f>_xlfn.XLOOKUP(H786,Table6[Product],Table6[Cost Price])</f>
        <v>52000</v>
      </c>
      <c r="N786" s="7">
        <v>0.14000000000000001</v>
      </c>
      <c r="O786">
        <f t="shared" si="36"/>
        <v>111800</v>
      </c>
      <c r="P786">
        <f t="shared" si="37"/>
        <v>104000</v>
      </c>
      <c r="Q786">
        <f t="shared" si="38"/>
        <v>7800</v>
      </c>
      <c r="R786" t="s">
        <v>43</v>
      </c>
      <c r="S786" t="s">
        <v>52</v>
      </c>
    </row>
    <row r="787" spans="1:19" ht="18" x14ac:dyDescent="0.5">
      <c r="A787" t="s">
        <v>857</v>
      </c>
      <c r="B787" t="s">
        <v>1856</v>
      </c>
      <c r="C787" s="6">
        <v>45936</v>
      </c>
      <c r="D787" t="s">
        <v>2099</v>
      </c>
      <c r="E787" t="s">
        <v>2072</v>
      </c>
      <c r="F787" t="str">
        <f>_xlfn.XLOOKUP(E787,Table8[City],Table8[State])</f>
        <v>Karnataka</v>
      </c>
      <c r="G787" t="str">
        <f>_xlfn.XLOOKUP(E787,Table8[City],Table8[Region])</f>
        <v>South</v>
      </c>
      <c r="H787" t="s">
        <v>24</v>
      </c>
      <c r="I787" t="str">
        <f>_xlfn.XLOOKUP(H787,Table6[Product],Table6[Category])</f>
        <v>Accessories</v>
      </c>
      <c r="J787" t="s">
        <v>63</v>
      </c>
      <c r="K787">
        <v>5</v>
      </c>
      <c r="L787">
        <f>_xlfn.XLOOKUP(H787,Table6[Product],Table6[Unit Price])</f>
        <v>1500</v>
      </c>
      <c r="M787">
        <f>_xlfn.XLOOKUP(H787,Table6[Product],Table6[Cost Price])</f>
        <v>900</v>
      </c>
      <c r="N787" s="7">
        <v>0.15</v>
      </c>
      <c r="O787">
        <f t="shared" si="36"/>
        <v>6375</v>
      </c>
      <c r="P787">
        <f t="shared" si="37"/>
        <v>4500</v>
      </c>
      <c r="Q787">
        <f t="shared" si="38"/>
        <v>1875</v>
      </c>
      <c r="R787" t="s">
        <v>45</v>
      </c>
      <c r="S787" t="s">
        <v>52</v>
      </c>
    </row>
    <row r="788" spans="1:19" ht="18" x14ac:dyDescent="0.5">
      <c r="A788" t="s">
        <v>858</v>
      </c>
      <c r="B788" t="s">
        <v>1857</v>
      </c>
      <c r="C788" s="6">
        <v>45791</v>
      </c>
      <c r="D788" t="s">
        <v>2086</v>
      </c>
      <c r="E788" t="s">
        <v>2077</v>
      </c>
      <c r="F788" t="str">
        <f>_xlfn.XLOOKUP(E788,Table8[City],Table8[State])</f>
        <v>Telangana</v>
      </c>
      <c r="G788" t="str">
        <f>_xlfn.XLOOKUP(E788,Table8[City],Table8[Region])</f>
        <v>South</v>
      </c>
      <c r="H788" t="s">
        <v>18</v>
      </c>
      <c r="I788" t="str">
        <f>_xlfn.XLOOKUP(H788,Table6[Product],Table6[Category])</f>
        <v>Electronics</v>
      </c>
      <c r="J788" t="s">
        <v>54</v>
      </c>
      <c r="K788">
        <v>5</v>
      </c>
      <c r="L788">
        <f>_xlfn.XLOOKUP(H788,Table6[Product],Table6[Unit Price])</f>
        <v>35000</v>
      </c>
      <c r="M788">
        <f>_xlfn.XLOOKUP(H788,Table6[Product],Table6[Cost Price])</f>
        <v>28000</v>
      </c>
      <c r="N788" s="7">
        <v>7.0000000000000007E-2</v>
      </c>
      <c r="O788">
        <f t="shared" si="36"/>
        <v>162750</v>
      </c>
      <c r="P788">
        <f t="shared" si="37"/>
        <v>140000</v>
      </c>
      <c r="Q788">
        <f t="shared" si="38"/>
        <v>22750</v>
      </c>
      <c r="R788" t="s">
        <v>46</v>
      </c>
      <c r="S788" t="s">
        <v>49</v>
      </c>
    </row>
    <row r="789" spans="1:19" ht="18" x14ac:dyDescent="0.5">
      <c r="A789" t="s">
        <v>859</v>
      </c>
      <c r="B789" t="s">
        <v>1858</v>
      </c>
      <c r="C789" s="6">
        <v>45527</v>
      </c>
      <c r="D789" t="s">
        <v>2096</v>
      </c>
      <c r="E789" t="s">
        <v>2076</v>
      </c>
      <c r="F789" t="str">
        <f>_xlfn.XLOOKUP(E789,Table8[City],Table8[State])</f>
        <v>Tamil Nadu</v>
      </c>
      <c r="G789" t="str">
        <f>_xlfn.XLOOKUP(E789,Table8[City],Table8[Region])</f>
        <v>South</v>
      </c>
      <c r="H789" t="s">
        <v>22</v>
      </c>
      <c r="I789" t="str">
        <f>_xlfn.XLOOKUP(H789,Table6[Product],Table6[Category])</f>
        <v>Wearables</v>
      </c>
      <c r="J789" t="s">
        <v>61</v>
      </c>
      <c r="K789">
        <v>5</v>
      </c>
      <c r="L789">
        <f>_xlfn.XLOOKUP(H789,Table6[Product],Table6[Unit Price])</f>
        <v>12000</v>
      </c>
      <c r="M789">
        <f>_xlfn.XLOOKUP(H789,Table6[Product],Table6[Cost Price])</f>
        <v>8500</v>
      </c>
      <c r="N789" s="7">
        <v>0.15</v>
      </c>
      <c r="O789">
        <f t="shared" si="36"/>
        <v>51000</v>
      </c>
      <c r="P789">
        <f t="shared" si="37"/>
        <v>42500</v>
      </c>
      <c r="Q789">
        <f t="shared" si="38"/>
        <v>8500</v>
      </c>
      <c r="R789" t="s">
        <v>46</v>
      </c>
      <c r="S789" t="s">
        <v>50</v>
      </c>
    </row>
    <row r="790" spans="1:19" ht="18" x14ac:dyDescent="0.5">
      <c r="A790" t="s">
        <v>860</v>
      </c>
      <c r="B790" t="s">
        <v>1859</v>
      </c>
      <c r="C790" s="6">
        <v>45816</v>
      </c>
      <c r="D790" t="s">
        <v>2092</v>
      </c>
      <c r="E790" t="s">
        <v>2073</v>
      </c>
      <c r="F790" t="str">
        <f>_xlfn.XLOOKUP(E790,Table8[City],Table8[State])</f>
        <v>Maharashtra</v>
      </c>
      <c r="G790" t="str">
        <f>_xlfn.XLOOKUP(E790,Table8[City],Table8[Region])</f>
        <v>West</v>
      </c>
      <c r="H790" t="s">
        <v>25</v>
      </c>
      <c r="I790" t="str">
        <f>_xlfn.XLOOKUP(H790,Table6[Product],Table6[Category])</f>
        <v>Accessories</v>
      </c>
      <c r="J790" t="s">
        <v>61</v>
      </c>
      <c r="K790">
        <v>7</v>
      </c>
      <c r="L790">
        <f>_xlfn.XLOOKUP(H790,Table6[Product],Table6[Unit Price])</f>
        <v>800</v>
      </c>
      <c r="M790">
        <f>_xlfn.XLOOKUP(H790,Table6[Product],Table6[Cost Price])</f>
        <v>450</v>
      </c>
      <c r="N790" s="7">
        <v>0.08</v>
      </c>
      <c r="O790">
        <f t="shared" si="36"/>
        <v>5152</v>
      </c>
      <c r="P790">
        <f t="shared" si="37"/>
        <v>3150</v>
      </c>
      <c r="Q790">
        <f t="shared" si="38"/>
        <v>2002</v>
      </c>
      <c r="R790" t="s">
        <v>43</v>
      </c>
      <c r="S790" t="s">
        <v>50</v>
      </c>
    </row>
    <row r="791" spans="1:19" ht="18" x14ac:dyDescent="0.5">
      <c r="A791" t="s">
        <v>861</v>
      </c>
      <c r="B791" t="s">
        <v>1860</v>
      </c>
      <c r="C791" s="6">
        <v>45980</v>
      </c>
      <c r="D791" t="s">
        <v>63</v>
      </c>
      <c r="E791" t="s">
        <v>2104</v>
      </c>
      <c r="F791" t="str">
        <f>_xlfn.XLOOKUP(E791,Table8[City],Table8[State])</f>
        <v>Delhi</v>
      </c>
      <c r="G791" t="str">
        <f>_xlfn.XLOOKUP(E791,Table8[City],Table8[Region])</f>
        <v>North</v>
      </c>
      <c r="H791" t="s">
        <v>16</v>
      </c>
      <c r="I791" t="str">
        <f>_xlfn.XLOOKUP(H791,Table6[Product],Table6[Category])</f>
        <v>Electronics</v>
      </c>
      <c r="J791" t="s">
        <v>59</v>
      </c>
      <c r="K791">
        <v>3</v>
      </c>
      <c r="L791">
        <f>_xlfn.XLOOKUP(H791,Table6[Product],Table6[Unit Price])</f>
        <v>65000</v>
      </c>
      <c r="M791">
        <f>_xlfn.XLOOKUP(H791,Table6[Product],Table6[Cost Price])</f>
        <v>52000</v>
      </c>
      <c r="N791" s="7">
        <v>0.18</v>
      </c>
      <c r="O791">
        <f t="shared" si="36"/>
        <v>159900</v>
      </c>
      <c r="P791">
        <f t="shared" si="37"/>
        <v>156000</v>
      </c>
      <c r="Q791">
        <f t="shared" si="38"/>
        <v>3900</v>
      </c>
      <c r="R791" t="s">
        <v>44</v>
      </c>
      <c r="S791" t="s">
        <v>51</v>
      </c>
    </row>
    <row r="792" spans="1:19" ht="18" x14ac:dyDescent="0.5">
      <c r="A792" t="s">
        <v>862</v>
      </c>
      <c r="B792" t="s">
        <v>1861</v>
      </c>
      <c r="C792" s="6">
        <v>46022</v>
      </c>
      <c r="D792" t="s">
        <v>2087</v>
      </c>
      <c r="E792" t="s">
        <v>2104</v>
      </c>
      <c r="F792" t="str">
        <f>_xlfn.XLOOKUP(E792,Table8[City],Table8[State])</f>
        <v>Delhi</v>
      </c>
      <c r="G792" t="str">
        <f>_xlfn.XLOOKUP(E792,Table8[City],Table8[Region])</f>
        <v>North</v>
      </c>
      <c r="H792" t="s">
        <v>25</v>
      </c>
      <c r="I792" t="str">
        <f>_xlfn.XLOOKUP(H792,Table6[Product],Table6[Category])</f>
        <v>Accessories</v>
      </c>
      <c r="J792" t="s">
        <v>62</v>
      </c>
      <c r="K792">
        <v>6</v>
      </c>
      <c r="L792">
        <f>_xlfn.XLOOKUP(H792,Table6[Product],Table6[Unit Price])</f>
        <v>800</v>
      </c>
      <c r="M792">
        <f>_xlfn.XLOOKUP(H792,Table6[Product],Table6[Cost Price])</f>
        <v>450</v>
      </c>
      <c r="N792" s="7">
        <v>0.01</v>
      </c>
      <c r="O792">
        <f t="shared" si="36"/>
        <v>4752</v>
      </c>
      <c r="P792">
        <f t="shared" si="37"/>
        <v>2700</v>
      </c>
      <c r="Q792">
        <f t="shared" si="38"/>
        <v>2052</v>
      </c>
      <c r="R792" t="s">
        <v>43</v>
      </c>
      <c r="S792" t="s">
        <v>49</v>
      </c>
    </row>
    <row r="793" spans="1:19" ht="18" x14ac:dyDescent="0.5">
      <c r="A793" t="s">
        <v>863</v>
      </c>
      <c r="B793" t="s">
        <v>1862</v>
      </c>
      <c r="C793" s="6">
        <v>45428</v>
      </c>
      <c r="D793" t="s">
        <v>2095</v>
      </c>
      <c r="E793" t="s">
        <v>2075</v>
      </c>
      <c r="F793" t="str">
        <f>_xlfn.XLOOKUP(E793,Table8[City],Table8[State])</f>
        <v>Tamil Nadu</v>
      </c>
      <c r="G793" t="str">
        <f>_xlfn.XLOOKUP(E793,Table8[City],Table8[Region])</f>
        <v>South</v>
      </c>
      <c r="H793" t="s">
        <v>29</v>
      </c>
      <c r="I793" t="str">
        <f>_xlfn.XLOOKUP(H793,Table6[Product],Table6[Category])</f>
        <v>Electronics</v>
      </c>
      <c r="J793" t="s">
        <v>63</v>
      </c>
      <c r="K793">
        <v>4</v>
      </c>
      <c r="L793">
        <f>_xlfn.XLOOKUP(H793,Table6[Product],Table6[Unit Price])</f>
        <v>5000</v>
      </c>
      <c r="M793">
        <f>_xlfn.XLOOKUP(H793,Table6[Product],Table6[Cost Price])</f>
        <v>3200</v>
      </c>
      <c r="N793" s="7">
        <v>0.21</v>
      </c>
      <c r="O793">
        <f t="shared" si="36"/>
        <v>15800</v>
      </c>
      <c r="P793">
        <f t="shared" si="37"/>
        <v>12800</v>
      </c>
      <c r="Q793">
        <f t="shared" si="38"/>
        <v>3000</v>
      </c>
      <c r="R793" t="s">
        <v>47</v>
      </c>
      <c r="S793" t="s">
        <v>49</v>
      </c>
    </row>
    <row r="794" spans="1:19" ht="18" x14ac:dyDescent="0.5">
      <c r="A794" t="s">
        <v>864</v>
      </c>
      <c r="B794" t="s">
        <v>1863</v>
      </c>
      <c r="C794" s="6">
        <v>45311</v>
      </c>
      <c r="D794" t="s">
        <v>2093</v>
      </c>
      <c r="E794" t="s">
        <v>2074</v>
      </c>
      <c r="F794" t="str">
        <f>_xlfn.XLOOKUP(E794,Table8[City],Table8[State])</f>
        <v>Maharashtra</v>
      </c>
      <c r="G794" t="str">
        <f>_xlfn.XLOOKUP(E794,Table8[City],Table8[Region])</f>
        <v>West</v>
      </c>
      <c r="H794" t="s">
        <v>16</v>
      </c>
      <c r="I794" t="str">
        <f>_xlfn.XLOOKUP(H794,Table6[Product],Table6[Category])</f>
        <v>Electronics</v>
      </c>
      <c r="J794" t="s">
        <v>59</v>
      </c>
      <c r="K794">
        <v>8</v>
      </c>
      <c r="L794">
        <f>_xlfn.XLOOKUP(H794,Table6[Product],Table6[Unit Price])</f>
        <v>65000</v>
      </c>
      <c r="M794">
        <f>_xlfn.XLOOKUP(H794,Table6[Product],Table6[Cost Price])</f>
        <v>52000</v>
      </c>
      <c r="N794" s="7">
        <v>0.23</v>
      </c>
      <c r="O794">
        <f t="shared" si="36"/>
        <v>400400</v>
      </c>
      <c r="P794">
        <f t="shared" si="37"/>
        <v>416000</v>
      </c>
      <c r="Q794">
        <f t="shared" si="38"/>
        <v>-15600</v>
      </c>
      <c r="R794" t="s">
        <v>45</v>
      </c>
      <c r="S794" t="s">
        <v>51</v>
      </c>
    </row>
    <row r="795" spans="1:19" ht="18" x14ac:dyDescent="0.5">
      <c r="A795" t="s">
        <v>865</v>
      </c>
      <c r="B795" t="s">
        <v>1864</v>
      </c>
      <c r="C795" s="6">
        <v>45961</v>
      </c>
      <c r="D795" t="s">
        <v>2089</v>
      </c>
      <c r="E795" t="s">
        <v>2104</v>
      </c>
      <c r="F795" t="str">
        <f>_xlfn.XLOOKUP(E795,Table8[City],Table8[State])</f>
        <v>Delhi</v>
      </c>
      <c r="G795" t="str">
        <f>_xlfn.XLOOKUP(E795,Table8[City],Table8[Region])</f>
        <v>North</v>
      </c>
      <c r="H795" t="s">
        <v>29</v>
      </c>
      <c r="I795" t="str">
        <f>_xlfn.XLOOKUP(H795,Table6[Product],Table6[Category])</f>
        <v>Electronics</v>
      </c>
      <c r="J795" t="s">
        <v>57</v>
      </c>
      <c r="K795">
        <v>1</v>
      </c>
      <c r="L795">
        <f>_xlfn.XLOOKUP(H795,Table6[Product],Table6[Unit Price])</f>
        <v>5000</v>
      </c>
      <c r="M795">
        <f>_xlfn.XLOOKUP(H795,Table6[Product],Table6[Cost Price])</f>
        <v>3200</v>
      </c>
      <c r="N795" s="7">
        <v>0.17</v>
      </c>
      <c r="O795">
        <f t="shared" si="36"/>
        <v>4150</v>
      </c>
      <c r="P795">
        <f t="shared" si="37"/>
        <v>3200</v>
      </c>
      <c r="Q795">
        <f t="shared" si="38"/>
        <v>950</v>
      </c>
      <c r="R795" t="s">
        <v>44</v>
      </c>
      <c r="S795" t="s">
        <v>49</v>
      </c>
    </row>
    <row r="796" spans="1:19" ht="18" x14ac:dyDescent="0.5">
      <c r="A796" t="s">
        <v>866</v>
      </c>
      <c r="B796" t="s">
        <v>1865</v>
      </c>
      <c r="C796" s="6">
        <v>45649</v>
      </c>
      <c r="D796" t="s">
        <v>2093</v>
      </c>
      <c r="E796" t="s">
        <v>2076</v>
      </c>
      <c r="F796" t="str">
        <f>_xlfn.XLOOKUP(E796,Table8[City],Table8[State])</f>
        <v>Tamil Nadu</v>
      </c>
      <c r="G796" t="str">
        <f>_xlfn.XLOOKUP(E796,Table8[City],Table8[Region])</f>
        <v>South</v>
      </c>
      <c r="H796" t="s">
        <v>22</v>
      </c>
      <c r="I796" t="str">
        <f>_xlfn.XLOOKUP(H796,Table6[Product],Table6[Category])</f>
        <v>Wearables</v>
      </c>
      <c r="J796" t="s">
        <v>59</v>
      </c>
      <c r="K796">
        <v>4</v>
      </c>
      <c r="L796">
        <f>_xlfn.XLOOKUP(H796,Table6[Product],Table6[Unit Price])</f>
        <v>12000</v>
      </c>
      <c r="M796">
        <f>_xlfn.XLOOKUP(H796,Table6[Product],Table6[Cost Price])</f>
        <v>8500</v>
      </c>
      <c r="N796" s="7">
        <v>0.22</v>
      </c>
      <c r="O796">
        <f t="shared" si="36"/>
        <v>37440</v>
      </c>
      <c r="P796">
        <f t="shared" si="37"/>
        <v>34000</v>
      </c>
      <c r="Q796">
        <f t="shared" si="38"/>
        <v>3440</v>
      </c>
      <c r="R796" t="s">
        <v>44</v>
      </c>
      <c r="S796" t="s">
        <v>52</v>
      </c>
    </row>
    <row r="797" spans="1:19" ht="18" x14ac:dyDescent="0.5">
      <c r="A797" t="s">
        <v>867</v>
      </c>
      <c r="B797" t="s">
        <v>1866</v>
      </c>
      <c r="C797" s="6">
        <v>46000</v>
      </c>
      <c r="D797" t="s">
        <v>2084</v>
      </c>
      <c r="E797" t="s">
        <v>2074</v>
      </c>
      <c r="F797" t="str">
        <f>_xlfn.XLOOKUP(E797,Table8[City],Table8[State])</f>
        <v>Maharashtra</v>
      </c>
      <c r="G797" t="str">
        <f>_xlfn.XLOOKUP(E797,Table8[City],Table8[Region])</f>
        <v>West</v>
      </c>
      <c r="H797" t="s">
        <v>25</v>
      </c>
      <c r="I797" t="str">
        <f>_xlfn.XLOOKUP(H797,Table6[Product],Table6[Category])</f>
        <v>Accessories</v>
      </c>
      <c r="J797" t="s">
        <v>55</v>
      </c>
      <c r="K797">
        <v>3</v>
      </c>
      <c r="L797">
        <f>_xlfn.XLOOKUP(H797,Table6[Product],Table6[Unit Price])</f>
        <v>800</v>
      </c>
      <c r="M797">
        <f>_xlfn.XLOOKUP(H797,Table6[Product],Table6[Cost Price])</f>
        <v>450</v>
      </c>
      <c r="N797" s="7">
        <v>0.2</v>
      </c>
      <c r="O797">
        <f t="shared" si="36"/>
        <v>1920</v>
      </c>
      <c r="P797">
        <f t="shared" si="37"/>
        <v>1350</v>
      </c>
      <c r="Q797">
        <f t="shared" si="38"/>
        <v>570</v>
      </c>
      <c r="R797" t="s">
        <v>46</v>
      </c>
      <c r="S797" t="s">
        <v>52</v>
      </c>
    </row>
    <row r="798" spans="1:19" ht="18" x14ac:dyDescent="0.5">
      <c r="A798" t="s">
        <v>868</v>
      </c>
      <c r="B798" t="s">
        <v>1867</v>
      </c>
      <c r="C798" s="6">
        <v>45375</v>
      </c>
      <c r="D798" t="s">
        <v>2094</v>
      </c>
      <c r="E798" t="s">
        <v>2072</v>
      </c>
      <c r="F798" t="str">
        <f>_xlfn.XLOOKUP(E798,Table8[City],Table8[State])</f>
        <v>Karnataka</v>
      </c>
      <c r="G798" t="str">
        <f>_xlfn.XLOOKUP(E798,Table8[City],Table8[Region])</f>
        <v>South</v>
      </c>
      <c r="H798" t="s">
        <v>22</v>
      </c>
      <c r="I798" t="str">
        <f>_xlfn.XLOOKUP(H798,Table6[Product],Table6[Category])</f>
        <v>Wearables</v>
      </c>
      <c r="J798" t="s">
        <v>55</v>
      </c>
      <c r="K798">
        <v>3</v>
      </c>
      <c r="L798">
        <f>_xlfn.XLOOKUP(H798,Table6[Product],Table6[Unit Price])</f>
        <v>12000</v>
      </c>
      <c r="M798">
        <f>_xlfn.XLOOKUP(H798,Table6[Product],Table6[Cost Price])</f>
        <v>8500</v>
      </c>
      <c r="N798" s="7">
        <v>0.21</v>
      </c>
      <c r="O798">
        <f t="shared" si="36"/>
        <v>28440</v>
      </c>
      <c r="P798">
        <f t="shared" si="37"/>
        <v>25500</v>
      </c>
      <c r="Q798">
        <f t="shared" si="38"/>
        <v>2940</v>
      </c>
      <c r="R798" t="s">
        <v>44</v>
      </c>
      <c r="S798" t="s">
        <v>52</v>
      </c>
    </row>
    <row r="799" spans="1:19" ht="18" x14ac:dyDescent="0.5">
      <c r="A799" t="s">
        <v>869</v>
      </c>
      <c r="B799" t="s">
        <v>1868</v>
      </c>
      <c r="C799" s="6">
        <v>45796</v>
      </c>
      <c r="D799" t="s">
        <v>2090</v>
      </c>
      <c r="E799" t="s">
        <v>2078</v>
      </c>
      <c r="F799" t="str">
        <f>_xlfn.XLOOKUP(E799,Table8[City],Table8[State])</f>
        <v>Telangana</v>
      </c>
      <c r="G799" t="str">
        <f>_xlfn.XLOOKUP(E799,Table8[City],Table8[Region])</f>
        <v>South</v>
      </c>
      <c r="H799" t="s">
        <v>19</v>
      </c>
      <c r="I799" t="str">
        <f>_xlfn.XLOOKUP(H799,Table6[Product],Table6[Category])</f>
        <v>Electronics</v>
      </c>
      <c r="J799" t="s">
        <v>59</v>
      </c>
      <c r="K799">
        <v>5</v>
      </c>
      <c r="L799">
        <f>_xlfn.XLOOKUP(H799,Table6[Product],Table6[Unit Price])</f>
        <v>25000</v>
      </c>
      <c r="M799">
        <f>_xlfn.XLOOKUP(H799,Table6[Product],Table6[Cost Price])</f>
        <v>20000</v>
      </c>
      <c r="N799" s="7">
        <v>0.1</v>
      </c>
      <c r="O799">
        <f t="shared" si="36"/>
        <v>112500</v>
      </c>
      <c r="P799">
        <f t="shared" si="37"/>
        <v>100000</v>
      </c>
      <c r="Q799">
        <f t="shared" si="38"/>
        <v>12500</v>
      </c>
      <c r="R799" t="s">
        <v>47</v>
      </c>
      <c r="S799" t="s">
        <v>52</v>
      </c>
    </row>
    <row r="800" spans="1:19" ht="18" x14ac:dyDescent="0.5">
      <c r="A800" t="s">
        <v>870</v>
      </c>
      <c r="B800" t="s">
        <v>1869</v>
      </c>
      <c r="C800" s="6">
        <v>45775</v>
      </c>
      <c r="D800" t="s">
        <v>2095</v>
      </c>
      <c r="E800" t="s">
        <v>2105</v>
      </c>
      <c r="F800" t="str">
        <f>_xlfn.XLOOKUP(E800,Table8[City],Table8[State])</f>
        <v>Rajasthan</v>
      </c>
      <c r="G800" t="str">
        <f>_xlfn.XLOOKUP(E800,Table8[City],Table8[Region])</f>
        <v>North</v>
      </c>
      <c r="H800" t="s">
        <v>25</v>
      </c>
      <c r="I800" t="str">
        <f>_xlfn.XLOOKUP(H800,Table6[Product],Table6[Category])</f>
        <v>Accessories</v>
      </c>
      <c r="J800" t="s">
        <v>63</v>
      </c>
      <c r="K800">
        <v>4</v>
      </c>
      <c r="L800">
        <f>_xlfn.XLOOKUP(H800,Table6[Product],Table6[Unit Price])</f>
        <v>800</v>
      </c>
      <c r="M800">
        <f>_xlfn.XLOOKUP(H800,Table6[Product],Table6[Cost Price])</f>
        <v>450</v>
      </c>
      <c r="N800" s="7">
        <v>0.26</v>
      </c>
      <c r="O800">
        <f t="shared" si="36"/>
        <v>2368</v>
      </c>
      <c r="P800">
        <f t="shared" si="37"/>
        <v>1800</v>
      </c>
      <c r="Q800">
        <f t="shared" si="38"/>
        <v>568</v>
      </c>
      <c r="R800" t="s">
        <v>45</v>
      </c>
      <c r="S800" t="s">
        <v>50</v>
      </c>
    </row>
    <row r="801" spans="1:19" ht="18" x14ac:dyDescent="0.5">
      <c r="A801" t="s">
        <v>871</v>
      </c>
      <c r="B801" t="s">
        <v>1870</v>
      </c>
      <c r="C801" s="6">
        <v>45443</v>
      </c>
      <c r="D801" t="s">
        <v>2088</v>
      </c>
      <c r="E801" t="s">
        <v>2075</v>
      </c>
      <c r="F801" t="str">
        <f>_xlfn.XLOOKUP(E801,Table8[City],Table8[State])</f>
        <v>Tamil Nadu</v>
      </c>
      <c r="G801" t="str">
        <f>_xlfn.XLOOKUP(E801,Table8[City],Table8[Region])</f>
        <v>South</v>
      </c>
      <c r="H801" t="s">
        <v>18</v>
      </c>
      <c r="I801" t="str">
        <f>_xlfn.XLOOKUP(H801,Table6[Product],Table6[Category])</f>
        <v>Electronics</v>
      </c>
      <c r="J801" t="s">
        <v>59</v>
      </c>
      <c r="K801">
        <v>4</v>
      </c>
      <c r="L801">
        <f>_xlfn.XLOOKUP(H801,Table6[Product],Table6[Unit Price])</f>
        <v>35000</v>
      </c>
      <c r="M801">
        <f>_xlfn.XLOOKUP(H801,Table6[Product],Table6[Cost Price])</f>
        <v>28000</v>
      </c>
      <c r="N801" s="7">
        <v>0.26</v>
      </c>
      <c r="O801">
        <f t="shared" si="36"/>
        <v>103600</v>
      </c>
      <c r="P801">
        <f t="shared" si="37"/>
        <v>112000</v>
      </c>
      <c r="Q801">
        <f t="shared" si="38"/>
        <v>-8400</v>
      </c>
      <c r="R801" t="s">
        <v>45</v>
      </c>
      <c r="S801" t="s">
        <v>51</v>
      </c>
    </row>
    <row r="802" spans="1:19" ht="18" x14ac:dyDescent="0.5">
      <c r="A802" t="s">
        <v>872</v>
      </c>
      <c r="B802" t="s">
        <v>1871</v>
      </c>
      <c r="C802" s="6">
        <v>45702</v>
      </c>
      <c r="D802" t="s">
        <v>2084</v>
      </c>
      <c r="E802" t="s">
        <v>2077</v>
      </c>
      <c r="F802" t="str">
        <f>_xlfn.XLOOKUP(E802,Table8[City],Table8[State])</f>
        <v>Telangana</v>
      </c>
      <c r="G802" t="str">
        <f>_xlfn.XLOOKUP(E802,Table8[City],Table8[Region])</f>
        <v>South</v>
      </c>
      <c r="H802" t="s">
        <v>20</v>
      </c>
      <c r="I802" t="str">
        <f>_xlfn.XLOOKUP(H802,Table6[Product],Table6[Category])</f>
        <v>Accessories</v>
      </c>
      <c r="J802" t="s">
        <v>56</v>
      </c>
      <c r="K802">
        <v>7</v>
      </c>
      <c r="L802">
        <f>_xlfn.XLOOKUP(H802,Table6[Product],Table6[Unit Price])</f>
        <v>3000</v>
      </c>
      <c r="M802">
        <f>_xlfn.XLOOKUP(H802,Table6[Product],Table6[Cost Price])</f>
        <v>1800</v>
      </c>
      <c r="N802" s="7">
        <v>0.26</v>
      </c>
      <c r="O802">
        <f t="shared" si="36"/>
        <v>15540</v>
      </c>
      <c r="P802">
        <f t="shared" si="37"/>
        <v>12600</v>
      </c>
      <c r="Q802">
        <f t="shared" si="38"/>
        <v>2940</v>
      </c>
      <c r="R802" t="s">
        <v>45</v>
      </c>
      <c r="S802" t="s">
        <v>50</v>
      </c>
    </row>
    <row r="803" spans="1:19" ht="18" x14ac:dyDescent="0.5">
      <c r="A803" t="s">
        <v>873</v>
      </c>
      <c r="B803" t="s">
        <v>1872</v>
      </c>
      <c r="C803" s="6">
        <v>45949</v>
      </c>
      <c r="D803" t="s">
        <v>69</v>
      </c>
      <c r="E803" t="s">
        <v>2104</v>
      </c>
      <c r="F803" t="str">
        <f>_xlfn.XLOOKUP(E803,Table8[City],Table8[State])</f>
        <v>Delhi</v>
      </c>
      <c r="G803" t="str">
        <f>_xlfn.XLOOKUP(E803,Table8[City],Table8[Region])</f>
        <v>North</v>
      </c>
      <c r="H803" t="s">
        <v>25</v>
      </c>
      <c r="I803" t="str">
        <f>_xlfn.XLOOKUP(H803,Table6[Product],Table6[Category])</f>
        <v>Accessories</v>
      </c>
      <c r="J803" t="s">
        <v>56</v>
      </c>
      <c r="K803">
        <v>3</v>
      </c>
      <c r="L803">
        <f>_xlfn.XLOOKUP(H803,Table6[Product],Table6[Unit Price])</f>
        <v>800</v>
      </c>
      <c r="M803">
        <f>_xlfn.XLOOKUP(H803,Table6[Product],Table6[Cost Price])</f>
        <v>450</v>
      </c>
      <c r="N803" s="7">
        <v>0.21</v>
      </c>
      <c r="O803">
        <f t="shared" si="36"/>
        <v>1896</v>
      </c>
      <c r="P803">
        <f t="shared" si="37"/>
        <v>1350</v>
      </c>
      <c r="Q803">
        <f t="shared" si="38"/>
        <v>546</v>
      </c>
      <c r="R803" t="s">
        <v>45</v>
      </c>
      <c r="S803" t="s">
        <v>49</v>
      </c>
    </row>
    <row r="804" spans="1:19" ht="18" x14ac:dyDescent="0.5">
      <c r="A804" t="s">
        <v>874</v>
      </c>
      <c r="B804" t="s">
        <v>1873</v>
      </c>
      <c r="C804" s="6">
        <v>45558</v>
      </c>
      <c r="D804" t="s">
        <v>63</v>
      </c>
      <c r="E804" t="s">
        <v>70</v>
      </c>
      <c r="F804" t="str">
        <f>_xlfn.XLOOKUP(E804,Table8[City],Table8[State])</f>
        <v>Karnataka</v>
      </c>
      <c r="G804" t="str">
        <f>_xlfn.XLOOKUP(E804,Table8[City],Table8[Region])</f>
        <v>South</v>
      </c>
      <c r="H804" t="s">
        <v>18</v>
      </c>
      <c r="I804" t="str">
        <f>_xlfn.XLOOKUP(H804,Table6[Product],Table6[Category])</f>
        <v>Electronics</v>
      </c>
      <c r="J804" t="s">
        <v>54</v>
      </c>
      <c r="K804">
        <v>9</v>
      </c>
      <c r="L804">
        <f>_xlfn.XLOOKUP(H804,Table6[Product],Table6[Unit Price])</f>
        <v>35000</v>
      </c>
      <c r="M804">
        <f>_xlfn.XLOOKUP(H804,Table6[Product],Table6[Cost Price])</f>
        <v>28000</v>
      </c>
      <c r="N804" s="7">
        <v>0.08</v>
      </c>
      <c r="O804">
        <f t="shared" si="36"/>
        <v>289800</v>
      </c>
      <c r="P804">
        <f t="shared" si="37"/>
        <v>252000</v>
      </c>
      <c r="Q804">
        <f t="shared" si="38"/>
        <v>37800</v>
      </c>
      <c r="R804" t="s">
        <v>44</v>
      </c>
      <c r="S804" t="s">
        <v>49</v>
      </c>
    </row>
    <row r="805" spans="1:19" ht="18" x14ac:dyDescent="0.5">
      <c r="A805" t="s">
        <v>875</v>
      </c>
      <c r="B805" t="s">
        <v>1874</v>
      </c>
      <c r="C805" s="6">
        <v>45978</v>
      </c>
      <c r="D805" t="s">
        <v>2090</v>
      </c>
      <c r="E805" t="s">
        <v>2076</v>
      </c>
      <c r="F805" t="str">
        <f>_xlfn.XLOOKUP(E805,Table8[City],Table8[State])</f>
        <v>Tamil Nadu</v>
      </c>
      <c r="G805" t="str">
        <f>_xlfn.XLOOKUP(E805,Table8[City],Table8[Region])</f>
        <v>South</v>
      </c>
      <c r="H805" t="s">
        <v>18</v>
      </c>
      <c r="I805" t="str">
        <f>_xlfn.XLOOKUP(H805,Table6[Product],Table6[Category])</f>
        <v>Electronics</v>
      </c>
      <c r="J805" t="s">
        <v>60</v>
      </c>
      <c r="K805">
        <v>4</v>
      </c>
      <c r="L805">
        <f>_xlfn.XLOOKUP(H805,Table6[Product],Table6[Unit Price])</f>
        <v>35000</v>
      </c>
      <c r="M805">
        <f>_xlfn.XLOOKUP(H805,Table6[Product],Table6[Cost Price])</f>
        <v>28000</v>
      </c>
      <c r="N805" s="7">
        <v>0.05</v>
      </c>
      <c r="O805">
        <f t="shared" si="36"/>
        <v>133000</v>
      </c>
      <c r="P805">
        <f t="shared" si="37"/>
        <v>112000</v>
      </c>
      <c r="Q805">
        <f t="shared" si="38"/>
        <v>21000</v>
      </c>
      <c r="R805" t="s">
        <v>45</v>
      </c>
      <c r="S805" t="s">
        <v>52</v>
      </c>
    </row>
    <row r="806" spans="1:19" ht="18" x14ac:dyDescent="0.5">
      <c r="A806" t="s">
        <v>876</v>
      </c>
      <c r="B806" t="s">
        <v>1875</v>
      </c>
      <c r="C806" s="6">
        <v>45628</v>
      </c>
      <c r="D806" t="s">
        <v>2086</v>
      </c>
      <c r="E806" t="s">
        <v>2079</v>
      </c>
      <c r="F806" t="str">
        <f>_xlfn.XLOOKUP(E806,Table8[City],Table8[State])</f>
        <v>Gujarat</v>
      </c>
      <c r="G806" t="str">
        <f>_xlfn.XLOOKUP(E806,Table8[City],Table8[Region])</f>
        <v>West</v>
      </c>
      <c r="H806" t="s">
        <v>16</v>
      </c>
      <c r="I806" t="str">
        <f>_xlfn.XLOOKUP(H806,Table6[Product],Table6[Category])</f>
        <v>Electronics</v>
      </c>
      <c r="J806" t="s">
        <v>63</v>
      </c>
      <c r="K806">
        <v>9</v>
      </c>
      <c r="L806">
        <f>_xlfn.XLOOKUP(H806,Table6[Product],Table6[Unit Price])</f>
        <v>65000</v>
      </c>
      <c r="M806">
        <f>_xlfn.XLOOKUP(H806,Table6[Product],Table6[Cost Price])</f>
        <v>52000</v>
      </c>
      <c r="N806" s="7">
        <v>0.22</v>
      </c>
      <c r="O806">
        <f t="shared" si="36"/>
        <v>456300</v>
      </c>
      <c r="P806">
        <f t="shared" si="37"/>
        <v>468000</v>
      </c>
      <c r="Q806">
        <f t="shared" si="38"/>
        <v>-11700</v>
      </c>
      <c r="R806" t="s">
        <v>46</v>
      </c>
      <c r="S806" t="s">
        <v>51</v>
      </c>
    </row>
    <row r="807" spans="1:19" ht="18" x14ac:dyDescent="0.5">
      <c r="A807" t="s">
        <v>877</v>
      </c>
      <c r="B807" t="s">
        <v>1876</v>
      </c>
      <c r="C807" s="6">
        <v>45789</v>
      </c>
      <c r="D807" t="s">
        <v>2083</v>
      </c>
      <c r="E807" t="s">
        <v>2106</v>
      </c>
      <c r="F807" t="str">
        <f>_xlfn.XLOOKUP(E807,Table8[City],Table8[State])</f>
        <v>West Bengal</v>
      </c>
      <c r="G807" t="str">
        <f>_xlfn.XLOOKUP(E807,Table8[City],Table8[Region])</f>
        <v>East</v>
      </c>
      <c r="H807" t="s">
        <v>28</v>
      </c>
      <c r="I807" t="str">
        <f>_xlfn.XLOOKUP(H807,Table6[Product],Table6[Category])</f>
        <v>Office</v>
      </c>
      <c r="J807" t="s">
        <v>61</v>
      </c>
      <c r="K807">
        <v>1</v>
      </c>
      <c r="L807">
        <f>_xlfn.XLOOKUP(H807,Table6[Product],Table6[Unit Price])</f>
        <v>18000</v>
      </c>
      <c r="M807">
        <f>_xlfn.XLOOKUP(H807,Table6[Product],Table6[Cost Price])</f>
        <v>14000</v>
      </c>
      <c r="N807" s="7">
        <v>0.26</v>
      </c>
      <c r="O807">
        <f t="shared" si="36"/>
        <v>13320</v>
      </c>
      <c r="P807">
        <f t="shared" si="37"/>
        <v>14000</v>
      </c>
      <c r="Q807">
        <f t="shared" si="38"/>
        <v>-680</v>
      </c>
      <c r="R807" t="s">
        <v>43</v>
      </c>
      <c r="S807" t="s">
        <v>49</v>
      </c>
    </row>
    <row r="808" spans="1:19" ht="18" x14ac:dyDescent="0.5">
      <c r="A808" t="s">
        <v>878</v>
      </c>
      <c r="B808" t="s">
        <v>1877</v>
      </c>
      <c r="C808" s="6">
        <v>45782</v>
      </c>
      <c r="D808" t="s">
        <v>2088</v>
      </c>
      <c r="E808" t="s">
        <v>2079</v>
      </c>
      <c r="F808" t="str">
        <f>_xlfn.XLOOKUP(E808,Table8[City],Table8[State])</f>
        <v>Gujarat</v>
      </c>
      <c r="G808" t="str">
        <f>_xlfn.XLOOKUP(E808,Table8[City],Table8[Region])</f>
        <v>West</v>
      </c>
      <c r="H808" t="s">
        <v>22</v>
      </c>
      <c r="I808" t="str">
        <f>_xlfn.XLOOKUP(H808,Table6[Product],Table6[Category])</f>
        <v>Wearables</v>
      </c>
      <c r="J808" t="s">
        <v>54</v>
      </c>
      <c r="K808">
        <v>8</v>
      </c>
      <c r="L808">
        <f>_xlfn.XLOOKUP(H808,Table6[Product],Table6[Unit Price])</f>
        <v>12000</v>
      </c>
      <c r="M808">
        <f>_xlfn.XLOOKUP(H808,Table6[Product],Table6[Cost Price])</f>
        <v>8500</v>
      </c>
      <c r="N808" s="7">
        <v>0.01</v>
      </c>
      <c r="O808">
        <f t="shared" si="36"/>
        <v>95040</v>
      </c>
      <c r="P808">
        <f t="shared" si="37"/>
        <v>68000</v>
      </c>
      <c r="Q808">
        <f t="shared" si="38"/>
        <v>27040</v>
      </c>
      <c r="R808" t="s">
        <v>43</v>
      </c>
      <c r="S808" t="s">
        <v>52</v>
      </c>
    </row>
    <row r="809" spans="1:19" ht="18" x14ac:dyDescent="0.5">
      <c r="A809" t="s">
        <v>879</v>
      </c>
      <c r="B809" t="s">
        <v>1878</v>
      </c>
      <c r="C809" s="6">
        <v>45736</v>
      </c>
      <c r="D809" t="s">
        <v>2094</v>
      </c>
      <c r="E809" t="s">
        <v>70</v>
      </c>
      <c r="F809" t="str">
        <f>_xlfn.XLOOKUP(E809,Table8[City],Table8[State])</f>
        <v>Karnataka</v>
      </c>
      <c r="G809" t="str">
        <f>_xlfn.XLOOKUP(E809,Table8[City],Table8[Region])</f>
        <v>South</v>
      </c>
      <c r="H809" t="s">
        <v>16</v>
      </c>
      <c r="I809" t="str">
        <f>_xlfn.XLOOKUP(H809,Table6[Product],Table6[Category])</f>
        <v>Electronics</v>
      </c>
      <c r="J809" t="s">
        <v>63</v>
      </c>
      <c r="K809">
        <v>3</v>
      </c>
      <c r="L809">
        <f>_xlfn.XLOOKUP(H809,Table6[Product],Table6[Unit Price])</f>
        <v>65000</v>
      </c>
      <c r="M809">
        <f>_xlfn.XLOOKUP(H809,Table6[Product],Table6[Cost Price])</f>
        <v>52000</v>
      </c>
      <c r="N809" s="7">
        <v>0.16</v>
      </c>
      <c r="O809">
        <f t="shared" si="36"/>
        <v>163800</v>
      </c>
      <c r="P809">
        <f t="shared" si="37"/>
        <v>156000</v>
      </c>
      <c r="Q809">
        <f t="shared" si="38"/>
        <v>7800</v>
      </c>
      <c r="R809" t="s">
        <v>44</v>
      </c>
      <c r="S809" t="s">
        <v>52</v>
      </c>
    </row>
    <row r="810" spans="1:19" ht="18" x14ac:dyDescent="0.5">
      <c r="A810" t="s">
        <v>880</v>
      </c>
      <c r="B810" t="s">
        <v>1879</v>
      </c>
      <c r="C810" s="6">
        <v>46007</v>
      </c>
      <c r="D810" t="s">
        <v>2096</v>
      </c>
      <c r="E810" t="s">
        <v>2075</v>
      </c>
      <c r="F810" t="str">
        <f>_xlfn.XLOOKUP(E810,Table8[City],Table8[State])</f>
        <v>Tamil Nadu</v>
      </c>
      <c r="G810" t="str">
        <f>_xlfn.XLOOKUP(E810,Table8[City],Table8[Region])</f>
        <v>South</v>
      </c>
      <c r="H810" t="s">
        <v>28</v>
      </c>
      <c r="I810" t="str">
        <f>_xlfn.XLOOKUP(H810,Table6[Product],Table6[Category])</f>
        <v>Office</v>
      </c>
      <c r="J810" t="s">
        <v>62</v>
      </c>
      <c r="K810">
        <v>8</v>
      </c>
      <c r="L810">
        <f>_xlfn.XLOOKUP(H810,Table6[Product],Table6[Unit Price])</f>
        <v>18000</v>
      </c>
      <c r="M810">
        <f>_xlfn.XLOOKUP(H810,Table6[Product],Table6[Cost Price])</f>
        <v>14000</v>
      </c>
      <c r="N810" s="7">
        <v>0.18</v>
      </c>
      <c r="O810">
        <f t="shared" si="36"/>
        <v>118080.00000000001</v>
      </c>
      <c r="P810">
        <f t="shared" si="37"/>
        <v>112000</v>
      </c>
      <c r="Q810">
        <f t="shared" si="38"/>
        <v>6080.0000000000146</v>
      </c>
      <c r="R810" t="s">
        <v>46</v>
      </c>
      <c r="S810" t="s">
        <v>50</v>
      </c>
    </row>
    <row r="811" spans="1:19" ht="18" x14ac:dyDescent="0.5">
      <c r="A811" t="s">
        <v>881</v>
      </c>
      <c r="B811" t="s">
        <v>1880</v>
      </c>
      <c r="C811" s="6">
        <v>45907</v>
      </c>
      <c r="D811" t="s">
        <v>2088</v>
      </c>
      <c r="E811" t="s">
        <v>2078</v>
      </c>
      <c r="F811" t="str">
        <f>_xlfn.XLOOKUP(E811,Table8[City],Table8[State])</f>
        <v>Telangana</v>
      </c>
      <c r="G811" t="str">
        <f>_xlfn.XLOOKUP(E811,Table8[City],Table8[Region])</f>
        <v>South</v>
      </c>
      <c r="H811" t="s">
        <v>24</v>
      </c>
      <c r="I811" t="str">
        <f>_xlfn.XLOOKUP(H811,Table6[Product],Table6[Category])</f>
        <v>Accessories</v>
      </c>
      <c r="J811" t="s">
        <v>54</v>
      </c>
      <c r="K811">
        <v>10</v>
      </c>
      <c r="L811">
        <f>_xlfn.XLOOKUP(H811,Table6[Product],Table6[Unit Price])</f>
        <v>1500</v>
      </c>
      <c r="M811">
        <f>_xlfn.XLOOKUP(H811,Table6[Product],Table6[Cost Price])</f>
        <v>900</v>
      </c>
      <c r="N811" s="7">
        <v>0.2</v>
      </c>
      <c r="O811">
        <f t="shared" si="36"/>
        <v>12000</v>
      </c>
      <c r="P811">
        <f t="shared" si="37"/>
        <v>9000</v>
      </c>
      <c r="Q811">
        <f t="shared" si="38"/>
        <v>3000</v>
      </c>
      <c r="R811" t="s">
        <v>47</v>
      </c>
      <c r="S811" t="s">
        <v>52</v>
      </c>
    </row>
    <row r="812" spans="1:19" ht="18" x14ac:dyDescent="0.5">
      <c r="A812" t="s">
        <v>882</v>
      </c>
      <c r="B812" t="s">
        <v>1881</v>
      </c>
      <c r="C812" s="6">
        <v>45769</v>
      </c>
      <c r="D812" t="s">
        <v>63</v>
      </c>
      <c r="E812" t="s">
        <v>2077</v>
      </c>
      <c r="F812" t="str">
        <f>_xlfn.XLOOKUP(E812,Table8[City],Table8[State])</f>
        <v>Telangana</v>
      </c>
      <c r="G812" t="str">
        <f>_xlfn.XLOOKUP(E812,Table8[City],Table8[Region])</f>
        <v>South</v>
      </c>
      <c r="H812" t="s">
        <v>19</v>
      </c>
      <c r="I812" t="str">
        <f>_xlfn.XLOOKUP(H812,Table6[Product],Table6[Category])</f>
        <v>Electronics</v>
      </c>
      <c r="J812" t="s">
        <v>56</v>
      </c>
      <c r="K812">
        <v>5</v>
      </c>
      <c r="L812">
        <f>_xlfn.XLOOKUP(H812,Table6[Product],Table6[Unit Price])</f>
        <v>25000</v>
      </c>
      <c r="M812">
        <f>_xlfn.XLOOKUP(H812,Table6[Product],Table6[Cost Price])</f>
        <v>20000</v>
      </c>
      <c r="N812" s="7">
        <v>0.04</v>
      </c>
      <c r="O812">
        <f t="shared" si="36"/>
        <v>120000</v>
      </c>
      <c r="P812">
        <f t="shared" si="37"/>
        <v>100000</v>
      </c>
      <c r="Q812">
        <f t="shared" si="38"/>
        <v>20000</v>
      </c>
      <c r="R812" t="s">
        <v>44</v>
      </c>
      <c r="S812" t="s">
        <v>51</v>
      </c>
    </row>
    <row r="813" spans="1:19" ht="18" x14ac:dyDescent="0.5">
      <c r="A813" t="s">
        <v>883</v>
      </c>
      <c r="B813" t="s">
        <v>1882</v>
      </c>
      <c r="C813" s="6">
        <v>45887</v>
      </c>
      <c r="D813" t="s">
        <v>2099</v>
      </c>
      <c r="E813" t="s">
        <v>2076</v>
      </c>
      <c r="F813" t="str">
        <f>_xlfn.XLOOKUP(E813,Table8[City],Table8[State])</f>
        <v>Tamil Nadu</v>
      </c>
      <c r="G813" t="str">
        <f>_xlfn.XLOOKUP(E813,Table8[City],Table8[Region])</f>
        <v>South</v>
      </c>
      <c r="H813" t="s">
        <v>29</v>
      </c>
      <c r="I813" t="str">
        <f>_xlfn.XLOOKUP(H813,Table6[Product],Table6[Category])</f>
        <v>Electronics</v>
      </c>
      <c r="J813" t="s">
        <v>54</v>
      </c>
      <c r="K813">
        <v>9</v>
      </c>
      <c r="L813">
        <f>_xlfn.XLOOKUP(H813,Table6[Product],Table6[Unit Price])</f>
        <v>5000</v>
      </c>
      <c r="M813">
        <f>_xlfn.XLOOKUP(H813,Table6[Product],Table6[Cost Price])</f>
        <v>3200</v>
      </c>
      <c r="N813" s="7">
        <v>0.27</v>
      </c>
      <c r="O813">
        <f t="shared" si="36"/>
        <v>32850</v>
      </c>
      <c r="P813">
        <f t="shared" si="37"/>
        <v>28800</v>
      </c>
      <c r="Q813">
        <f t="shared" si="38"/>
        <v>4050</v>
      </c>
      <c r="R813" t="s">
        <v>47</v>
      </c>
      <c r="S813" t="s">
        <v>51</v>
      </c>
    </row>
    <row r="814" spans="1:19" ht="18" x14ac:dyDescent="0.5">
      <c r="A814" t="s">
        <v>884</v>
      </c>
      <c r="B814" t="s">
        <v>1883</v>
      </c>
      <c r="C814" s="6">
        <v>45402</v>
      </c>
      <c r="D814" t="s">
        <v>2093</v>
      </c>
      <c r="E814" t="s">
        <v>2072</v>
      </c>
      <c r="F814" t="str">
        <f>_xlfn.XLOOKUP(E814,Table8[City],Table8[State])</f>
        <v>Karnataka</v>
      </c>
      <c r="G814" t="str">
        <f>_xlfn.XLOOKUP(E814,Table8[City],Table8[Region])</f>
        <v>South</v>
      </c>
      <c r="H814" t="s">
        <v>16</v>
      </c>
      <c r="I814" t="str">
        <f>_xlfn.XLOOKUP(H814,Table6[Product],Table6[Category])</f>
        <v>Electronics</v>
      </c>
      <c r="J814" t="s">
        <v>60</v>
      </c>
      <c r="K814">
        <v>3</v>
      </c>
      <c r="L814">
        <f>_xlfn.XLOOKUP(H814,Table6[Product],Table6[Unit Price])</f>
        <v>65000</v>
      </c>
      <c r="M814">
        <f>_xlfn.XLOOKUP(H814,Table6[Product],Table6[Cost Price])</f>
        <v>52000</v>
      </c>
      <c r="N814" s="7">
        <v>0.15</v>
      </c>
      <c r="O814">
        <f t="shared" si="36"/>
        <v>165750</v>
      </c>
      <c r="P814">
        <f t="shared" si="37"/>
        <v>156000</v>
      </c>
      <c r="Q814">
        <f t="shared" si="38"/>
        <v>9750</v>
      </c>
      <c r="R814" t="s">
        <v>44</v>
      </c>
      <c r="S814" t="s">
        <v>49</v>
      </c>
    </row>
    <row r="815" spans="1:19" ht="18" x14ac:dyDescent="0.5">
      <c r="A815" t="s">
        <v>885</v>
      </c>
      <c r="B815" t="s">
        <v>1884</v>
      </c>
      <c r="C815" s="6">
        <v>45978</v>
      </c>
      <c r="D815" t="s">
        <v>2091</v>
      </c>
      <c r="E815" t="s">
        <v>2106</v>
      </c>
      <c r="F815" t="str">
        <f>_xlfn.XLOOKUP(E815,Table8[City],Table8[State])</f>
        <v>West Bengal</v>
      </c>
      <c r="G815" t="str">
        <f>_xlfn.XLOOKUP(E815,Table8[City],Table8[Region])</f>
        <v>East</v>
      </c>
      <c r="H815" t="s">
        <v>22</v>
      </c>
      <c r="I815" t="str">
        <f>_xlfn.XLOOKUP(H815,Table6[Product],Table6[Category])</f>
        <v>Wearables</v>
      </c>
      <c r="J815" t="s">
        <v>54</v>
      </c>
      <c r="K815">
        <v>10</v>
      </c>
      <c r="L815">
        <f>_xlfn.XLOOKUP(H815,Table6[Product],Table6[Unit Price])</f>
        <v>12000</v>
      </c>
      <c r="M815">
        <f>_xlfn.XLOOKUP(H815,Table6[Product],Table6[Cost Price])</f>
        <v>8500</v>
      </c>
      <c r="N815" s="7">
        <v>0.25</v>
      </c>
      <c r="O815">
        <f t="shared" si="36"/>
        <v>90000</v>
      </c>
      <c r="P815">
        <f t="shared" si="37"/>
        <v>85000</v>
      </c>
      <c r="Q815">
        <f t="shared" si="38"/>
        <v>5000</v>
      </c>
      <c r="R815" t="s">
        <v>45</v>
      </c>
      <c r="S815" t="s">
        <v>49</v>
      </c>
    </row>
    <row r="816" spans="1:19" ht="18" x14ac:dyDescent="0.5">
      <c r="A816" t="s">
        <v>886</v>
      </c>
      <c r="B816" t="s">
        <v>1885</v>
      </c>
      <c r="C816" s="6">
        <v>45315</v>
      </c>
      <c r="D816" t="s">
        <v>2089</v>
      </c>
      <c r="E816" t="s">
        <v>2106</v>
      </c>
      <c r="F816" t="str">
        <f>_xlfn.XLOOKUP(E816,Table8[City],Table8[State])</f>
        <v>West Bengal</v>
      </c>
      <c r="G816" t="str">
        <f>_xlfn.XLOOKUP(E816,Table8[City],Table8[Region])</f>
        <v>East</v>
      </c>
      <c r="H816" t="s">
        <v>16</v>
      </c>
      <c r="I816" t="str">
        <f>_xlfn.XLOOKUP(H816,Table6[Product],Table6[Category])</f>
        <v>Electronics</v>
      </c>
      <c r="J816" t="s">
        <v>63</v>
      </c>
      <c r="K816">
        <v>5</v>
      </c>
      <c r="L816">
        <f>_xlfn.XLOOKUP(H816,Table6[Product],Table6[Unit Price])</f>
        <v>65000</v>
      </c>
      <c r="M816">
        <f>_xlfn.XLOOKUP(H816,Table6[Product],Table6[Cost Price])</f>
        <v>52000</v>
      </c>
      <c r="N816" s="7">
        <v>0.03</v>
      </c>
      <c r="O816">
        <f t="shared" si="36"/>
        <v>315250</v>
      </c>
      <c r="P816">
        <f t="shared" si="37"/>
        <v>260000</v>
      </c>
      <c r="Q816">
        <f t="shared" si="38"/>
        <v>55250</v>
      </c>
      <c r="R816" t="s">
        <v>44</v>
      </c>
      <c r="S816" t="s">
        <v>52</v>
      </c>
    </row>
    <row r="817" spans="1:19" ht="18" x14ac:dyDescent="0.5">
      <c r="A817" t="s">
        <v>887</v>
      </c>
      <c r="B817" t="s">
        <v>1886</v>
      </c>
      <c r="C817" s="6">
        <v>45476</v>
      </c>
      <c r="D817" t="s">
        <v>2093</v>
      </c>
      <c r="E817" t="s">
        <v>2076</v>
      </c>
      <c r="F817" t="str">
        <f>_xlfn.XLOOKUP(E817,Table8[City],Table8[State])</f>
        <v>Tamil Nadu</v>
      </c>
      <c r="G817" t="str">
        <f>_xlfn.XLOOKUP(E817,Table8[City],Table8[Region])</f>
        <v>South</v>
      </c>
      <c r="H817" t="s">
        <v>20</v>
      </c>
      <c r="I817" t="str">
        <f>_xlfn.XLOOKUP(H817,Table6[Product],Table6[Category])</f>
        <v>Accessories</v>
      </c>
      <c r="J817" t="s">
        <v>62</v>
      </c>
      <c r="K817">
        <v>7</v>
      </c>
      <c r="L817">
        <f>_xlfn.XLOOKUP(H817,Table6[Product],Table6[Unit Price])</f>
        <v>3000</v>
      </c>
      <c r="M817">
        <f>_xlfn.XLOOKUP(H817,Table6[Product],Table6[Cost Price])</f>
        <v>1800</v>
      </c>
      <c r="N817" s="7">
        <v>0.11</v>
      </c>
      <c r="O817">
        <f t="shared" si="36"/>
        <v>18690</v>
      </c>
      <c r="P817">
        <f t="shared" si="37"/>
        <v>12600</v>
      </c>
      <c r="Q817">
        <f t="shared" si="38"/>
        <v>6090</v>
      </c>
      <c r="R817" t="s">
        <v>46</v>
      </c>
      <c r="S817" t="s">
        <v>50</v>
      </c>
    </row>
    <row r="818" spans="1:19" ht="18" x14ac:dyDescent="0.5">
      <c r="A818" t="s">
        <v>888</v>
      </c>
      <c r="B818" t="s">
        <v>1887</v>
      </c>
      <c r="C818" s="6">
        <v>45778</v>
      </c>
      <c r="D818" t="s">
        <v>69</v>
      </c>
      <c r="E818" t="s">
        <v>2075</v>
      </c>
      <c r="F818" t="str">
        <f>_xlfn.XLOOKUP(E818,Table8[City],Table8[State])</f>
        <v>Tamil Nadu</v>
      </c>
      <c r="G818" t="str">
        <f>_xlfn.XLOOKUP(E818,Table8[City],Table8[Region])</f>
        <v>South</v>
      </c>
      <c r="H818" t="s">
        <v>29</v>
      </c>
      <c r="I818" t="str">
        <f>_xlfn.XLOOKUP(H818,Table6[Product],Table6[Category])</f>
        <v>Electronics</v>
      </c>
      <c r="J818" t="s">
        <v>58</v>
      </c>
      <c r="K818">
        <v>4</v>
      </c>
      <c r="L818">
        <f>_xlfn.XLOOKUP(H818,Table6[Product],Table6[Unit Price])</f>
        <v>5000</v>
      </c>
      <c r="M818">
        <f>_xlfn.XLOOKUP(H818,Table6[Product],Table6[Cost Price])</f>
        <v>3200</v>
      </c>
      <c r="N818" s="7">
        <v>0.09</v>
      </c>
      <c r="O818">
        <f t="shared" si="36"/>
        <v>18200</v>
      </c>
      <c r="P818">
        <f t="shared" si="37"/>
        <v>12800</v>
      </c>
      <c r="Q818">
        <f t="shared" si="38"/>
        <v>5400</v>
      </c>
      <c r="R818" t="s">
        <v>43</v>
      </c>
      <c r="S818" t="s">
        <v>50</v>
      </c>
    </row>
    <row r="819" spans="1:19" ht="18" x14ac:dyDescent="0.5">
      <c r="A819" t="s">
        <v>889</v>
      </c>
      <c r="B819" t="s">
        <v>1888</v>
      </c>
      <c r="C819" s="6">
        <v>45708</v>
      </c>
      <c r="D819" t="s">
        <v>2093</v>
      </c>
      <c r="E819" t="s">
        <v>2072</v>
      </c>
      <c r="F819" t="str">
        <f>_xlfn.XLOOKUP(E819,Table8[City],Table8[State])</f>
        <v>Karnataka</v>
      </c>
      <c r="G819" t="str">
        <f>_xlfn.XLOOKUP(E819,Table8[City],Table8[Region])</f>
        <v>South</v>
      </c>
      <c r="H819" t="s">
        <v>18</v>
      </c>
      <c r="I819" t="str">
        <f>_xlfn.XLOOKUP(H819,Table6[Product],Table6[Category])</f>
        <v>Electronics</v>
      </c>
      <c r="J819" t="s">
        <v>55</v>
      </c>
      <c r="K819">
        <v>4</v>
      </c>
      <c r="L819">
        <f>_xlfn.XLOOKUP(H819,Table6[Product],Table6[Unit Price])</f>
        <v>35000</v>
      </c>
      <c r="M819">
        <f>_xlfn.XLOOKUP(H819,Table6[Product],Table6[Cost Price])</f>
        <v>28000</v>
      </c>
      <c r="N819" s="7">
        <v>0.21</v>
      </c>
      <c r="O819">
        <f t="shared" si="36"/>
        <v>110600</v>
      </c>
      <c r="P819">
        <f t="shared" si="37"/>
        <v>112000</v>
      </c>
      <c r="Q819">
        <f t="shared" si="38"/>
        <v>-1400</v>
      </c>
      <c r="R819" t="s">
        <v>47</v>
      </c>
      <c r="S819" t="s">
        <v>51</v>
      </c>
    </row>
    <row r="820" spans="1:19" ht="18" x14ac:dyDescent="0.5">
      <c r="A820" t="s">
        <v>890</v>
      </c>
      <c r="B820" t="s">
        <v>1889</v>
      </c>
      <c r="C820" s="6">
        <v>45932</v>
      </c>
      <c r="D820" t="s">
        <v>2086</v>
      </c>
      <c r="E820" t="s">
        <v>2105</v>
      </c>
      <c r="F820" t="str">
        <f>_xlfn.XLOOKUP(E820,Table8[City],Table8[State])</f>
        <v>Rajasthan</v>
      </c>
      <c r="G820" t="str">
        <f>_xlfn.XLOOKUP(E820,Table8[City],Table8[Region])</f>
        <v>North</v>
      </c>
      <c r="H820" t="s">
        <v>20</v>
      </c>
      <c r="I820" t="str">
        <f>_xlfn.XLOOKUP(H820,Table6[Product],Table6[Category])</f>
        <v>Accessories</v>
      </c>
      <c r="J820" t="s">
        <v>62</v>
      </c>
      <c r="K820">
        <v>10</v>
      </c>
      <c r="L820">
        <f>_xlfn.XLOOKUP(H820,Table6[Product],Table6[Unit Price])</f>
        <v>3000</v>
      </c>
      <c r="M820">
        <f>_xlfn.XLOOKUP(H820,Table6[Product],Table6[Cost Price])</f>
        <v>1800</v>
      </c>
      <c r="N820" s="7">
        <v>0.27</v>
      </c>
      <c r="O820">
        <f t="shared" si="36"/>
        <v>21900</v>
      </c>
      <c r="P820">
        <f t="shared" si="37"/>
        <v>18000</v>
      </c>
      <c r="Q820">
        <f t="shared" si="38"/>
        <v>3900</v>
      </c>
      <c r="R820" t="s">
        <v>47</v>
      </c>
      <c r="S820" t="s">
        <v>51</v>
      </c>
    </row>
    <row r="821" spans="1:19" ht="18" x14ac:dyDescent="0.5">
      <c r="A821" t="s">
        <v>891</v>
      </c>
      <c r="B821" t="s">
        <v>1890</v>
      </c>
      <c r="C821" s="6">
        <v>45459</v>
      </c>
      <c r="D821" t="s">
        <v>2097</v>
      </c>
      <c r="E821" t="s">
        <v>2106</v>
      </c>
      <c r="F821" t="str">
        <f>_xlfn.XLOOKUP(E821,Table8[City],Table8[State])</f>
        <v>West Bengal</v>
      </c>
      <c r="G821" t="str">
        <f>_xlfn.XLOOKUP(E821,Table8[City],Table8[Region])</f>
        <v>East</v>
      </c>
      <c r="H821" t="s">
        <v>20</v>
      </c>
      <c r="I821" t="str">
        <f>_xlfn.XLOOKUP(H821,Table6[Product],Table6[Category])</f>
        <v>Accessories</v>
      </c>
      <c r="J821" t="s">
        <v>54</v>
      </c>
      <c r="K821">
        <v>9</v>
      </c>
      <c r="L821">
        <f>_xlfn.XLOOKUP(H821,Table6[Product],Table6[Unit Price])</f>
        <v>3000</v>
      </c>
      <c r="M821">
        <f>_xlfn.XLOOKUP(H821,Table6[Product],Table6[Cost Price])</f>
        <v>1800</v>
      </c>
      <c r="N821" s="7">
        <v>7.0000000000000007E-2</v>
      </c>
      <c r="O821">
        <f t="shared" si="36"/>
        <v>25110</v>
      </c>
      <c r="P821">
        <f t="shared" si="37"/>
        <v>16200</v>
      </c>
      <c r="Q821">
        <f t="shared" si="38"/>
        <v>8910</v>
      </c>
      <c r="R821" t="s">
        <v>47</v>
      </c>
      <c r="S821" t="s">
        <v>50</v>
      </c>
    </row>
    <row r="822" spans="1:19" ht="18" x14ac:dyDescent="0.5">
      <c r="A822" t="s">
        <v>892</v>
      </c>
      <c r="B822" t="s">
        <v>1891</v>
      </c>
      <c r="C822" s="6">
        <v>45884</v>
      </c>
      <c r="D822" t="s">
        <v>2084</v>
      </c>
      <c r="E822" t="s">
        <v>2075</v>
      </c>
      <c r="F822" t="str">
        <f>_xlfn.XLOOKUP(E822,Table8[City],Table8[State])</f>
        <v>Tamil Nadu</v>
      </c>
      <c r="G822" t="str">
        <f>_xlfn.XLOOKUP(E822,Table8[City],Table8[Region])</f>
        <v>South</v>
      </c>
      <c r="H822" t="s">
        <v>28</v>
      </c>
      <c r="I822" t="str">
        <f>_xlfn.XLOOKUP(H822,Table6[Product],Table6[Category])</f>
        <v>Office</v>
      </c>
      <c r="J822" t="s">
        <v>58</v>
      </c>
      <c r="K822">
        <v>5</v>
      </c>
      <c r="L822">
        <f>_xlfn.XLOOKUP(H822,Table6[Product],Table6[Unit Price])</f>
        <v>18000</v>
      </c>
      <c r="M822">
        <f>_xlfn.XLOOKUP(H822,Table6[Product],Table6[Cost Price])</f>
        <v>14000</v>
      </c>
      <c r="N822" s="7">
        <v>0.3</v>
      </c>
      <c r="O822">
        <f t="shared" si="36"/>
        <v>62999.999999999993</v>
      </c>
      <c r="P822">
        <f t="shared" si="37"/>
        <v>70000</v>
      </c>
      <c r="Q822">
        <f t="shared" si="38"/>
        <v>-7000.0000000000073</v>
      </c>
      <c r="R822" t="s">
        <v>43</v>
      </c>
      <c r="S822" t="s">
        <v>51</v>
      </c>
    </row>
    <row r="823" spans="1:19" ht="18" x14ac:dyDescent="0.5">
      <c r="A823" t="s">
        <v>893</v>
      </c>
      <c r="B823" t="s">
        <v>1892</v>
      </c>
      <c r="C823" s="6">
        <v>45326</v>
      </c>
      <c r="D823" t="s">
        <v>2084</v>
      </c>
      <c r="E823" t="s">
        <v>2104</v>
      </c>
      <c r="F823" t="str">
        <f>_xlfn.XLOOKUP(E823,Table8[City],Table8[State])</f>
        <v>Delhi</v>
      </c>
      <c r="G823" t="str">
        <f>_xlfn.XLOOKUP(E823,Table8[City],Table8[Region])</f>
        <v>North</v>
      </c>
      <c r="H823" t="s">
        <v>26</v>
      </c>
      <c r="I823" t="str">
        <f>_xlfn.XLOOKUP(H823,Table6[Product],Table6[Category])</f>
        <v>Office</v>
      </c>
      <c r="J823" t="s">
        <v>58</v>
      </c>
      <c r="K823">
        <v>10</v>
      </c>
      <c r="L823">
        <f>_xlfn.XLOOKUP(H823,Table6[Product],Table6[Unit Price])</f>
        <v>15000</v>
      </c>
      <c r="M823">
        <f>_xlfn.XLOOKUP(H823,Table6[Product],Table6[Cost Price])</f>
        <v>11500</v>
      </c>
      <c r="N823" s="7">
        <v>0.17</v>
      </c>
      <c r="O823">
        <f t="shared" si="36"/>
        <v>124500</v>
      </c>
      <c r="P823">
        <f t="shared" si="37"/>
        <v>115000</v>
      </c>
      <c r="Q823">
        <f t="shared" si="38"/>
        <v>9500</v>
      </c>
      <c r="R823" t="s">
        <v>44</v>
      </c>
      <c r="S823" t="s">
        <v>50</v>
      </c>
    </row>
    <row r="824" spans="1:19" ht="18" x14ac:dyDescent="0.5">
      <c r="A824" t="s">
        <v>894</v>
      </c>
      <c r="B824" t="s">
        <v>1893</v>
      </c>
      <c r="C824" s="6">
        <v>45508</v>
      </c>
      <c r="D824" t="s">
        <v>2086</v>
      </c>
      <c r="E824" t="s">
        <v>2077</v>
      </c>
      <c r="F824" t="str">
        <f>_xlfn.XLOOKUP(E824,Table8[City],Table8[State])</f>
        <v>Telangana</v>
      </c>
      <c r="G824" t="str">
        <f>_xlfn.XLOOKUP(E824,Table8[City],Table8[Region])</f>
        <v>South</v>
      </c>
      <c r="H824" t="s">
        <v>26</v>
      </c>
      <c r="I824" t="str">
        <f>_xlfn.XLOOKUP(H824,Table6[Product],Table6[Category])</f>
        <v>Office</v>
      </c>
      <c r="J824" t="s">
        <v>56</v>
      </c>
      <c r="K824">
        <v>6</v>
      </c>
      <c r="L824">
        <f>_xlfn.XLOOKUP(H824,Table6[Product],Table6[Unit Price])</f>
        <v>15000</v>
      </c>
      <c r="M824">
        <f>_xlfn.XLOOKUP(H824,Table6[Product],Table6[Cost Price])</f>
        <v>11500</v>
      </c>
      <c r="N824" s="7">
        <v>0.2</v>
      </c>
      <c r="O824">
        <f t="shared" si="36"/>
        <v>72000</v>
      </c>
      <c r="P824">
        <f t="shared" si="37"/>
        <v>69000</v>
      </c>
      <c r="Q824">
        <f t="shared" si="38"/>
        <v>3000</v>
      </c>
      <c r="R824" t="s">
        <v>43</v>
      </c>
      <c r="S824" t="s">
        <v>49</v>
      </c>
    </row>
    <row r="825" spans="1:19" ht="18" x14ac:dyDescent="0.5">
      <c r="A825" t="s">
        <v>895</v>
      </c>
      <c r="B825" t="s">
        <v>1894</v>
      </c>
      <c r="C825" s="6">
        <v>45588</v>
      </c>
      <c r="D825" t="s">
        <v>2090</v>
      </c>
      <c r="E825" t="s">
        <v>2074</v>
      </c>
      <c r="F825" t="str">
        <f>_xlfn.XLOOKUP(E825,Table8[City],Table8[State])</f>
        <v>Maharashtra</v>
      </c>
      <c r="G825" t="str">
        <f>_xlfn.XLOOKUP(E825,Table8[City],Table8[Region])</f>
        <v>West</v>
      </c>
      <c r="H825" t="s">
        <v>29</v>
      </c>
      <c r="I825" t="str">
        <f>_xlfn.XLOOKUP(H825,Table6[Product],Table6[Category])</f>
        <v>Electronics</v>
      </c>
      <c r="J825" t="s">
        <v>59</v>
      </c>
      <c r="K825">
        <v>10</v>
      </c>
      <c r="L825">
        <f>_xlfn.XLOOKUP(H825,Table6[Product],Table6[Unit Price])</f>
        <v>5000</v>
      </c>
      <c r="M825">
        <f>_xlfn.XLOOKUP(H825,Table6[Product],Table6[Cost Price])</f>
        <v>3200</v>
      </c>
      <c r="N825" s="7">
        <v>0.24</v>
      </c>
      <c r="O825">
        <f t="shared" si="36"/>
        <v>38000</v>
      </c>
      <c r="P825">
        <f t="shared" si="37"/>
        <v>32000</v>
      </c>
      <c r="Q825">
        <f t="shared" si="38"/>
        <v>6000</v>
      </c>
      <c r="R825" t="s">
        <v>44</v>
      </c>
      <c r="S825" t="s">
        <v>50</v>
      </c>
    </row>
    <row r="826" spans="1:19" ht="18" x14ac:dyDescent="0.5">
      <c r="A826" t="s">
        <v>896</v>
      </c>
      <c r="B826" t="s">
        <v>1895</v>
      </c>
      <c r="C826" s="6">
        <v>45705</v>
      </c>
      <c r="D826" t="s">
        <v>2092</v>
      </c>
      <c r="E826" t="s">
        <v>2080</v>
      </c>
      <c r="F826" t="str">
        <f>_xlfn.XLOOKUP(E826,Table8[City],Table8[State])</f>
        <v>Gujarat</v>
      </c>
      <c r="G826" t="str">
        <f>_xlfn.XLOOKUP(E826,Table8[City],Table8[Region])</f>
        <v>West</v>
      </c>
      <c r="H826" t="s">
        <v>18</v>
      </c>
      <c r="I826" t="str">
        <f>_xlfn.XLOOKUP(H826,Table6[Product],Table6[Category])</f>
        <v>Electronics</v>
      </c>
      <c r="J826" t="s">
        <v>55</v>
      </c>
      <c r="K826">
        <v>7</v>
      </c>
      <c r="L826">
        <f>_xlfn.XLOOKUP(H826,Table6[Product],Table6[Unit Price])</f>
        <v>35000</v>
      </c>
      <c r="M826">
        <f>_xlfn.XLOOKUP(H826,Table6[Product],Table6[Cost Price])</f>
        <v>28000</v>
      </c>
      <c r="N826" s="7">
        <v>0.25</v>
      </c>
      <c r="O826">
        <f t="shared" si="36"/>
        <v>183750</v>
      </c>
      <c r="P826">
        <f t="shared" si="37"/>
        <v>196000</v>
      </c>
      <c r="Q826">
        <f t="shared" si="38"/>
        <v>-12250</v>
      </c>
      <c r="R826" t="s">
        <v>47</v>
      </c>
      <c r="S826" t="s">
        <v>51</v>
      </c>
    </row>
    <row r="827" spans="1:19" ht="18" x14ac:dyDescent="0.5">
      <c r="A827" t="s">
        <v>897</v>
      </c>
      <c r="B827" t="s">
        <v>1896</v>
      </c>
      <c r="C827" s="6">
        <v>45532</v>
      </c>
      <c r="D827" t="s">
        <v>2096</v>
      </c>
      <c r="E827" t="s">
        <v>2106</v>
      </c>
      <c r="F827" t="str">
        <f>_xlfn.XLOOKUP(E827,Table8[City],Table8[State])</f>
        <v>West Bengal</v>
      </c>
      <c r="G827" t="str">
        <f>_xlfn.XLOOKUP(E827,Table8[City],Table8[Region])</f>
        <v>East</v>
      </c>
      <c r="H827" t="s">
        <v>29</v>
      </c>
      <c r="I827" t="str">
        <f>_xlfn.XLOOKUP(H827,Table6[Product],Table6[Category])</f>
        <v>Electronics</v>
      </c>
      <c r="J827" t="s">
        <v>60</v>
      </c>
      <c r="K827">
        <v>1</v>
      </c>
      <c r="L827">
        <f>_xlfn.XLOOKUP(H827,Table6[Product],Table6[Unit Price])</f>
        <v>5000</v>
      </c>
      <c r="M827">
        <f>_xlfn.XLOOKUP(H827,Table6[Product],Table6[Cost Price])</f>
        <v>3200</v>
      </c>
      <c r="N827" s="7">
        <v>0.03</v>
      </c>
      <c r="O827">
        <f t="shared" si="36"/>
        <v>4850</v>
      </c>
      <c r="P827">
        <f t="shared" si="37"/>
        <v>3200</v>
      </c>
      <c r="Q827">
        <f t="shared" si="38"/>
        <v>1650</v>
      </c>
      <c r="R827" t="s">
        <v>45</v>
      </c>
      <c r="S827" t="s">
        <v>49</v>
      </c>
    </row>
    <row r="828" spans="1:19" ht="18" x14ac:dyDescent="0.5">
      <c r="A828" t="s">
        <v>898</v>
      </c>
      <c r="B828" t="s">
        <v>1897</v>
      </c>
      <c r="C828" s="6">
        <v>45555</v>
      </c>
      <c r="D828" t="s">
        <v>2085</v>
      </c>
      <c r="E828" t="s">
        <v>2104</v>
      </c>
      <c r="F828" t="str">
        <f>_xlfn.XLOOKUP(E828,Table8[City],Table8[State])</f>
        <v>Delhi</v>
      </c>
      <c r="G828" t="str">
        <f>_xlfn.XLOOKUP(E828,Table8[City],Table8[Region])</f>
        <v>North</v>
      </c>
      <c r="H828" t="s">
        <v>25</v>
      </c>
      <c r="I828" t="str">
        <f>_xlfn.XLOOKUP(H828,Table6[Product],Table6[Category])</f>
        <v>Accessories</v>
      </c>
      <c r="J828" t="s">
        <v>58</v>
      </c>
      <c r="K828">
        <v>7</v>
      </c>
      <c r="L828">
        <f>_xlfn.XLOOKUP(H828,Table6[Product],Table6[Unit Price])</f>
        <v>800</v>
      </c>
      <c r="M828">
        <f>_xlfn.XLOOKUP(H828,Table6[Product],Table6[Cost Price])</f>
        <v>450</v>
      </c>
      <c r="N828" s="7">
        <v>0.2</v>
      </c>
      <c r="O828">
        <f t="shared" si="36"/>
        <v>4480</v>
      </c>
      <c r="P828">
        <f t="shared" si="37"/>
        <v>3150</v>
      </c>
      <c r="Q828">
        <f t="shared" si="38"/>
        <v>1330</v>
      </c>
      <c r="R828" t="s">
        <v>43</v>
      </c>
      <c r="S828" t="s">
        <v>49</v>
      </c>
    </row>
    <row r="829" spans="1:19" ht="18" x14ac:dyDescent="0.5">
      <c r="A829" t="s">
        <v>899</v>
      </c>
      <c r="B829" t="s">
        <v>1898</v>
      </c>
      <c r="C829" s="6">
        <v>45850</v>
      </c>
      <c r="D829" t="s">
        <v>2094</v>
      </c>
      <c r="E829" t="s">
        <v>2076</v>
      </c>
      <c r="F829" t="str">
        <f>_xlfn.XLOOKUP(E829,Table8[City],Table8[State])</f>
        <v>Tamil Nadu</v>
      </c>
      <c r="G829" t="str">
        <f>_xlfn.XLOOKUP(E829,Table8[City],Table8[Region])</f>
        <v>South</v>
      </c>
      <c r="H829" t="s">
        <v>19</v>
      </c>
      <c r="I829" t="str">
        <f>_xlfn.XLOOKUP(H829,Table6[Product],Table6[Category])</f>
        <v>Electronics</v>
      </c>
      <c r="J829" t="s">
        <v>60</v>
      </c>
      <c r="K829">
        <v>6</v>
      </c>
      <c r="L829">
        <f>_xlfn.XLOOKUP(H829,Table6[Product],Table6[Unit Price])</f>
        <v>25000</v>
      </c>
      <c r="M829">
        <f>_xlfn.XLOOKUP(H829,Table6[Product],Table6[Cost Price])</f>
        <v>20000</v>
      </c>
      <c r="N829" s="7">
        <v>0.2</v>
      </c>
      <c r="O829">
        <f t="shared" si="36"/>
        <v>120000</v>
      </c>
      <c r="P829">
        <f t="shared" si="37"/>
        <v>120000</v>
      </c>
      <c r="Q829">
        <f t="shared" si="38"/>
        <v>0</v>
      </c>
      <c r="R829" t="s">
        <v>43</v>
      </c>
      <c r="S829" t="s">
        <v>52</v>
      </c>
    </row>
    <row r="830" spans="1:19" ht="18" x14ac:dyDescent="0.5">
      <c r="A830" t="s">
        <v>900</v>
      </c>
      <c r="B830" t="s">
        <v>1899</v>
      </c>
      <c r="C830" s="6">
        <v>45618</v>
      </c>
      <c r="D830" t="s">
        <v>2095</v>
      </c>
      <c r="E830" t="s">
        <v>2078</v>
      </c>
      <c r="F830" t="str">
        <f>_xlfn.XLOOKUP(E830,Table8[City],Table8[State])</f>
        <v>Telangana</v>
      </c>
      <c r="G830" t="str">
        <f>_xlfn.XLOOKUP(E830,Table8[City],Table8[Region])</f>
        <v>South</v>
      </c>
      <c r="H830" t="s">
        <v>28</v>
      </c>
      <c r="I830" t="str">
        <f>_xlfn.XLOOKUP(H830,Table6[Product],Table6[Category])</f>
        <v>Office</v>
      </c>
      <c r="J830" t="s">
        <v>56</v>
      </c>
      <c r="K830">
        <v>2</v>
      </c>
      <c r="L830">
        <f>_xlfn.XLOOKUP(H830,Table6[Product],Table6[Unit Price])</f>
        <v>18000</v>
      </c>
      <c r="M830">
        <f>_xlfn.XLOOKUP(H830,Table6[Product],Table6[Cost Price])</f>
        <v>14000</v>
      </c>
      <c r="N830" s="7">
        <v>0.06</v>
      </c>
      <c r="O830">
        <f t="shared" si="36"/>
        <v>33840</v>
      </c>
      <c r="P830">
        <f t="shared" si="37"/>
        <v>28000</v>
      </c>
      <c r="Q830">
        <f t="shared" si="38"/>
        <v>5840</v>
      </c>
      <c r="R830" t="s">
        <v>47</v>
      </c>
      <c r="S830" t="s">
        <v>52</v>
      </c>
    </row>
    <row r="831" spans="1:19" ht="18" x14ac:dyDescent="0.5">
      <c r="A831" t="s">
        <v>901</v>
      </c>
      <c r="B831" t="s">
        <v>1900</v>
      </c>
      <c r="C831" s="6">
        <v>45501</v>
      </c>
      <c r="D831" t="s">
        <v>2088</v>
      </c>
      <c r="E831" t="s">
        <v>70</v>
      </c>
      <c r="F831" t="str">
        <f>_xlfn.XLOOKUP(E831,Table8[City],Table8[State])</f>
        <v>Karnataka</v>
      </c>
      <c r="G831" t="str">
        <f>_xlfn.XLOOKUP(E831,Table8[City],Table8[Region])</f>
        <v>South</v>
      </c>
      <c r="H831" t="s">
        <v>18</v>
      </c>
      <c r="I831" t="str">
        <f>_xlfn.XLOOKUP(H831,Table6[Product],Table6[Category])</f>
        <v>Electronics</v>
      </c>
      <c r="J831" t="s">
        <v>62</v>
      </c>
      <c r="K831">
        <v>5</v>
      </c>
      <c r="L831">
        <f>_xlfn.XLOOKUP(H831,Table6[Product],Table6[Unit Price])</f>
        <v>35000</v>
      </c>
      <c r="M831">
        <f>_xlfn.XLOOKUP(H831,Table6[Product],Table6[Cost Price])</f>
        <v>28000</v>
      </c>
      <c r="N831" s="7">
        <v>0.3</v>
      </c>
      <c r="O831">
        <f t="shared" si="36"/>
        <v>122499.99999999999</v>
      </c>
      <c r="P831">
        <f t="shared" si="37"/>
        <v>140000</v>
      </c>
      <c r="Q831">
        <f t="shared" si="38"/>
        <v>-17500.000000000015</v>
      </c>
      <c r="R831" t="s">
        <v>43</v>
      </c>
      <c r="S831" t="s">
        <v>50</v>
      </c>
    </row>
    <row r="832" spans="1:19" ht="18" x14ac:dyDescent="0.5">
      <c r="A832" t="s">
        <v>902</v>
      </c>
      <c r="B832" t="s">
        <v>1901</v>
      </c>
      <c r="C832" s="6">
        <v>45542</v>
      </c>
      <c r="D832" t="s">
        <v>2091</v>
      </c>
      <c r="E832" t="s">
        <v>2076</v>
      </c>
      <c r="F832" t="str">
        <f>_xlfn.XLOOKUP(E832,Table8[City],Table8[State])</f>
        <v>Tamil Nadu</v>
      </c>
      <c r="G832" t="str">
        <f>_xlfn.XLOOKUP(E832,Table8[City],Table8[Region])</f>
        <v>South</v>
      </c>
      <c r="H832" t="s">
        <v>26</v>
      </c>
      <c r="I832" t="str">
        <f>_xlfn.XLOOKUP(H832,Table6[Product],Table6[Category])</f>
        <v>Office</v>
      </c>
      <c r="J832" t="s">
        <v>60</v>
      </c>
      <c r="K832">
        <v>1</v>
      </c>
      <c r="L832">
        <f>_xlfn.XLOOKUP(H832,Table6[Product],Table6[Unit Price])</f>
        <v>15000</v>
      </c>
      <c r="M832">
        <f>_xlfn.XLOOKUP(H832,Table6[Product],Table6[Cost Price])</f>
        <v>11500</v>
      </c>
      <c r="N832" s="7">
        <v>0.14000000000000001</v>
      </c>
      <c r="O832">
        <f t="shared" si="36"/>
        <v>12900</v>
      </c>
      <c r="P832">
        <f t="shared" si="37"/>
        <v>11500</v>
      </c>
      <c r="Q832">
        <f t="shared" si="38"/>
        <v>1400</v>
      </c>
      <c r="R832" t="s">
        <v>43</v>
      </c>
      <c r="S832" t="s">
        <v>49</v>
      </c>
    </row>
    <row r="833" spans="1:19" ht="18" x14ac:dyDescent="0.5">
      <c r="A833" t="s">
        <v>903</v>
      </c>
      <c r="B833" t="s">
        <v>1902</v>
      </c>
      <c r="C833" s="6">
        <v>45299</v>
      </c>
      <c r="D833" t="s">
        <v>63</v>
      </c>
      <c r="E833" t="s">
        <v>2075</v>
      </c>
      <c r="F833" t="str">
        <f>_xlfn.XLOOKUP(E833,Table8[City],Table8[State])</f>
        <v>Tamil Nadu</v>
      </c>
      <c r="G833" t="str">
        <f>_xlfn.XLOOKUP(E833,Table8[City],Table8[Region])</f>
        <v>South</v>
      </c>
      <c r="H833" t="s">
        <v>22</v>
      </c>
      <c r="I833" t="str">
        <f>_xlfn.XLOOKUP(H833,Table6[Product],Table6[Category])</f>
        <v>Wearables</v>
      </c>
      <c r="J833" t="s">
        <v>61</v>
      </c>
      <c r="K833">
        <v>9</v>
      </c>
      <c r="L833">
        <f>_xlfn.XLOOKUP(H833,Table6[Product],Table6[Unit Price])</f>
        <v>12000</v>
      </c>
      <c r="M833">
        <f>_xlfn.XLOOKUP(H833,Table6[Product],Table6[Cost Price])</f>
        <v>8500</v>
      </c>
      <c r="N833" s="7">
        <v>0.24</v>
      </c>
      <c r="O833">
        <f t="shared" si="36"/>
        <v>82080</v>
      </c>
      <c r="P833">
        <f t="shared" si="37"/>
        <v>76500</v>
      </c>
      <c r="Q833">
        <f t="shared" si="38"/>
        <v>5580</v>
      </c>
      <c r="R833" t="s">
        <v>43</v>
      </c>
      <c r="S833" t="s">
        <v>51</v>
      </c>
    </row>
    <row r="834" spans="1:19" ht="18" x14ac:dyDescent="0.5">
      <c r="A834" t="s">
        <v>904</v>
      </c>
      <c r="B834" t="s">
        <v>1903</v>
      </c>
      <c r="C834" s="6">
        <v>45839</v>
      </c>
      <c r="D834" t="s">
        <v>2090</v>
      </c>
      <c r="E834" t="s">
        <v>2077</v>
      </c>
      <c r="F834" t="str">
        <f>_xlfn.XLOOKUP(E834,Table8[City],Table8[State])</f>
        <v>Telangana</v>
      </c>
      <c r="G834" t="str">
        <f>_xlfn.XLOOKUP(E834,Table8[City],Table8[Region])</f>
        <v>South</v>
      </c>
      <c r="H834" t="s">
        <v>28</v>
      </c>
      <c r="I834" t="str">
        <f>_xlfn.XLOOKUP(H834,Table6[Product],Table6[Category])</f>
        <v>Office</v>
      </c>
      <c r="J834" t="s">
        <v>56</v>
      </c>
      <c r="K834">
        <v>8</v>
      </c>
      <c r="L834">
        <f>_xlfn.XLOOKUP(H834,Table6[Product],Table6[Unit Price])</f>
        <v>18000</v>
      </c>
      <c r="M834">
        <f>_xlfn.XLOOKUP(H834,Table6[Product],Table6[Cost Price])</f>
        <v>14000</v>
      </c>
      <c r="N834" s="7">
        <v>0.04</v>
      </c>
      <c r="O834">
        <f t="shared" si="36"/>
        <v>138240</v>
      </c>
      <c r="P834">
        <f t="shared" si="37"/>
        <v>112000</v>
      </c>
      <c r="Q834">
        <f t="shared" si="38"/>
        <v>26240</v>
      </c>
      <c r="R834" t="s">
        <v>47</v>
      </c>
      <c r="S834" t="s">
        <v>49</v>
      </c>
    </row>
    <row r="835" spans="1:19" ht="18" x14ac:dyDescent="0.5">
      <c r="A835" t="s">
        <v>905</v>
      </c>
      <c r="B835" t="s">
        <v>1904</v>
      </c>
      <c r="C835" s="6">
        <v>45334</v>
      </c>
      <c r="D835" t="s">
        <v>69</v>
      </c>
      <c r="E835" t="s">
        <v>2079</v>
      </c>
      <c r="F835" t="str">
        <f>_xlfn.XLOOKUP(E835,Table8[City],Table8[State])</f>
        <v>Gujarat</v>
      </c>
      <c r="G835" t="str">
        <f>_xlfn.XLOOKUP(E835,Table8[City],Table8[Region])</f>
        <v>West</v>
      </c>
      <c r="H835" t="s">
        <v>18</v>
      </c>
      <c r="I835" t="str">
        <f>_xlfn.XLOOKUP(H835,Table6[Product],Table6[Category])</f>
        <v>Electronics</v>
      </c>
      <c r="J835" t="s">
        <v>61</v>
      </c>
      <c r="K835">
        <v>2</v>
      </c>
      <c r="L835">
        <f>_xlfn.XLOOKUP(H835,Table6[Product],Table6[Unit Price])</f>
        <v>35000</v>
      </c>
      <c r="M835">
        <f>_xlfn.XLOOKUP(H835,Table6[Product],Table6[Cost Price])</f>
        <v>28000</v>
      </c>
      <c r="N835" s="7">
        <v>0.11</v>
      </c>
      <c r="O835">
        <f t="shared" ref="O835:O898" si="39">(L835*K835)*(1-N835)</f>
        <v>62300</v>
      </c>
      <c r="P835">
        <f t="shared" ref="P835:P898" si="40">M835*K835</f>
        <v>56000</v>
      </c>
      <c r="Q835">
        <f t="shared" ref="Q835:Q898" si="41">O835-P835</f>
        <v>6300</v>
      </c>
      <c r="R835" t="s">
        <v>47</v>
      </c>
      <c r="S835" t="s">
        <v>51</v>
      </c>
    </row>
    <row r="836" spans="1:19" ht="18" x14ac:dyDescent="0.5">
      <c r="A836" t="s">
        <v>906</v>
      </c>
      <c r="B836" t="s">
        <v>1905</v>
      </c>
      <c r="C836" s="6">
        <v>45803</v>
      </c>
      <c r="D836" t="s">
        <v>2084</v>
      </c>
      <c r="E836" t="s">
        <v>2072</v>
      </c>
      <c r="F836" t="str">
        <f>_xlfn.XLOOKUP(E836,Table8[City],Table8[State])</f>
        <v>Karnataka</v>
      </c>
      <c r="G836" t="str">
        <f>_xlfn.XLOOKUP(E836,Table8[City],Table8[Region])</f>
        <v>South</v>
      </c>
      <c r="H836" t="s">
        <v>26</v>
      </c>
      <c r="I836" t="str">
        <f>_xlfn.XLOOKUP(H836,Table6[Product],Table6[Category])</f>
        <v>Office</v>
      </c>
      <c r="J836" t="s">
        <v>62</v>
      </c>
      <c r="K836">
        <v>7</v>
      </c>
      <c r="L836">
        <f>_xlfn.XLOOKUP(H836,Table6[Product],Table6[Unit Price])</f>
        <v>15000</v>
      </c>
      <c r="M836">
        <f>_xlfn.XLOOKUP(H836,Table6[Product],Table6[Cost Price])</f>
        <v>11500</v>
      </c>
      <c r="N836" s="7">
        <v>0.21</v>
      </c>
      <c r="O836">
        <f t="shared" si="39"/>
        <v>82950</v>
      </c>
      <c r="P836">
        <f t="shared" si="40"/>
        <v>80500</v>
      </c>
      <c r="Q836">
        <f t="shared" si="41"/>
        <v>2450</v>
      </c>
      <c r="R836" t="s">
        <v>45</v>
      </c>
      <c r="S836" t="s">
        <v>50</v>
      </c>
    </row>
    <row r="837" spans="1:19" ht="18" x14ac:dyDescent="0.5">
      <c r="A837" t="s">
        <v>907</v>
      </c>
      <c r="B837" t="s">
        <v>1906</v>
      </c>
      <c r="C837" s="6">
        <v>45654</v>
      </c>
      <c r="D837" t="s">
        <v>69</v>
      </c>
      <c r="E837" t="s">
        <v>2076</v>
      </c>
      <c r="F837" t="str">
        <f>_xlfn.XLOOKUP(E837,Table8[City],Table8[State])</f>
        <v>Tamil Nadu</v>
      </c>
      <c r="G837" t="str">
        <f>_xlfn.XLOOKUP(E837,Table8[City],Table8[Region])</f>
        <v>South</v>
      </c>
      <c r="H837" t="s">
        <v>29</v>
      </c>
      <c r="I837" t="str">
        <f>_xlfn.XLOOKUP(H837,Table6[Product],Table6[Category])</f>
        <v>Electronics</v>
      </c>
      <c r="J837" t="s">
        <v>60</v>
      </c>
      <c r="K837">
        <v>7</v>
      </c>
      <c r="L837">
        <f>_xlfn.XLOOKUP(H837,Table6[Product],Table6[Unit Price])</f>
        <v>5000</v>
      </c>
      <c r="M837">
        <f>_xlfn.XLOOKUP(H837,Table6[Product],Table6[Cost Price])</f>
        <v>3200</v>
      </c>
      <c r="N837" s="7">
        <v>0.25</v>
      </c>
      <c r="O837">
        <f t="shared" si="39"/>
        <v>26250</v>
      </c>
      <c r="P837">
        <f t="shared" si="40"/>
        <v>22400</v>
      </c>
      <c r="Q837">
        <f t="shared" si="41"/>
        <v>3850</v>
      </c>
      <c r="R837" t="s">
        <v>45</v>
      </c>
      <c r="S837" t="s">
        <v>52</v>
      </c>
    </row>
    <row r="838" spans="1:19" ht="18" x14ac:dyDescent="0.5">
      <c r="A838" t="s">
        <v>908</v>
      </c>
      <c r="B838" t="s">
        <v>1907</v>
      </c>
      <c r="C838" s="6">
        <v>45923</v>
      </c>
      <c r="D838" t="s">
        <v>2098</v>
      </c>
      <c r="E838" t="s">
        <v>2077</v>
      </c>
      <c r="F838" t="str">
        <f>_xlfn.XLOOKUP(E838,Table8[City],Table8[State])</f>
        <v>Telangana</v>
      </c>
      <c r="G838" t="str">
        <f>_xlfn.XLOOKUP(E838,Table8[City],Table8[Region])</f>
        <v>South</v>
      </c>
      <c r="H838" t="s">
        <v>20</v>
      </c>
      <c r="I838" t="str">
        <f>_xlfn.XLOOKUP(H838,Table6[Product],Table6[Category])</f>
        <v>Accessories</v>
      </c>
      <c r="J838" t="s">
        <v>62</v>
      </c>
      <c r="K838">
        <v>2</v>
      </c>
      <c r="L838">
        <f>_xlfn.XLOOKUP(H838,Table6[Product],Table6[Unit Price])</f>
        <v>3000</v>
      </c>
      <c r="M838">
        <f>_xlfn.XLOOKUP(H838,Table6[Product],Table6[Cost Price])</f>
        <v>1800</v>
      </c>
      <c r="N838" s="7">
        <v>0.17</v>
      </c>
      <c r="O838">
        <f t="shared" si="39"/>
        <v>4980</v>
      </c>
      <c r="P838">
        <f t="shared" si="40"/>
        <v>3600</v>
      </c>
      <c r="Q838">
        <f t="shared" si="41"/>
        <v>1380</v>
      </c>
      <c r="R838" t="s">
        <v>47</v>
      </c>
      <c r="S838" t="s">
        <v>50</v>
      </c>
    </row>
    <row r="839" spans="1:19" ht="18" x14ac:dyDescent="0.5">
      <c r="A839" t="s">
        <v>909</v>
      </c>
      <c r="B839" t="s">
        <v>1908</v>
      </c>
      <c r="C839" s="6">
        <v>45584</v>
      </c>
      <c r="D839" t="s">
        <v>63</v>
      </c>
      <c r="E839" t="s">
        <v>2106</v>
      </c>
      <c r="F839" t="str">
        <f>_xlfn.XLOOKUP(E839,Table8[City],Table8[State])</f>
        <v>West Bengal</v>
      </c>
      <c r="G839" t="str">
        <f>_xlfn.XLOOKUP(E839,Table8[City],Table8[Region])</f>
        <v>East</v>
      </c>
      <c r="H839" t="s">
        <v>25</v>
      </c>
      <c r="I839" t="str">
        <f>_xlfn.XLOOKUP(H839,Table6[Product],Table6[Category])</f>
        <v>Accessories</v>
      </c>
      <c r="J839" t="s">
        <v>56</v>
      </c>
      <c r="K839">
        <v>1</v>
      </c>
      <c r="L839">
        <f>_xlfn.XLOOKUP(H839,Table6[Product],Table6[Unit Price])</f>
        <v>800</v>
      </c>
      <c r="M839">
        <f>_xlfn.XLOOKUP(H839,Table6[Product],Table6[Cost Price])</f>
        <v>450</v>
      </c>
      <c r="N839" s="7">
        <v>0.14000000000000001</v>
      </c>
      <c r="O839">
        <f t="shared" si="39"/>
        <v>688</v>
      </c>
      <c r="P839">
        <f t="shared" si="40"/>
        <v>450</v>
      </c>
      <c r="Q839">
        <f t="shared" si="41"/>
        <v>238</v>
      </c>
      <c r="R839" t="s">
        <v>44</v>
      </c>
      <c r="S839" t="s">
        <v>51</v>
      </c>
    </row>
    <row r="840" spans="1:19" ht="18" x14ac:dyDescent="0.5">
      <c r="A840" t="s">
        <v>910</v>
      </c>
      <c r="B840" t="s">
        <v>1909</v>
      </c>
      <c r="C840" s="6">
        <v>45474</v>
      </c>
      <c r="D840" t="s">
        <v>2095</v>
      </c>
      <c r="E840" t="s">
        <v>2073</v>
      </c>
      <c r="F840" t="str">
        <f>_xlfn.XLOOKUP(E840,Table8[City],Table8[State])</f>
        <v>Maharashtra</v>
      </c>
      <c r="G840" t="str">
        <f>_xlfn.XLOOKUP(E840,Table8[City],Table8[Region])</f>
        <v>West</v>
      </c>
      <c r="H840" t="s">
        <v>24</v>
      </c>
      <c r="I840" t="str">
        <f>_xlfn.XLOOKUP(H840,Table6[Product],Table6[Category])</f>
        <v>Accessories</v>
      </c>
      <c r="J840" t="s">
        <v>54</v>
      </c>
      <c r="K840">
        <v>8</v>
      </c>
      <c r="L840">
        <f>_xlfn.XLOOKUP(H840,Table6[Product],Table6[Unit Price])</f>
        <v>1500</v>
      </c>
      <c r="M840">
        <f>_xlfn.XLOOKUP(H840,Table6[Product],Table6[Cost Price])</f>
        <v>900</v>
      </c>
      <c r="N840" s="7">
        <v>0.16</v>
      </c>
      <c r="O840">
        <f t="shared" si="39"/>
        <v>10080</v>
      </c>
      <c r="P840">
        <f t="shared" si="40"/>
        <v>7200</v>
      </c>
      <c r="Q840">
        <f t="shared" si="41"/>
        <v>2880</v>
      </c>
      <c r="R840" t="s">
        <v>46</v>
      </c>
      <c r="S840" t="s">
        <v>51</v>
      </c>
    </row>
    <row r="841" spans="1:19" ht="18" x14ac:dyDescent="0.5">
      <c r="A841" t="s">
        <v>911</v>
      </c>
      <c r="B841" t="s">
        <v>1910</v>
      </c>
      <c r="C841" s="6">
        <v>45448</v>
      </c>
      <c r="D841" t="s">
        <v>2086</v>
      </c>
      <c r="E841" t="s">
        <v>2079</v>
      </c>
      <c r="F841" t="str">
        <f>_xlfn.XLOOKUP(E841,Table8[City],Table8[State])</f>
        <v>Gujarat</v>
      </c>
      <c r="G841" t="str">
        <f>_xlfn.XLOOKUP(E841,Table8[City],Table8[Region])</f>
        <v>West</v>
      </c>
      <c r="H841" t="s">
        <v>26</v>
      </c>
      <c r="I841" t="str">
        <f>_xlfn.XLOOKUP(H841,Table6[Product],Table6[Category])</f>
        <v>Office</v>
      </c>
      <c r="J841" t="s">
        <v>58</v>
      </c>
      <c r="K841">
        <v>10</v>
      </c>
      <c r="L841">
        <f>_xlfn.XLOOKUP(H841,Table6[Product],Table6[Unit Price])</f>
        <v>15000</v>
      </c>
      <c r="M841">
        <f>_xlfn.XLOOKUP(H841,Table6[Product],Table6[Cost Price])</f>
        <v>11500</v>
      </c>
      <c r="N841" s="7">
        <v>0.17</v>
      </c>
      <c r="O841">
        <f t="shared" si="39"/>
        <v>124500</v>
      </c>
      <c r="P841">
        <f t="shared" si="40"/>
        <v>115000</v>
      </c>
      <c r="Q841">
        <f t="shared" si="41"/>
        <v>9500</v>
      </c>
      <c r="R841" t="s">
        <v>46</v>
      </c>
      <c r="S841" t="s">
        <v>50</v>
      </c>
    </row>
    <row r="842" spans="1:19" ht="18" x14ac:dyDescent="0.5">
      <c r="A842" t="s">
        <v>912</v>
      </c>
      <c r="B842" t="s">
        <v>1911</v>
      </c>
      <c r="C842" s="6">
        <v>45387</v>
      </c>
      <c r="D842" t="s">
        <v>2091</v>
      </c>
      <c r="E842" t="s">
        <v>2072</v>
      </c>
      <c r="F842" t="str">
        <f>_xlfn.XLOOKUP(E842,Table8[City],Table8[State])</f>
        <v>Karnataka</v>
      </c>
      <c r="G842" t="str">
        <f>_xlfn.XLOOKUP(E842,Table8[City],Table8[Region])</f>
        <v>South</v>
      </c>
      <c r="H842" t="s">
        <v>26</v>
      </c>
      <c r="I842" t="str">
        <f>_xlfn.XLOOKUP(H842,Table6[Product],Table6[Category])</f>
        <v>Office</v>
      </c>
      <c r="J842" t="s">
        <v>59</v>
      </c>
      <c r="K842">
        <v>2</v>
      </c>
      <c r="L842">
        <f>_xlfn.XLOOKUP(H842,Table6[Product],Table6[Unit Price])</f>
        <v>15000</v>
      </c>
      <c r="M842">
        <f>_xlfn.XLOOKUP(H842,Table6[Product],Table6[Cost Price])</f>
        <v>11500</v>
      </c>
      <c r="N842" s="7">
        <v>0.03</v>
      </c>
      <c r="O842">
        <f t="shared" si="39"/>
        <v>29100</v>
      </c>
      <c r="P842">
        <f t="shared" si="40"/>
        <v>23000</v>
      </c>
      <c r="Q842">
        <f t="shared" si="41"/>
        <v>6100</v>
      </c>
      <c r="R842" t="s">
        <v>47</v>
      </c>
      <c r="S842" t="s">
        <v>50</v>
      </c>
    </row>
    <row r="843" spans="1:19" ht="18" x14ac:dyDescent="0.5">
      <c r="A843" t="s">
        <v>913</v>
      </c>
      <c r="B843" t="s">
        <v>1912</v>
      </c>
      <c r="C843" s="6">
        <v>45331</v>
      </c>
      <c r="D843" t="s">
        <v>2093</v>
      </c>
      <c r="E843" t="s">
        <v>2105</v>
      </c>
      <c r="F843" t="str">
        <f>_xlfn.XLOOKUP(E843,Table8[City],Table8[State])</f>
        <v>Rajasthan</v>
      </c>
      <c r="G843" t="str">
        <f>_xlfn.XLOOKUP(E843,Table8[City],Table8[Region])</f>
        <v>North</v>
      </c>
      <c r="H843" t="s">
        <v>19</v>
      </c>
      <c r="I843" t="str">
        <f>_xlfn.XLOOKUP(H843,Table6[Product],Table6[Category])</f>
        <v>Electronics</v>
      </c>
      <c r="J843" t="s">
        <v>63</v>
      </c>
      <c r="K843">
        <v>3</v>
      </c>
      <c r="L843">
        <f>_xlfn.XLOOKUP(H843,Table6[Product],Table6[Unit Price])</f>
        <v>25000</v>
      </c>
      <c r="M843">
        <f>_xlfn.XLOOKUP(H843,Table6[Product],Table6[Cost Price])</f>
        <v>20000</v>
      </c>
      <c r="N843" s="7">
        <v>0.3</v>
      </c>
      <c r="O843">
        <f t="shared" si="39"/>
        <v>52500</v>
      </c>
      <c r="P843">
        <f t="shared" si="40"/>
        <v>60000</v>
      </c>
      <c r="Q843">
        <f t="shared" si="41"/>
        <v>-7500</v>
      </c>
      <c r="R843" t="s">
        <v>43</v>
      </c>
      <c r="S843" t="s">
        <v>49</v>
      </c>
    </row>
    <row r="844" spans="1:19" ht="18" x14ac:dyDescent="0.5">
      <c r="A844" t="s">
        <v>914</v>
      </c>
      <c r="B844" t="s">
        <v>1913</v>
      </c>
      <c r="C844" s="6">
        <v>45915</v>
      </c>
      <c r="D844" t="s">
        <v>63</v>
      </c>
      <c r="E844" t="s">
        <v>2075</v>
      </c>
      <c r="F844" t="str">
        <f>_xlfn.XLOOKUP(E844,Table8[City],Table8[State])</f>
        <v>Tamil Nadu</v>
      </c>
      <c r="G844" t="str">
        <f>_xlfn.XLOOKUP(E844,Table8[City],Table8[Region])</f>
        <v>South</v>
      </c>
      <c r="H844" t="s">
        <v>24</v>
      </c>
      <c r="I844" t="str">
        <f>_xlfn.XLOOKUP(H844,Table6[Product],Table6[Category])</f>
        <v>Accessories</v>
      </c>
      <c r="J844" t="s">
        <v>61</v>
      </c>
      <c r="K844">
        <v>5</v>
      </c>
      <c r="L844">
        <f>_xlfn.XLOOKUP(H844,Table6[Product],Table6[Unit Price])</f>
        <v>1500</v>
      </c>
      <c r="M844">
        <f>_xlfn.XLOOKUP(H844,Table6[Product],Table6[Cost Price])</f>
        <v>900</v>
      </c>
      <c r="N844" s="7">
        <v>0.13</v>
      </c>
      <c r="O844">
        <f t="shared" si="39"/>
        <v>6525</v>
      </c>
      <c r="P844">
        <f t="shared" si="40"/>
        <v>4500</v>
      </c>
      <c r="Q844">
        <f t="shared" si="41"/>
        <v>2025</v>
      </c>
      <c r="R844" t="s">
        <v>43</v>
      </c>
      <c r="S844" t="s">
        <v>51</v>
      </c>
    </row>
    <row r="845" spans="1:19" ht="18" x14ac:dyDescent="0.5">
      <c r="A845" t="s">
        <v>915</v>
      </c>
      <c r="B845" t="s">
        <v>1914</v>
      </c>
      <c r="C845" s="6">
        <v>45770</v>
      </c>
      <c r="D845" t="s">
        <v>2099</v>
      </c>
      <c r="E845" t="s">
        <v>2077</v>
      </c>
      <c r="F845" t="str">
        <f>_xlfn.XLOOKUP(E845,Table8[City],Table8[State])</f>
        <v>Telangana</v>
      </c>
      <c r="G845" t="str">
        <f>_xlfn.XLOOKUP(E845,Table8[City],Table8[Region])</f>
        <v>South</v>
      </c>
      <c r="H845" t="s">
        <v>19</v>
      </c>
      <c r="I845" t="str">
        <f>_xlfn.XLOOKUP(H845,Table6[Product],Table6[Category])</f>
        <v>Electronics</v>
      </c>
      <c r="J845" t="s">
        <v>60</v>
      </c>
      <c r="K845">
        <v>2</v>
      </c>
      <c r="L845">
        <f>_xlfn.XLOOKUP(H845,Table6[Product],Table6[Unit Price])</f>
        <v>25000</v>
      </c>
      <c r="M845">
        <f>_xlfn.XLOOKUP(H845,Table6[Product],Table6[Cost Price])</f>
        <v>20000</v>
      </c>
      <c r="N845" s="7">
        <v>0.27</v>
      </c>
      <c r="O845">
        <f t="shared" si="39"/>
        <v>36500</v>
      </c>
      <c r="P845">
        <f t="shared" si="40"/>
        <v>40000</v>
      </c>
      <c r="Q845">
        <f t="shared" si="41"/>
        <v>-3500</v>
      </c>
      <c r="R845" t="s">
        <v>45</v>
      </c>
      <c r="S845" t="s">
        <v>52</v>
      </c>
    </row>
    <row r="846" spans="1:19" ht="18" x14ac:dyDescent="0.5">
      <c r="A846" t="s">
        <v>916</v>
      </c>
      <c r="B846" t="s">
        <v>1915</v>
      </c>
      <c r="C846" s="6">
        <v>45956</v>
      </c>
      <c r="D846" t="s">
        <v>2099</v>
      </c>
      <c r="E846" t="s">
        <v>2106</v>
      </c>
      <c r="F846" t="str">
        <f>_xlfn.XLOOKUP(E846,Table8[City],Table8[State])</f>
        <v>West Bengal</v>
      </c>
      <c r="G846" t="str">
        <f>_xlfn.XLOOKUP(E846,Table8[City],Table8[Region])</f>
        <v>East</v>
      </c>
      <c r="H846" t="s">
        <v>29</v>
      </c>
      <c r="I846" t="str">
        <f>_xlfn.XLOOKUP(H846,Table6[Product],Table6[Category])</f>
        <v>Electronics</v>
      </c>
      <c r="J846" t="s">
        <v>57</v>
      </c>
      <c r="K846">
        <v>10</v>
      </c>
      <c r="L846">
        <f>_xlfn.XLOOKUP(H846,Table6[Product],Table6[Unit Price])</f>
        <v>5000</v>
      </c>
      <c r="M846">
        <f>_xlfn.XLOOKUP(H846,Table6[Product],Table6[Cost Price])</f>
        <v>3200</v>
      </c>
      <c r="N846" s="7">
        <v>7.0000000000000007E-2</v>
      </c>
      <c r="O846">
        <f t="shared" si="39"/>
        <v>46500</v>
      </c>
      <c r="P846">
        <f t="shared" si="40"/>
        <v>32000</v>
      </c>
      <c r="Q846">
        <f t="shared" si="41"/>
        <v>14500</v>
      </c>
      <c r="R846" t="s">
        <v>47</v>
      </c>
      <c r="S846" t="s">
        <v>52</v>
      </c>
    </row>
    <row r="847" spans="1:19" ht="18" x14ac:dyDescent="0.5">
      <c r="A847" t="s">
        <v>917</v>
      </c>
      <c r="B847" t="s">
        <v>1916</v>
      </c>
      <c r="C847" s="6">
        <v>46010</v>
      </c>
      <c r="D847" t="s">
        <v>2084</v>
      </c>
      <c r="E847" t="s">
        <v>2105</v>
      </c>
      <c r="F847" t="str">
        <f>_xlfn.XLOOKUP(E847,Table8[City],Table8[State])</f>
        <v>Rajasthan</v>
      </c>
      <c r="G847" t="str">
        <f>_xlfn.XLOOKUP(E847,Table8[City],Table8[Region])</f>
        <v>North</v>
      </c>
      <c r="H847" t="s">
        <v>29</v>
      </c>
      <c r="I847" t="str">
        <f>_xlfn.XLOOKUP(H847,Table6[Product],Table6[Category])</f>
        <v>Electronics</v>
      </c>
      <c r="J847" t="s">
        <v>57</v>
      </c>
      <c r="K847">
        <v>9</v>
      </c>
      <c r="L847">
        <f>_xlfn.XLOOKUP(H847,Table6[Product],Table6[Unit Price])</f>
        <v>5000</v>
      </c>
      <c r="M847">
        <f>_xlfn.XLOOKUP(H847,Table6[Product],Table6[Cost Price])</f>
        <v>3200</v>
      </c>
      <c r="N847" s="7">
        <v>0.05</v>
      </c>
      <c r="O847">
        <f t="shared" si="39"/>
        <v>42750</v>
      </c>
      <c r="P847">
        <f t="shared" si="40"/>
        <v>28800</v>
      </c>
      <c r="Q847">
        <f t="shared" si="41"/>
        <v>13950</v>
      </c>
      <c r="R847" t="s">
        <v>47</v>
      </c>
      <c r="S847" t="s">
        <v>50</v>
      </c>
    </row>
    <row r="848" spans="1:19" ht="18" x14ac:dyDescent="0.5">
      <c r="A848" t="s">
        <v>918</v>
      </c>
      <c r="B848" t="s">
        <v>1917</v>
      </c>
      <c r="C848" s="6">
        <v>45810</v>
      </c>
      <c r="D848" t="s">
        <v>69</v>
      </c>
      <c r="E848" t="s">
        <v>2105</v>
      </c>
      <c r="F848" t="str">
        <f>_xlfn.XLOOKUP(E848,Table8[City],Table8[State])</f>
        <v>Rajasthan</v>
      </c>
      <c r="G848" t="str">
        <f>_xlfn.XLOOKUP(E848,Table8[City],Table8[Region])</f>
        <v>North</v>
      </c>
      <c r="H848" t="s">
        <v>18</v>
      </c>
      <c r="I848" t="str">
        <f>_xlfn.XLOOKUP(H848,Table6[Product],Table6[Category])</f>
        <v>Electronics</v>
      </c>
      <c r="J848" t="s">
        <v>55</v>
      </c>
      <c r="K848">
        <v>6</v>
      </c>
      <c r="L848">
        <f>_xlfn.XLOOKUP(H848,Table6[Product],Table6[Unit Price])</f>
        <v>35000</v>
      </c>
      <c r="M848">
        <f>_xlfn.XLOOKUP(H848,Table6[Product],Table6[Cost Price])</f>
        <v>28000</v>
      </c>
      <c r="N848" s="7">
        <v>0.01</v>
      </c>
      <c r="O848">
        <f t="shared" si="39"/>
        <v>207900</v>
      </c>
      <c r="P848">
        <f t="shared" si="40"/>
        <v>168000</v>
      </c>
      <c r="Q848">
        <f t="shared" si="41"/>
        <v>39900</v>
      </c>
      <c r="R848" t="s">
        <v>43</v>
      </c>
      <c r="S848" t="s">
        <v>50</v>
      </c>
    </row>
    <row r="849" spans="1:19" ht="18" x14ac:dyDescent="0.5">
      <c r="A849" t="s">
        <v>919</v>
      </c>
      <c r="B849" t="s">
        <v>1918</v>
      </c>
      <c r="C849" s="6">
        <v>45305</v>
      </c>
      <c r="D849" t="s">
        <v>2093</v>
      </c>
      <c r="E849" t="s">
        <v>2105</v>
      </c>
      <c r="F849" t="str">
        <f>_xlfn.XLOOKUP(E849,Table8[City],Table8[State])</f>
        <v>Rajasthan</v>
      </c>
      <c r="G849" t="str">
        <f>_xlfn.XLOOKUP(E849,Table8[City],Table8[Region])</f>
        <v>North</v>
      </c>
      <c r="H849" t="s">
        <v>19</v>
      </c>
      <c r="I849" t="str">
        <f>_xlfn.XLOOKUP(H849,Table6[Product],Table6[Category])</f>
        <v>Electronics</v>
      </c>
      <c r="J849" t="s">
        <v>55</v>
      </c>
      <c r="K849">
        <v>4</v>
      </c>
      <c r="L849">
        <f>_xlfn.XLOOKUP(H849,Table6[Product],Table6[Unit Price])</f>
        <v>25000</v>
      </c>
      <c r="M849">
        <f>_xlfn.XLOOKUP(H849,Table6[Product],Table6[Cost Price])</f>
        <v>20000</v>
      </c>
      <c r="N849" s="7">
        <v>0.24</v>
      </c>
      <c r="O849">
        <f t="shared" si="39"/>
        <v>76000</v>
      </c>
      <c r="P849">
        <f t="shared" si="40"/>
        <v>80000</v>
      </c>
      <c r="Q849">
        <f t="shared" si="41"/>
        <v>-4000</v>
      </c>
      <c r="R849" t="s">
        <v>47</v>
      </c>
      <c r="S849" t="s">
        <v>51</v>
      </c>
    </row>
    <row r="850" spans="1:19" ht="18" x14ac:dyDescent="0.5">
      <c r="A850" t="s">
        <v>920</v>
      </c>
      <c r="B850" t="s">
        <v>1919</v>
      </c>
      <c r="C850" s="6">
        <v>45899</v>
      </c>
      <c r="D850" t="s">
        <v>2089</v>
      </c>
      <c r="E850" t="s">
        <v>2073</v>
      </c>
      <c r="F850" t="str">
        <f>_xlfn.XLOOKUP(E850,Table8[City],Table8[State])</f>
        <v>Maharashtra</v>
      </c>
      <c r="G850" t="str">
        <f>_xlfn.XLOOKUP(E850,Table8[City],Table8[Region])</f>
        <v>West</v>
      </c>
      <c r="H850" t="s">
        <v>19</v>
      </c>
      <c r="I850" t="str">
        <f>_xlfn.XLOOKUP(H850,Table6[Product],Table6[Category])</f>
        <v>Electronics</v>
      </c>
      <c r="J850" t="s">
        <v>63</v>
      </c>
      <c r="K850">
        <v>1</v>
      </c>
      <c r="L850">
        <f>_xlfn.XLOOKUP(H850,Table6[Product],Table6[Unit Price])</f>
        <v>25000</v>
      </c>
      <c r="M850">
        <f>_xlfn.XLOOKUP(H850,Table6[Product],Table6[Cost Price])</f>
        <v>20000</v>
      </c>
      <c r="N850" s="7">
        <v>0.28000000000000003</v>
      </c>
      <c r="O850">
        <f t="shared" si="39"/>
        <v>18000</v>
      </c>
      <c r="P850">
        <f t="shared" si="40"/>
        <v>20000</v>
      </c>
      <c r="Q850">
        <f t="shared" si="41"/>
        <v>-2000</v>
      </c>
      <c r="R850" t="s">
        <v>45</v>
      </c>
      <c r="S850" t="s">
        <v>52</v>
      </c>
    </row>
    <row r="851" spans="1:19" ht="18" x14ac:dyDescent="0.5">
      <c r="A851" t="s">
        <v>921</v>
      </c>
      <c r="B851" t="s">
        <v>1920</v>
      </c>
      <c r="C851" s="6">
        <v>45309</v>
      </c>
      <c r="D851" t="s">
        <v>2090</v>
      </c>
      <c r="E851" t="s">
        <v>2072</v>
      </c>
      <c r="F851" t="str">
        <f>_xlfn.XLOOKUP(E851,Table8[City],Table8[State])</f>
        <v>Karnataka</v>
      </c>
      <c r="G851" t="str">
        <f>_xlfn.XLOOKUP(E851,Table8[City],Table8[Region])</f>
        <v>South</v>
      </c>
      <c r="H851" t="s">
        <v>26</v>
      </c>
      <c r="I851" t="str">
        <f>_xlfn.XLOOKUP(H851,Table6[Product],Table6[Category])</f>
        <v>Office</v>
      </c>
      <c r="J851" t="s">
        <v>54</v>
      </c>
      <c r="K851">
        <v>4</v>
      </c>
      <c r="L851">
        <f>_xlfn.XLOOKUP(H851,Table6[Product],Table6[Unit Price])</f>
        <v>15000</v>
      </c>
      <c r="M851">
        <f>_xlfn.XLOOKUP(H851,Table6[Product],Table6[Cost Price])</f>
        <v>11500</v>
      </c>
      <c r="N851" s="7">
        <v>0.22</v>
      </c>
      <c r="O851">
        <f t="shared" si="39"/>
        <v>46800</v>
      </c>
      <c r="P851">
        <f t="shared" si="40"/>
        <v>46000</v>
      </c>
      <c r="Q851">
        <f t="shared" si="41"/>
        <v>800</v>
      </c>
      <c r="R851" t="s">
        <v>45</v>
      </c>
      <c r="S851" t="s">
        <v>51</v>
      </c>
    </row>
    <row r="852" spans="1:19" ht="18" x14ac:dyDescent="0.5">
      <c r="A852" t="s">
        <v>922</v>
      </c>
      <c r="B852" t="s">
        <v>1921</v>
      </c>
      <c r="C852" s="6">
        <v>45878</v>
      </c>
      <c r="D852" t="s">
        <v>2087</v>
      </c>
      <c r="E852" t="s">
        <v>2105</v>
      </c>
      <c r="F852" t="str">
        <f>_xlfn.XLOOKUP(E852,Table8[City],Table8[State])</f>
        <v>Rajasthan</v>
      </c>
      <c r="G852" t="str">
        <f>_xlfn.XLOOKUP(E852,Table8[City],Table8[Region])</f>
        <v>North</v>
      </c>
      <c r="H852" t="s">
        <v>20</v>
      </c>
      <c r="I852" t="str">
        <f>_xlfn.XLOOKUP(H852,Table6[Product],Table6[Category])</f>
        <v>Accessories</v>
      </c>
      <c r="J852" t="s">
        <v>56</v>
      </c>
      <c r="K852">
        <v>5</v>
      </c>
      <c r="L852">
        <f>_xlfn.XLOOKUP(H852,Table6[Product],Table6[Unit Price])</f>
        <v>3000</v>
      </c>
      <c r="M852">
        <f>_xlfn.XLOOKUP(H852,Table6[Product],Table6[Cost Price])</f>
        <v>1800</v>
      </c>
      <c r="N852" s="7">
        <v>0</v>
      </c>
      <c r="O852">
        <f t="shared" si="39"/>
        <v>15000</v>
      </c>
      <c r="P852">
        <f t="shared" si="40"/>
        <v>9000</v>
      </c>
      <c r="Q852">
        <f t="shared" si="41"/>
        <v>6000</v>
      </c>
      <c r="R852" t="s">
        <v>45</v>
      </c>
      <c r="S852" t="s">
        <v>49</v>
      </c>
    </row>
    <row r="853" spans="1:19" ht="18" x14ac:dyDescent="0.5">
      <c r="A853" t="s">
        <v>923</v>
      </c>
      <c r="B853" t="s">
        <v>1922</v>
      </c>
      <c r="C853" s="6">
        <v>45312</v>
      </c>
      <c r="D853" t="s">
        <v>63</v>
      </c>
      <c r="E853" t="s">
        <v>2075</v>
      </c>
      <c r="F853" t="str">
        <f>_xlfn.XLOOKUP(E853,Table8[City],Table8[State])</f>
        <v>Tamil Nadu</v>
      </c>
      <c r="G853" t="str">
        <f>_xlfn.XLOOKUP(E853,Table8[City],Table8[Region])</f>
        <v>South</v>
      </c>
      <c r="H853" t="s">
        <v>19</v>
      </c>
      <c r="I853" t="str">
        <f>_xlfn.XLOOKUP(H853,Table6[Product],Table6[Category])</f>
        <v>Electronics</v>
      </c>
      <c r="J853" t="s">
        <v>55</v>
      </c>
      <c r="K853">
        <v>3</v>
      </c>
      <c r="L853">
        <f>_xlfn.XLOOKUP(H853,Table6[Product],Table6[Unit Price])</f>
        <v>25000</v>
      </c>
      <c r="M853">
        <f>_xlfn.XLOOKUP(H853,Table6[Product],Table6[Cost Price])</f>
        <v>20000</v>
      </c>
      <c r="N853" s="7">
        <v>0.06</v>
      </c>
      <c r="O853">
        <f t="shared" si="39"/>
        <v>70500</v>
      </c>
      <c r="P853">
        <f t="shared" si="40"/>
        <v>60000</v>
      </c>
      <c r="Q853">
        <f t="shared" si="41"/>
        <v>10500</v>
      </c>
      <c r="R853" t="s">
        <v>44</v>
      </c>
      <c r="S853" t="s">
        <v>51</v>
      </c>
    </row>
    <row r="854" spans="1:19" ht="18" x14ac:dyDescent="0.5">
      <c r="A854" t="s">
        <v>924</v>
      </c>
      <c r="B854" t="s">
        <v>1923</v>
      </c>
      <c r="C854" s="6">
        <v>45386</v>
      </c>
      <c r="D854" t="s">
        <v>2090</v>
      </c>
      <c r="E854" t="s">
        <v>2073</v>
      </c>
      <c r="F854" t="str">
        <f>_xlfn.XLOOKUP(E854,Table8[City],Table8[State])</f>
        <v>Maharashtra</v>
      </c>
      <c r="G854" t="str">
        <f>_xlfn.XLOOKUP(E854,Table8[City],Table8[Region])</f>
        <v>West</v>
      </c>
      <c r="H854" t="s">
        <v>20</v>
      </c>
      <c r="I854" t="str">
        <f>_xlfn.XLOOKUP(H854,Table6[Product],Table6[Category])</f>
        <v>Accessories</v>
      </c>
      <c r="J854" t="s">
        <v>61</v>
      </c>
      <c r="K854">
        <v>1</v>
      </c>
      <c r="L854">
        <f>_xlfn.XLOOKUP(H854,Table6[Product],Table6[Unit Price])</f>
        <v>3000</v>
      </c>
      <c r="M854">
        <f>_xlfn.XLOOKUP(H854,Table6[Product],Table6[Cost Price])</f>
        <v>1800</v>
      </c>
      <c r="N854" s="7">
        <v>0.22</v>
      </c>
      <c r="O854">
        <f t="shared" si="39"/>
        <v>2340</v>
      </c>
      <c r="P854">
        <f t="shared" si="40"/>
        <v>1800</v>
      </c>
      <c r="Q854">
        <f t="shared" si="41"/>
        <v>540</v>
      </c>
      <c r="R854" t="s">
        <v>44</v>
      </c>
      <c r="S854" t="s">
        <v>52</v>
      </c>
    </row>
    <row r="855" spans="1:19" ht="18" x14ac:dyDescent="0.5">
      <c r="A855" t="s">
        <v>925</v>
      </c>
      <c r="B855" t="s">
        <v>1924</v>
      </c>
      <c r="C855" s="6">
        <v>45942</v>
      </c>
      <c r="D855" t="s">
        <v>2085</v>
      </c>
      <c r="E855" t="s">
        <v>2078</v>
      </c>
      <c r="F855" t="str">
        <f>_xlfn.XLOOKUP(E855,Table8[City],Table8[State])</f>
        <v>Telangana</v>
      </c>
      <c r="G855" t="str">
        <f>_xlfn.XLOOKUP(E855,Table8[City],Table8[Region])</f>
        <v>South</v>
      </c>
      <c r="H855" t="s">
        <v>20</v>
      </c>
      <c r="I855" t="str">
        <f>_xlfn.XLOOKUP(H855,Table6[Product],Table6[Category])</f>
        <v>Accessories</v>
      </c>
      <c r="J855" t="s">
        <v>55</v>
      </c>
      <c r="K855">
        <v>5</v>
      </c>
      <c r="L855">
        <f>_xlfn.XLOOKUP(H855,Table6[Product],Table6[Unit Price])</f>
        <v>3000</v>
      </c>
      <c r="M855">
        <f>_xlfn.XLOOKUP(H855,Table6[Product],Table6[Cost Price])</f>
        <v>1800</v>
      </c>
      <c r="N855" s="7">
        <v>0.08</v>
      </c>
      <c r="O855">
        <f t="shared" si="39"/>
        <v>13800</v>
      </c>
      <c r="P855">
        <f t="shared" si="40"/>
        <v>9000</v>
      </c>
      <c r="Q855">
        <f t="shared" si="41"/>
        <v>4800</v>
      </c>
      <c r="R855" t="s">
        <v>46</v>
      </c>
      <c r="S855" t="s">
        <v>51</v>
      </c>
    </row>
    <row r="856" spans="1:19" ht="18" x14ac:dyDescent="0.5">
      <c r="A856" t="s">
        <v>926</v>
      </c>
      <c r="B856" t="s">
        <v>1925</v>
      </c>
      <c r="C856" s="6">
        <v>45327</v>
      </c>
      <c r="D856" t="s">
        <v>2087</v>
      </c>
      <c r="E856" t="s">
        <v>2073</v>
      </c>
      <c r="F856" t="str">
        <f>_xlfn.XLOOKUP(E856,Table8[City],Table8[State])</f>
        <v>Maharashtra</v>
      </c>
      <c r="G856" t="str">
        <f>_xlfn.XLOOKUP(E856,Table8[City],Table8[Region])</f>
        <v>West</v>
      </c>
      <c r="H856" t="s">
        <v>25</v>
      </c>
      <c r="I856" t="str">
        <f>_xlfn.XLOOKUP(H856,Table6[Product],Table6[Category])</f>
        <v>Accessories</v>
      </c>
      <c r="J856" t="s">
        <v>63</v>
      </c>
      <c r="K856">
        <v>2</v>
      </c>
      <c r="L856">
        <f>_xlfn.XLOOKUP(H856,Table6[Product],Table6[Unit Price])</f>
        <v>800</v>
      </c>
      <c r="M856">
        <f>_xlfn.XLOOKUP(H856,Table6[Product],Table6[Cost Price])</f>
        <v>450</v>
      </c>
      <c r="N856" s="7">
        <v>0.13</v>
      </c>
      <c r="O856">
        <f t="shared" si="39"/>
        <v>1392</v>
      </c>
      <c r="P856">
        <f t="shared" si="40"/>
        <v>900</v>
      </c>
      <c r="Q856">
        <f t="shared" si="41"/>
        <v>492</v>
      </c>
      <c r="R856" t="s">
        <v>43</v>
      </c>
      <c r="S856" t="s">
        <v>52</v>
      </c>
    </row>
    <row r="857" spans="1:19" ht="18" x14ac:dyDescent="0.5">
      <c r="A857" t="s">
        <v>927</v>
      </c>
      <c r="B857" t="s">
        <v>1926</v>
      </c>
      <c r="C857" s="6">
        <v>45604</v>
      </c>
      <c r="D857" t="s">
        <v>2085</v>
      </c>
      <c r="E857" t="s">
        <v>2076</v>
      </c>
      <c r="F857" t="str">
        <f>_xlfn.XLOOKUP(E857,Table8[City],Table8[State])</f>
        <v>Tamil Nadu</v>
      </c>
      <c r="G857" t="str">
        <f>_xlfn.XLOOKUP(E857,Table8[City],Table8[Region])</f>
        <v>South</v>
      </c>
      <c r="H857" t="s">
        <v>18</v>
      </c>
      <c r="I857" t="str">
        <f>_xlfn.XLOOKUP(H857,Table6[Product],Table6[Category])</f>
        <v>Electronics</v>
      </c>
      <c r="J857" t="s">
        <v>61</v>
      </c>
      <c r="K857">
        <v>5</v>
      </c>
      <c r="L857">
        <f>_xlfn.XLOOKUP(H857,Table6[Product],Table6[Unit Price])</f>
        <v>35000</v>
      </c>
      <c r="M857">
        <f>_xlfn.XLOOKUP(H857,Table6[Product],Table6[Cost Price])</f>
        <v>28000</v>
      </c>
      <c r="N857" s="7">
        <v>0.01</v>
      </c>
      <c r="O857">
        <f t="shared" si="39"/>
        <v>173250</v>
      </c>
      <c r="P857">
        <f t="shared" si="40"/>
        <v>140000</v>
      </c>
      <c r="Q857">
        <f t="shared" si="41"/>
        <v>33250</v>
      </c>
      <c r="R857" t="s">
        <v>47</v>
      </c>
      <c r="S857" t="s">
        <v>52</v>
      </c>
    </row>
    <row r="858" spans="1:19" ht="18" x14ac:dyDescent="0.5">
      <c r="A858" t="s">
        <v>928</v>
      </c>
      <c r="B858" t="s">
        <v>1927</v>
      </c>
      <c r="C858" s="6">
        <v>45567</v>
      </c>
      <c r="D858" t="s">
        <v>2091</v>
      </c>
      <c r="E858" t="s">
        <v>2079</v>
      </c>
      <c r="F858" t="str">
        <f>_xlfn.XLOOKUP(E858,Table8[City],Table8[State])</f>
        <v>Gujarat</v>
      </c>
      <c r="G858" t="str">
        <f>_xlfn.XLOOKUP(E858,Table8[City],Table8[Region])</f>
        <v>West</v>
      </c>
      <c r="H858" t="s">
        <v>20</v>
      </c>
      <c r="I858" t="str">
        <f>_xlfn.XLOOKUP(H858,Table6[Product],Table6[Category])</f>
        <v>Accessories</v>
      </c>
      <c r="J858" t="s">
        <v>55</v>
      </c>
      <c r="K858">
        <v>2</v>
      </c>
      <c r="L858">
        <f>_xlfn.XLOOKUP(H858,Table6[Product],Table6[Unit Price])</f>
        <v>3000</v>
      </c>
      <c r="M858">
        <f>_xlfn.XLOOKUP(H858,Table6[Product],Table6[Cost Price])</f>
        <v>1800</v>
      </c>
      <c r="N858" s="7">
        <v>0.12</v>
      </c>
      <c r="O858">
        <f t="shared" si="39"/>
        <v>5280</v>
      </c>
      <c r="P858">
        <f t="shared" si="40"/>
        <v>3600</v>
      </c>
      <c r="Q858">
        <f t="shared" si="41"/>
        <v>1680</v>
      </c>
      <c r="R858" t="s">
        <v>43</v>
      </c>
      <c r="S858" t="s">
        <v>52</v>
      </c>
    </row>
    <row r="859" spans="1:19" ht="18" x14ac:dyDescent="0.5">
      <c r="A859" t="s">
        <v>929</v>
      </c>
      <c r="B859" t="s">
        <v>1928</v>
      </c>
      <c r="C859" s="6">
        <v>45359</v>
      </c>
      <c r="D859" t="s">
        <v>2098</v>
      </c>
      <c r="E859" t="s">
        <v>2080</v>
      </c>
      <c r="F859" t="str">
        <f>_xlfn.XLOOKUP(E859,Table8[City],Table8[State])</f>
        <v>Gujarat</v>
      </c>
      <c r="G859" t="str">
        <f>_xlfn.XLOOKUP(E859,Table8[City],Table8[Region])</f>
        <v>West</v>
      </c>
      <c r="H859" t="s">
        <v>28</v>
      </c>
      <c r="I859" t="str">
        <f>_xlfn.XLOOKUP(H859,Table6[Product],Table6[Category])</f>
        <v>Office</v>
      </c>
      <c r="J859" t="s">
        <v>56</v>
      </c>
      <c r="K859">
        <v>6</v>
      </c>
      <c r="L859">
        <f>_xlfn.XLOOKUP(H859,Table6[Product],Table6[Unit Price])</f>
        <v>18000</v>
      </c>
      <c r="M859">
        <f>_xlfn.XLOOKUP(H859,Table6[Product],Table6[Cost Price])</f>
        <v>14000</v>
      </c>
      <c r="N859" s="7">
        <v>0.13</v>
      </c>
      <c r="O859">
        <f t="shared" si="39"/>
        <v>93960</v>
      </c>
      <c r="P859">
        <f t="shared" si="40"/>
        <v>84000</v>
      </c>
      <c r="Q859">
        <f t="shared" si="41"/>
        <v>9960</v>
      </c>
      <c r="R859" t="s">
        <v>44</v>
      </c>
      <c r="S859" t="s">
        <v>50</v>
      </c>
    </row>
    <row r="860" spans="1:19" ht="18" x14ac:dyDescent="0.5">
      <c r="A860" t="s">
        <v>930</v>
      </c>
      <c r="B860" t="s">
        <v>1929</v>
      </c>
      <c r="C860" s="6">
        <v>45996</v>
      </c>
      <c r="D860" t="s">
        <v>2098</v>
      </c>
      <c r="E860" t="s">
        <v>2076</v>
      </c>
      <c r="F860" t="str">
        <f>_xlfn.XLOOKUP(E860,Table8[City],Table8[State])</f>
        <v>Tamil Nadu</v>
      </c>
      <c r="G860" t="str">
        <f>_xlfn.XLOOKUP(E860,Table8[City],Table8[Region])</f>
        <v>South</v>
      </c>
      <c r="H860" t="s">
        <v>24</v>
      </c>
      <c r="I860" t="str">
        <f>_xlfn.XLOOKUP(H860,Table6[Product],Table6[Category])</f>
        <v>Accessories</v>
      </c>
      <c r="J860" t="s">
        <v>58</v>
      </c>
      <c r="K860">
        <v>6</v>
      </c>
      <c r="L860">
        <f>_xlfn.XLOOKUP(H860,Table6[Product],Table6[Unit Price])</f>
        <v>1500</v>
      </c>
      <c r="M860">
        <f>_xlfn.XLOOKUP(H860,Table6[Product],Table6[Cost Price])</f>
        <v>900</v>
      </c>
      <c r="N860" s="7">
        <v>0.2</v>
      </c>
      <c r="O860">
        <f t="shared" si="39"/>
        <v>7200</v>
      </c>
      <c r="P860">
        <f t="shared" si="40"/>
        <v>5400</v>
      </c>
      <c r="Q860">
        <f t="shared" si="41"/>
        <v>1800</v>
      </c>
      <c r="R860" t="s">
        <v>44</v>
      </c>
      <c r="S860" t="s">
        <v>51</v>
      </c>
    </row>
    <row r="861" spans="1:19" ht="18" x14ac:dyDescent="0.5">
      <c r="A861" t="s">
        <v>931</v>
      </c>
      <c r="B861" t="s">
        <v>1930</v>
      </c>
      <c r="C861" s="6">
        <v>45772</v>
      </c>
      <c r="D861" t="s">
        <v>2097</v>
      </c>
      <c r="E861" t="s">
        <v>2106</v>
      </c>
      <c r="F861" t="str">
        <f>_xlfn.XLOOKUP(E861,Table8[City],Table8[State])</f>
        <v>West Bengal</v>
      </c>
      <c r="G861" t="str">
        <f>_xlfn.XLOOKUP(E861,Table8[City],Table8[Region])</f>
        <v>East</v>
      </c>
      <c r="H861" t="s">
        <v>19</v>
      </c>
      <c r="I861" t="str">
        <f>_xlfn.XLOOKUP(H861,Table6[Product],Table6[Category])</f>
        <v>Electronics</v>
      </c>
      <c r="J861" t="s">
        <v>62</v>
      </c>
      <c r="K861">
        <v>2</v>
      </c>
      <c r="L861">
        <f>_xlfn.XLOOKUP(H861,Table6[Product],Table6[Unit Price])</f>
        <v>25000</v>
      </c>
      <c r="M861">
        <f>_xlfn.XLOOKUP(H861,Table6[Product],Table6[Cost Price])</f>
        <v>20000</v>
      </c>
      <c r="N861" s="7">
        <v>0.01</v>
      </c>
      <c r="O861">
        <f t="shared" si="39"/>
        <v>49500</v>
      </c>
      <c r="P861">
        <f t="shared" si="40"/>
        <v>40000</v>
      </c>
      <c r="Q861">
        <f t="shared" si="41"/>
        <v>9500</v>
      </c>
      <c r="R861" t="s">
        <v>45</v>
      </c>
      <c r="S861" t="s">
        <v>50</v>
      </c>
    </row>
    <row r="862" spans="1:19" ht="18" x14ac:dyDescent="0.5">
      <c r="A862" t="s">
        <v>932</v>
      </c>
      <c r="B862" t="s">
        <v>1931</v>
      </c>
      <c r="C862" s="6">
        <v>45977</v>
      </c>
      <c r="D862" t="s">
        <v>63</v>
      </c>
      <c r="E862" t="s">
        <v>2077</v>
      </c>
      <c r="F862" t="str">
        <f>_xlfn.XLOOKUP(E862,Table8[City],Table8[State])</f>
        <v>Telangana</v>
      </c>
      <c r="G862" t="str">
        <f>_xlfn.XLOOKUP(E862,Table8[City],Table8[Region])</f>
        <v>South</v>
      </c>
      <c r="H862" t="s">
        <v>19</v>
      </c>
      <c r="I862" t="str">
        <f>_xlfn.XLOOKUP(H862,Table6[Product],Table6[Category])</f>
        <v>Electronics</v>
      </c>
      <c r="J862" t="s">
        <v>61</v>
      </c>
      <c r="K862">
        <v>4</v>
      </c>
      <c r="L862">
        <f>_xlfn.XLOOKUP(H862,Table6[Product],Table6[Unit Price])</f>
        <v>25000</v>
      </c>
      <c r="M862">
        <f>_xlfn.XLOOKUP(H862,Table6[Product],Table6[Cost Price])</f>
        <v>20000</v>
      </c>
      <c r="N862" s="7">
        <v>0</v>
      </c>
      <c r="O862">
        <f t="shared" si="39"/>
        <v>100000</v>
      </c>
      <c r="P862">
        <f t="shared" si="40"/>
        <v>80000</v>
      </c>
      <c r="Q862">
        <f t="shared" si="41"/>
        <v>20000</v>
      </c>
      <c r="R862" t="s">
        <v>44</v>
      </c>
      <c r="S862" t="s">
        <v>52</v>
      </c>
    </row>
    <row r="863" spans="1:19" ht="18" x14ac:dyDescent="0.5">
      <c r="A863" t="s">
        <v>933</v>
      </c>
      <c r="B863" t="s">
        <v>1932</v>
      </c>
      <c r="C863" s="6">
        <v>45668</v>
      </c>
      <c r="D863" t="s">
        <v>2092</v>
      </c>
      <c r="E863" t="s">
        <v>2106</v>
      </c>
      <c r="F863" t="str">
        <f>_xlfn.XLOOKUP(E863,Table8[City],Table8[State])</f>
        <v>West Bengal</v>
      </c>
      <c r="G863" t="str">
        <f>_xlfn.XLOOKUP(E863,Table8[City],Table8[Region])</f>
        <v>East</v>
      </c>
      <c r="H863" t="s">
        <v>25</v>
      </c>
      <c r="I863" t="str">
        <f>_xlfn.XLOOKUP(H863,Table6[Product],Table6[Category])</f>
        <v>Accessories</v>
      </c>
      <c r="J863" t="s">
        <v>54</v>
      </c>
      <c r="K863">
        <v>8</v>
      </c>
      <c r="L863">
        <f>_xlfn.XLOOKUP(H863,Table6[Product],Table6[Unit Price])</f>
        <v>800</v>
      </c>
      <c r="M863">
        <f>_xlfn.XLOOKUP(H863,Table6[Product],Table6[Cost Price])</f>
        <v>450</v>
      </c>
      <c r="N863" s="7">
        <v>0.03</v>
      </c>
      <c r="O863">
        <f t="shared" si="39"/>
        <v>6208</v>
      </c>
      <c r="P863">
        <f t="shared" si="40"/>
        <v>3600</v>
      </c>
      <c r="Q863">
        <f t="shared" si="41"/>
        <v>2608</v>
      </c>
      <c r="R863" t="s">
        <v>45</v>
      </c>
      <c r="S863" t="s">
        <v>50</v>
      </c>
    </row>
    <row r="864" spans="1:19" ht="18" x14ac:dyDescent="0.5">
      <c r="A864" t="s">
        <v>934</v>
      </c>
      <c r="B864" t="s">
        <v>1933</v>
      </c>
      <c r="C864" s="6">
        <v>45919</v>
      </c>
      <c r="D864" t="s">
        <v>69</v>
      </c>
      <c r="E864" t="s">
        <v>2105</v>
      </c>
      <c r="F864" t="str">
        <f>_xlfn.XLOOKUP(E864,Table8[City],Table8[State])</f>
        <v>Rajasthan</v>
      </c>
      <c r="G864" t="str">
        <f>_xlfn.XLOOKUP(E864,Table8[City],Table8[Region])</f>
        <v>North</v>
      </c>
      <c r="H864" t="s">
        <v>20</v>
      </c>
      <c r="I864" t="str">
        <f>_xlfn.XLOOKUP(H864,Table6[Product],Table6[Category])</f>
        <v>Accessories</v>
      </c>
      <c r="J864" t="s">
        <v>56</v>
      </c>
      <c r="K864">
        <v>1</v>
      </c>
      <c r="L864">
        <f>_xlfn.XLOOKUP(H864,Table6[Product],Table6[Unit Price])</f>
        <v>3000</v>
      </c>
      <c r="M864">
        <f>_xlfn.XLOOKUP(H864,Table6[Product],Table6[Cost Price])</f>
        <v>1800</v>
      </c>
      <c r="N864" s="7">
        <v>0.02</v>
      </c>
      <c r="O864">
        <f t="shared" si="39"/>
        <v>2940</v>
      </c>
      <c r="P864">
        <f t="shared" si="40"/>
        <v>1800</v>
      </c>
      <c r="Q864">
        <f t="shared" si="41"/>
        <v>1140</v>
      </c>
      <c r="R864" t="s">
        <v>47</v>
      </c>
      <c r="S864" t="s">
        <v>52</v>
      </c>
    </row>
    <row r="865" spans="1:19" ht="18" x14ac:dyDescent="0.5">
      <c r="A865" t="s">
        <v>935</v>
      </c>
      <c r="B865" t="s">
        <v>1934</v>
      </c>
      <c r="C865" s="6">
        <v>45911</v>
      </c>
      <c r="D865" t="s">
        <v>2086</v>
      </c>
      <c r="E865" t="s">
        <v>2077</v>
      </c>
      <c r="F865" t="str">
        <f>_xlfn.XLOOKUP(E865,Table8[City],Table8[State])</f>
        <v>Telangana</v>
      </c>
      <c r="G865" t="str">
        <f>_xlfn.XLOOKUP(E865,Table8[City],Table8[Region])</f>
        <v>South</v>
      </c>
      <c r="H865" t="s">
        <v>20</v>
      </c>
      <c r="I865" t="str">
        <f>_xlfn.XLOOKUP(H865,Table6[Product],Table6[Category])</f>
        <v>Accessories</v>
      </c>
      <c r="J865" t="s">
        <v>63</v>
      </c>
      <c r="K865">
        <v>5</v>
      </c>
      <c r="L865">
        <f>_xlfn.XLOOKUP(H865,Table6[Product],Table6[Unit Price])</f>
        <v>3000</v>
      </c>
      <c r="M865">
        <f>_xlfn.XLOOKUP(H865,Table6[Product],Table6[Cost Price])</f>
        <v>1800</v>
      </c>
      <c r="N865" s="7">
        <v>0.23</v>
      </c>
      <c r="O865">
        <f t="shared" si="39"/>
        <v>11550</v>
      </c>
      <c r="P865">
        <f t="shared" si="40"/>
        <v>9000</v>
      </c>
      <c r="Q865">
        <f t="shared" si="41"/>
        <v>2550</v>
      </c>
      <c r="R865" t="s">
        <v>46</v>
      </c>
      <c r="S865" t="s">
        <v>49</v>
      </c>
    </row>
    <row r="866" spans="1:19" ht="18" x14ac:dyDescent="0.5">
      <c r="A866" t="s">
        <v>936</v>
      </c>
      <c r="B866" t="s">
        <v>1935</v>
      </c>
      <c r="C866" s="6">
        <v>45363</v>
      </c>
      <c r="D866" t="s">
        <v>2099</v>
      </c>
      <c r="E866" t="s">
        <v>2072</v>
      </c>
      <c r="F866" t="str">
        <f>_xlfn.XLOOKUP(E866,Table8[City],Table8[State])</f>
        <v>Karnataka</v>
      </c>
      <c r="G866" t="str">
        <f>_xlfn.XLOOKUP(E866,Table8[City],Table8[Region])</f>
        <v>South</v>
      </c>
      <c r="H866" t="s">
        <v>29</v>
      </c>
      <c r="I866" t="str">
        <f>_xlfn.XLOOKUP(H866,Table6[Product],Table6[Category])</f>
        <v>Electronics</v>
      </c>
      <c r="J866" t="s">
        <v>61</v>
      </c>
      <c r="K866">
        <v>1</v>
      </c>
      <c r="L866">
        <f>_xlfn.XLOOKUP(H866,Table6[Product],Table6[Unit Price])</f>
        <v>5000</v>
      </c>
      <c r="M866">
        <f>_xlfn.XLOOKUP(H866,Table6[Product],Table6[Cost Price])</f>
        <v>3200</v>
      </c>
      <c r="N866" s="7">
        <v>0.06</v>
      </c>
      <c r="O866">
        <f t="shared" si="39"/>
        <v>4700</v>
      </c>
      <c r="P866">
        <f t="shared" si="40"/>
        <v>3200</v>
      </c>
      <c r="Q866">
        <f t="shared" si="41"/>
        <v>1500</v>
      </c>
      <c r="R866" t="s">
        <v>44</v>
      </c>
      <c r="S866" t="s">
        <v>52</v>
      </c>
    </row>
    <row r="867" spans="1:19" ht="18" x14ac:dyDescent="0.5">
      <c r="A867" t="s">
        <v>937</v>
      </c>
      <c r="B867" t="s">
        <v>1936</v>
      </c>
      <c r="C867" s="6">
        <v>45964</v>
      </c>
      <c r="D867" t="s">
        <v>2088</v>
      </c>
      <c r="E867" t="s">
        <v>2074</v>
      </c>
      <c r="F867" t="str">
        <f>_xlfn.XLOOKUP(E867,Table8[City],Table8[State])</f>
        <v>Maharashtra</v>
      </c>
      <c r="G867" t="str">
        <f>_xlfn.XLOOKUP(E867,Table8[City],Table8[Region])</f>
        <v>West</v>
      </c>
      <c r="H867" t="s">
        <v>25</v>
      </c>
      <c r="I867" t="str">
        <f>_xlfn.XLOOKUP(H867,Table6[Product],Table6[Category])</f>
        <v>Accessories</v>
      </c>
      <c r="J867" t="s">
        <v>63</v>
      </c>
      <c r="K867">
        <v>4</v>
      </c>
      <c r="L867">
        <f>_xlfn.XLOOKUP(H867,Table6[Product],Table6[Unit Price])</f>
        <v>800</v>
      </c>
      <c r="M867">
        <f>_xlfn.XLOOKUP(H867,Table6[Product],Table6[Cost Price])</f>
        <v>450</v>
      </c>
      <c r="N867" s="7">
        <v>0.28000000000000003</v>
      </c>
      <c r="O867">
        <f t="shared" si="39"/>
        <v>2304</v>
      </c>
      <c r="P867">
        <f t="shared" si="40"/>
        <v>1800</v>
      </c>
      <c r="Q867">
        <f t="shared" si="41"/>
        <v>504</v>
      </c>
      <c r="R867" t="s">
        <v>43</v>
      </c>
      <c r="S867" t="s">
        <v>51</v>
      </c>
    </row>
    <row r="868" spans="1:19" ht="18" x14ac:dyDescent="0.5">
      <c r="A868" t="s">
        <v>938</v>
      </c>
      <c r="B868" t="s">
        <v>1937</v>
      </c>
      <c r="C868" s="6">
        <v>45591</v>
      </c>
      <c r="D868" t="s">
        <v>69</v>
      </c>
      <c r="E868" t="s">
        <v>2075</v>
      </c>
      <c r="F868" t="str">
        <f>_xlfn.XLOOKUP(E868,Table8[City],Table8[State])</f>
        <v>Tamil Nadu</v>
      </c>
      <c r="G868" t="str">
        <f>_xlfn.XLOOKUP(E868,Table8[City],Table8[Region])</f>
        <v>South</v>
      </c>
      <c r="H868" t="s">
        <v>16</v>
      </c>
      <c r="I868" t="str">
        <f>_xlfn.XLOOKUP(H868,Table6[Product],Table6[Category])</f>
        <v>Electronics</v>
      </c>
      <c r="J868" t="s">
        <v>57</v>
      </c>
      <c r="K868">
        <v>1</v>
      </c>
      <c r="L868">
        <f>_xlfn.XLOOKUP(H868,Table6[Product],Table6[Unit Price])</f>
        <v>65000</v>
      </c>
      <c r="M868">
        <f>_xlfn.XLOOKUP(H868,Table6[Product],Table6[Cost Price])</f>
        <v>52000</v>
      </c>
      <c r="N868" s="7">
        <v>0.21</v>
      </c>
      <c r="O868">
        <f t="shared" si="39"/>
        <v>51350</v>
      </c>
      <c r="P868">
        <f t="shared" si="40"/>
        <v>52000</v>
      </c>
      <c r="Q868">
        <f t="shared" si="41"/>
        <v>-650</v>
      </c>
      <c r="R868" t="s">
        <v>45</v>
      </c>
      <c r="S868" t="s">
        <v>49</v>
      </c>
    </row>
    <row r="869" spans="1:19" ht="18" x14ac:dyDescent="0.5">
      <c r="A869" t="s">
        <v>939</v>
      </c>
      <c r="B869" t="s">
        <v>1938</v>
      </c>
      <c r="C869" s="6">
        <v>45761</v>
      </c>
      <c r="D869" t="s">
        <v>2088</v>
      </c>
      <c r="E869" t="s">
        <v>2072</v>
      </c>
      <c r="F869" t="str">
        <f>_xlfn.XLOOKUP(E869,Table8[City],Table8[State])</f>
        <v>Karnataka</v>
      </c>
      <c r="G869" t="str">
        <f>_xlfn.XLOOKUP(E869,Table8[City],Table8[Region])</f>
        <v>South</v>
      </c>
      <c r="H869" t="s">
        <v>22</v>
      </c>
      <c r="I869" t="str">
        <f>_xlfn.XLOOKUP(H869,Table6[Product],Table6[Category])</f>
        <v>Wearables</v>
      </c>
      <c r="J869" t="s">
        <v>61</v>
      </c>
      <c r="K869">
        <v>7</v>
      </c>
      <c r="L869">
        <f>_xlfn.XLOOKUP(H869,Table6[Product],Table6[Unit Price])</f>
        <v>12000</v>
      </c>
      <c r="M869">
        <f>_xlfn.XLOOKUP(H869,Table6[Product],Table6[Cost Price])</f>
        <v>8500</v>
      </c>
      <c r="N869" s="7">
        <v>0.15</v>
      </c>
      <c r="O869">
        <f t="shared" si="39"/>
        <v>71400</v>
      </c>
      <c r="P869">
        <f t="shared" si="40"/>
        <v>59500</v>
      </c>
      <c r="Q869">
        <f t="shared" si="41"/>
        <v>11900</v>
      </c>
      <c r="R869" t="s">
        <v>44</v>
      </c>
      <c r="S869" t="s">
        <v>49</v>
      </c>
    </row>
    <row r="870" spans="1:19" ht="18" x14ac:dyDescent="0.5">
      <c r="A870" t="s">
        <v>940</v>
      </c>
      <c r="B870" t="s">
        <v>1939</v>
      </c>
      <c r="C870" s="6">
        <v>45504</v>
      </c>
      <c r="D870" t="s">
        <v>2086</v>
      </c>
      <c r="E870" t="s">
        <v>2075</v>
      </c>
      <c r="F870" t="str">
        <f>_xlfn.XLOOKUP(E870,Table8[City],Table8[State])</f>
        <v>Tamil Nadu</v>
      </c>
      <c r="G870" t="str">
        <f>_xlfn.XLOOKUP(E870,Table8[City],Table8[Region])</f>
        <v>South</v>
      </c>
      <c r="H870" t="s">
        <v>22</v>
      </c>
      <c r="I870" t="str">
        <f>_xlfn.XLOOKUP(H870,Table6[Product],Table6[Category])</f>
        <v>Wearables</v>
      </c>
      <c r="J870" t="s">
        <v>62</v>
      </c>
      <c r="K870">
        <v>4</v>
      </c>
      <c r="L870">
        <f>_xlfn.XLOOKUP(H870,Table6[Product],Table6[Unit Price])</f>
        <v>12000</v>
      </c>
      <c r="M870">
        <f>_xlfn.XLOOKUP(H870,Table6[Product],Table6[Cost Price])</f>
        <v>8500</v>
      </c>
      <c r="N870" s="7">
        <v>7.0000000000000007E-2</v>
      </c>
      <c r="O870">
        <f t="shared" si="39"/>
        <v>44640</v>
      </c>
      <c r="P870">
        <f t="shared" si="40"/>
        <v>34000</v>
      </c>
      <c r="Q870">
        <f t="shared" si="41"/>
        <v>10640</v>
      </c>
      <c r="R870" t="s">
        <v>44</v>
      </c>
      <c r="S870" t="s">
        <v>51</v>
      </c>
    </row>
    <row r="871" spans="1:19" ht="18" x14ac:dyDescent="0.5">
      <c r="A871" t="s">
        <v>941</v>
      </c>
      <c r="B871" t="s">
        <v>1940</v>
      </c>
      <c r="C871" s="6">
        <v>45557</v>
      </c>
      <c r="D871" t="s">
        <v>2094</v>
      </c>
      <c r="E871" t="s">
        <v>2080</v>
      </c>
      <c r="F871" t="str">
        <f>_xlfn.XLOOKUP(E871,Table8[City],Table8[State])</f>
        <v>Gujarat</v>
      </c>
      <c r="G871" t="str">
        <f>_xlfn.XLOOKUP(E871,Table8[City],Table8[Region])</f>
        <v>West</v>
      </c>
      <c r="H871" t="s">
        <v>22</v>
      </c>
      <c r="I871" t="str">
        <f>_xlfn.XLOOKUP(H871,Table6[Product],Table6[Category])</f>
        <v>Wearables</v>
      </c>
      <c r="J871" t="s">
        <v>58</v>
      </c>
      <c r="K871">
        <v>3</v>
      </c>
      <c r="L871">
        <f>_xlfn.XLOOKUP(H871,Table6[Product],Table6[Unit Price])</f>
        <v>12000</v>
      </c>
      <c r="M871">
        <f>_xlfn.XLOOKUP(H871,Table6[Product],Table6[Cost Price])</f>
        <v>8500</v>
      </c>
      <c r="N871" s="7">
        <v>0.24</v>
      </c>
      <c r="O871">
        <f t="shared" si="39"/>
        <v>27360</v>
      </c>
      <c r="P871">
        <f t="shared" si="40"/>
        <v>25500</v>
      </c>
      <c r="Q871">
        <f t="shared" si="41"/>
        <v>1860</v>
      </c>
      <c r="R871" t="s">
        <v>43</v>
      </c>
      <c r="S871" t="s">
        <v>52</v>
      </c>
    </row>
    <row r="872" spans="1:19" ht="18" x14ac:dyDescent="0.5">
      <c r="A872" t="s">
        <v>942</v>
      </c>
      <c r="B872" t="s">
        <v>1941</v>
      </c>
      <c r="C872" s="6">
        <v>45720</v>
      </c>
      <c r="D872" t="s">
        <v>2093</v>
      </c>
      <c r="E872" t="s">
        <v>2080</v>
      </c>
      <c r="F872" t="str">
        <f>_xlfn.XLOOKUP(E872,Table8[City],Table8[State])</f>
        <v>Gujarat</v>
      </c>
      <c r="G872" t="str">
        <f>_xlfn.XLOOKUP(E872,Table8[City],Table8[Region])</f>
        <v>West</v>
      </c>
      <c r="H872" t="s">
        <v>24</v>
      </c>
      <c r="I872" t="str">
        <f>_xlfn.XLOOKUP(H872,Table6[Product],Table6[Category])</f>
        <v>Accessories</v>
      </c>
      <c r="J872" t="s">
        <v>55</v>
      </c>
      <c r="K872">
        <v>6</v>
      </c>
      <c r="L872">
        <f>_xlfn.XLOOKUP(H872,Table6[Product],Table6[Unit Price])</f>
        <v>1500</v>
      </c>
      <c r="M872">
        <f>_xlfn.XLOOKUP(H872,Table6[Product],Table6[Cost Price])</f>
        <v>900</v>
      </c>
      <c r="N872" s="7">
        <v>0.21</v>
      </c>
      <c r="O872">
        <f t="shared" si="39"/>
        <v>7110</v>
      </c>
      <c r="P872">
        <f t="shared" si="40"/>
        <v>5400</v>
      </c>
      <c r="Q872">
        <f t="shared" si="41"/>
        <v>1710</v>
      </c>
      <c r="R872" t="s">
        <v>43</v>
      </c>
      <c r="S872" t="s">
        <v>49</v>
      </c>
    </row>
    <row r="873" spans="1:19" ht="18" x14ac:dyDescent="0.5">
      <c r="A873" t="s">
        <v>943</v>
      </c>
      <c r="B873" t="s">
        <v>1942</v>
      </c>
      <c r="C873" s="6">
        <v>45952</v>
      </c>
      <c r="D873" t="s">
        <v>2099</v>
      </c>
      <c r="E873" t="s">
        <v>2072</v>
      </c>
      <c r="F873" t="str">
        <f>_xlfn.XLOOKUP(E873,Table8[City],Table8[State])</f>
        <v>Karnataka</v>
      </c>
      <c r="G873" t="str">
        <f>_xlfn.XLOOKUP(E873,Table8[City],Table8[Region])</f>
        <v>South</v>
      </c>
      <c r="H873" t="s">
        <v>20</v>
      </c>
      <c r="I873" t="str">
        <f>_xlfn.XLOOKUP(H873,Table6[Product],Table6[Category])</f>
        <v>Accessories</v>
      </c>
      <c r="J873" t="s">
        <v>63</v>
      </c>
      <c r="K873">
        <v>4</v>
      </c>
      <c r="L873">
        <f>_xlfn.XLOOKUP(H873,Table6[Product],Table6[Unit Price])</f>
        <v>3000</v>
      </c>
      <c r="M873">
        <f>_xlfn.XLOOKUP(H873,Table6[Product],Table6[Cost Price])</f>
        <v>1800</v>
      </c>
      <c r="N873" s="7">
        <v>0.23</v>
      </c>
      <c r="O873">
        <f t="shared" si="39"/>
        <v>9240</v>
      </c>
      <c r="P873">
        <f t="shared" si="40"/>
        <v>7200</v>
      </c>
      <c r="Q873">
        <f t="shared" si="41"/>
        <v>2040</v>
      </c>
      <c r="R873" t="s">
        <v>43</v>
      </c>
      <c r="S873" t="s">
        <v>51</v>
      </c>
    </row>
    <row r="874" spans="1:19" ht="18" x14ac:dyDescent="0.5">
      <c r="A874" t="s">
        <v>944</v>
      </c>
      <c r="B874" t="s">
        <v>1943</v>
      </c>
      <c r="C874" s="6">
        <v>45514</v>
      </c>
      <c r="D874" t="s">
        <v>69</v>
      </c>
      <c r="E874" t="s">
        <v>2074</v>
      </c>
      <c r="F874" t="str">
        <f>_xlfn.XLOOKUP(E874,Table8[City],Table8[State])</f>
        <v>Maharashtra</v>
      </c>
      <c r="G874" t="str">
        <f>_xlfn.XLOOKUP(E874,Table8[City],Table8[Region])</f>
        <v>West</v>
      </c>
      <c r="H874" t="s">
        <v>22</v>
      </c>
      <c r="I874" t="str">
        <f>_xlfn.XLOOKUP(H874,Table6[Product],Table6[Category])</f>
        <v>Wearables</v>
      </c>
      <c r="J874" t="s">
        <v>63</v>
      </c>
      <c r="K874">
        <v>1</v>
      </c>
      <c r="L874">
        <f>_xlfn.XLOOKUP(H874,Table6[Product],Table6[Unit Price])</f>
        <v>12000</v>
      </c>
      <c r="M874">
        <f>_xlfn.XLOOKUP(H874,Table6[Product],Table6[Cost Price])</f>
        <v>8500</v>
      </c>
      <c r="N874" s="7">
        <v>0.02</v>
      </c>
      <c r="O874">
        <f t="shared" si="39"/>
        <v>11760</v>
      </c>
      <c r="P874">
        <f t="shared" si="40"/>
        <v>8500</v>
      </c>
      <c r="Q874">
        <f t="shared" si="41"/>
        <v>3260</v>
      </c>
      <c r="R874" t="s">
        <v>43</v>
      </c>
      <c r="S874" t="s">
        <v>50</v>
      </c>
    </row>
    <row r="875" spans="1:19" ht="18" x14ac:dyDescent="0.5">
      <c r="A875" t="s">
        <v>945</v>
      </c>
      <c r="B875" t="s">
        <v>1944</v>
      </c>
      <c r="C875" s="6">
        <v>45429</v>
      </c>
      <c r="D875" t="s">
        <v>59</v>
      </c>
      <c r="E875" t="s">
        <v>2077</v>
      </c>
      <c r="F875" t="str">
        <f>_xlfn.XLOOKUP(E875,Table8[City],Table8[State])</f>
        <v>Telangana</v>
      </c>
      <c r="G875" t="str">
        <f>_xlfn.XLOOKUP(E875,Table8[City],Table8[Region])</f>
        <v>South</v>
      </c>
      <c r="H875" t="s">
        <v>20</v>
      </c>
      <c r="I875" t="str">
        <f>_xlfn.XLOOKUP(H875,Table6[Product],Table6[Category])</f>
        <v>Accessories</v>
      </c>
      <c r="J875" t="s">
        <v>55</v>
      </c>
      <c r="K875">
        <v>4</v>
      </c>
      <c r="L875">
        <f>_xlfn.XLOOKUP(H875,Table6[Product],Table6[Unit Price])</f>
        <v>3000</v>
      </c>
      <c r="M875">
        <f>_xlfn.XLOOKUP(H875,Table6[Product],Table6[Cost Price])</f>
        <v>1800</v>
      </c>
      <c r="N875" s="7">
        <v>0.16</v>
      </c>
      <c r="O875">
        <f t="shared" si="39"/>
        <v>10080</v>
      </c>
      <c r="P875">
        <f t="shared" si="40"/>
        <v>7200</v>
      </c>
      <c r="Q875">
        <f t="shared" si="41"/>
        <v>2880</v>
      </c>
      <c r="R875" t="s">
        <v>46</v>
      </c>
      <c r="S875" t="s">
        <v>49</v>
      </c>
    </row>
    <row r="876" spans="1:19" ht="18" x14ac:dyDescent="0.5">
      <c r="A876" t="s">
        <v>946</v>
      </c>
      <c r="B876" t="s">
        <v>1945</v>
      </c>
      <c r="C876" s="6">
        <v>45956</v>
      </c>
      <c r="D876" t="s">
        <v>2096</v>
      </c>
      <c r="E876" t="s">
        <v>2080</v>
      </c>
      <c r="F876" t="str">
        <f>_xlfn.XLOOKUP(E876,Table8[City],Table8[State])</f>
        <v>Gujarat</v>
      </c>
      <c r="G876" t="str">
        <f>_xlfn.XLOOKUP(E876,Table8[City],Table8[Region])</f>
        <v>West</v>
      </c>
      <c r="H876" t="s">
        <v>29</v>
      </c>
      <c r="I876" t="str">
        <f>_xlfn.XLOOKUP(H876,Table6[Product],Table6[Category])</f>
        <v>Electronics</v>
      </c>
      <c r="J876" t="s">
        <v>63</v>
      </c>
      <c r="K876">
        <v>6</v>
      </c>
      <c r="L876">
        <f>_xlfn.XLOOKUP(H876,Table6[Product],Table6[Unit Price])</f>
        <v>5000</v>
      </c>
      <c r="M876">
        <f>_xlfn.XLOOKUP(H876,Table6[Product],Table6[Cost Price])</f>
        <v>3200</v>
      </c>
      <c r="N876" s="7">
        <v>0.12</v>
      </c>
      <c r="O876">
        <f t="shared" si="39"/>
        <v>26400</v>
      </c>
      <c r="P876">
        <f t="shared" si="40"/>
        <v>19200</v>
      </c>
      <c r="Q876">
        <f t="shared" si="41"/>
        <v>7200</v>
      </c>
      <c r="R876" t="s">
        <v>43</v>
      </c>
      <c r="S876" t="s">
        <v>50</v>
      </c>
    </row>
    <row r="877" spans="1:19" ht="18" x14ac:dyDescent="0.5">
      <c r="A877" t="s">
        <v>947</v>
      </c>
      <c r="B877" t="s">
        <v>1946</v>
      </c>
      <c r="C877" s="6">
        <v>45737</v>
      </c>
      <c r="D877" t="s">
        <v>2096</v>
      </c>
      <c r="E877" t="s">
        <v>2078</v>
      </c>
      <c r="F877" t="str">
        <f>_xlfn.XLOOKUP(E877,Table8[City],Table8[State])</f>
        <v>Telangana</v>
      </c>
      <c r="G877" t="str">
        <f>_xlfn.XLOOKUP(E877,Table8[City],Table8[Region])</f>
        <v>South</v>
      </c>
      <c r="H877" t="s">
        <v>29</v>
      </c>
      <c r="I877" t="str">
        <f>_xlfn.XLOOKUP(H877,Table6[Product],Table6[Category])</f>
        <v>Electronics</v>
      </c>
      <c r="J877" t="s">
        <v>54</v>
      </c>
      <c r="K877">
        <v>1</v>
      </c>
      <c r="L877">
        <f>_xlfn.XLOOKUP(H877,Table6[Product],Table6[Unit Price])</f>
        <v>5000</v>
      </c>
      <c r="M877">
        <f>_xlfn.XLOOKUP(H877,Table6[Product],Table6[Cost Price])</f>
        <v>3200</v>
      </c>
      <c r="N877" s="7">
        <v>0.17</v>
      </c>
      <c r="O877">
        <f t="shared" si="39"/>
        <v>4150</v>
      </c>
      <c r="P877">
        <f t="shared" si="40"/>
        <v>3200</v>
      </c>
      <c r="Q877">
        <f t="shared" si="41"/>
        <v>950</v>
      </c>
      <c r="R877" t="s">
        <v>45</v>
      </c>
      <c r="S877" t="s">
        <v>50</v>
      </c>
    </row>
    <row r="878" spans="1:19" ht="18" x14ac:dyDescent="0.5">
      <c r="A878" t="s">
        <v>948</v>
      </c>
      <c r="B878" t="s">
        <v>1947</v>
      </c>
      <c r="C878" s="6">
        <v>46013</v>
      </c>
      <c r="D878" t="s">
        <v>2084</v>
      </c>
      <c r="E878" t="s">
        <v>2073</v>
      </c>
      <c r="F878" t="str">
        <f>_xlfn.XLOOKUP(E878,Table8[City],Table8[State])</f>
        <v>Maharashtra</v>
      </c>
      <c r="G878" t="str">
        <f>_xlfn.XLOOKUP(E878,Table8[City],Table8[Region])</f>
        <v>West</v>
      </c>
      <c r="H878" t="s">
        <v>19</v>
      </c>
      <c r="I878" t="str">
        <f>_xlfn.XLOOKUP(H878,Table6[Product],Table6[Category])</f>
        <v>Electronics</v>
      </c>
      <c r="J878" t="s">
        <v>61</v>
      </c>
      <c r="K878">
        <v>4</v>
      </c>
      <c r="L878">
        <f>_xlfn.XLOOKUP(H878,Table6[Product],Table6[Unit Price])</f>
        <v>25000</v>
      </c>
      <c r="M878">
        <f>_xlfn.XLOOKUP(H878,Table6[Product],Table6[Cost Price])</f>
        <v>20000</v>
      </c>
      <c r="N878" s="7">
        <v>0.28999999999999998</v>
      </c>
      <c r="O878">
        <f t="shared" si="39"/>
        <v>71000</v>
      </c>
      <c r="P878">
        <f t="shared" si="40"/>
        <v>80000</v>
      </c>
      <c r="Q878">
        <f t="shared" si="41"/>
        <v>-9000</v>
      </c>
      <c r="R878" t="s">
        <v>46</v>
      </c>
      <c r="S878" t="s">
        <v>51</v>
      </c>
    </row>
    <row r="879" spans="1:19" ht="18" x14ac:dyDescent="0.5">
      <c r="A879" t="s">
        <v>949</v>
      </c>
      <c r="B879" t="s">
        <v>1948</v>
      </c>
      <c r="C879" s="6">
        <v>45618</v>
      </c>
      <c r="D879" t="s">
        <v>2091</v>
      </c>
      <c r="E879" t="s">
        <v>2077</v>
      </c>
      <c r="F879" t="str">
        <f>_xlfn.XLOOKUP(E879,Table8[City],Table8[State])</f>
        <v>Telangana</v>
      </c>
      <c r="G879" t="str">
        <f>_xlfn.XLOOKUP(E879,Table8[City],Table8[Region])</f>
        <v>South</v>
      </c>
      <c r="H879" t="s">
        <v>20</v>
      </c>
      <c r="I879" t="str">
        <f>_xlfn.XLOOKUP(H879,Table6[Product],Table6[Category])</f>
        <v>Accessories</v>
      </c>
      <c r="J879" t="s">
        <v>60</v>
      </c>
      <c r="K879">
        <v>8</v>
      </c>
      <c r="L879">
        <f>_xlfn.XLOOKUP(H879,Table6[Product],Table6[Unit Price])</f>
        <v>3000</v>
      </c>
      <c r="M879">
        <f>_xlfn.XLOOKUP(H879,Table6[Product],Table6[Cost Price])</f>
        <v>1800</v>
      </c>
      <c r="N879" s="7">
        <v>0.28999999999999998</v>
      </c>
      <c r="O879">
        <f t="shared" si="39"/>
        <v>17040</v>
      </c>
      <c r="P879">
        <f t="shared" si="40"/>
        <v>14400</v>
      </c>
      <c r="Q879">
        <f t="shared" si="41"/>
        <v>2640</v>
      </c>
      <c r="R879" t="s">
        <v>46</v>
      </c>
      <c r="S879" t="s">
        <v>49</v>
      </c>
    </row>
    <row r="880" spans="1:19" ht="18" x14ac:dyDescent="0.5">
      <c r="A880" t="s">
        <v>950</v>
      </c>
      <c r="B880" t="s">
        <v>1949</v>
      </c>
      <c r="C880" s="6">
        <v>45320</v>
      </c>
      <c r="D880" t="s">
        <v>2084</v>
      </c>
      <c r="E880" t="s">
        <v>2076</v>
      </c>
      <c r="F880" t="str">
        <f>_xlfn.XLOOKUP(E880,Table8[City],Table8[State])</f>
        <v>Tamil Nadu</v>
      </c>
      <c r="G880" t="str">
        <f>_xlfn.XLOOKUP(E880,Table8[City],Table8[Region])</f>
        <v>South</v>
      </c>
      <c r="H880" t="s">
        <v>24</v>
      </c>
      <c r="I880" t="str">
        <f>_xlfn.XLOOKUP(H880,Table6[Product],Table6[Category])</f>
        <v>Accessories</v>
      </c>
      <c r="J880" t="s">
        <v>60</v>
      </c>
      <c r="K880">
        <v>3</v>
      </c>
      <c r="L880">
        <f>_xlfn.XLOOKUP(H880,Table6[Product],Table6[Unit Price])</f>
        <v>1500</v>
      </c>
      <c r="M880">
        <f>_xlfn.XLOOKUP(H880,Table6[Product],Table6[Cost Price])</f>
        <v>900</v>
      </c>
      <c r="N880" s="7">
        <v>0.15</v>
      </c>
      <c r="O880">
        <f t="shared" si="39"/>
        <v>3825</v>
      </c>
      <c r="P880">
        <f t="shared" si="40"/>
        <v>2700</v>
      </c>
      <c r="Q880">
        <f t="shared" si="41"/>
        <v>1125</v>
      </c>
      <c r="R880" t="s">
        <v>43</v>
      </c>
      <c r="S880" t="s">
        <v>51</v>
      </c>
    </row>
    <row r="881" spans="1:19" ht="18" x14ac:dyDescent="0.5">
      <c r="A881" t="s">
        <v>951</v>
      </c>
      <c r="B881" t="s">
        <v>1950</v>
      </c>
      <c r="C881" s="6">
        <v>45763</v>
      </c>
      <c r="D881" t="s">
        <v>2090</v>
      </c>
      <c r="E881" t="s">
        <v>2105</v>
      </c>
      <c r="F881" t="str">
        <f>_xlfn.XLOOKUP(E881,Table8[City],Table8[State])</f>
        <v>Rajasthan</v>
      </c>
      <c r="G881" t="str">
        <f>_xlfn.XLOOKUP(E881,Table8[City],Table8[Region])</f>
        <v>North</v>
      </c>
      <c r="H881" t="s">
        <v>18</v>
      </c>
      <c r="I881" t="str">
        <f>_xlfn.XLOOKUP(H881,Table6[Product],Table6[Category])</f>
        <v>Electronics</v>
      </c>
      <c r="J881" t="s">
        <v>56</v>
      </c>
      <c r="K881">
        <v>6</v>
      </c>
      <c r="L881">
        <f>_xlfn.XLOOKUP(H881,Table6[Product],Table6[Unit Price])</f>
        <v>35000</v>
      </c>
      <c r="M881">
        <f>_xlfn.XLOOKUP(H881,Table6[Product],Table6[Cost Price])</f>
        <v>28000</v>
      </c>
      <c r="N881" s="7">
        <v>0.05</v>
      </c>
      <c r="O881">
        <f t="shared" si="39"/>
        <v>199500</v>
      </c>
      <c r="P881">
        <f t="shared" si="40"/>
        <v>168000</v>
      </c>
      <c r="Q881">
        <f t="shared" si="41"/>
        <v>31500</v>
      </c>
      <c r="R881" t="s">
        <v>43</v>
      </c>
      <c r="S881" t="s">
        <v>52</v>
      </c>
    </row>
    <row r="882" spans="1:19" ht="18" x14ac:dyDescent="0.5">
      <c r="A882" t="s">
        <v>952</v>
      </c>
      <c r="B882" t="s">
        <v>1951</v>
      </c>
      <c r="C882" s="6">
        <v>45547</v>
      </c>
      <c r="D882" t="s">
        <v>2094</v>
      </c>
      <c r="E882" t="s">
        <v>2076</v>
      </c>
      <c r="F882" t="str">
        <f>_xlfn.XLOOKUP(E882,Table8[City],Table8[State])</f>
        <v>Tamil Nadu</v>
      </c>
      <c r="G882" t="str">
        <f>_xlfn.XLOOKUP(E882,Table8[City],Table8[Region])</f>
        <v>South</v>
      </c>
      <c r="H882" t="s">
        <v>24</v>
      </c>
      <c r="I882" t="str">
        <f>_xlfn.XLOOKUP(H882,Table6[Product],Table6[Category])</f>
        <v>Accessories</v>
      </c>
      <c r="J882" t="s">
        <v>56</v>
      </c>
      <c r="K882">
        <v>2</v>
      </c>
      <c r="L882">
        <f>_xlfn.XLOOKUP(H882,Table6[Product],Table6[Unit Price])</f>
        <v>1500</v>
      </c>
      <c r="M882">
        <f>_xlfn.XLOOKUP(H882,Table6[Product],Table6[Cost Price])</f>
        <v>900</v>
      </c>
      <c r="N882" s="7">
        <v>0.04</v>
      </c>
      <c r="O882">
        <f t="shared" si="39"/>
        <v>2880</v>
      </c>
      <c r="P882">
        <f t="shared" si="40"/>
        <v>1800</v>
      </c>
      <c r="Q882">
        <f t="shared" si="41"/>
        <v>1080</v>
      </c>
      <c r="R882" t="s">
        <v>44</v>
      </c>
      <c r="S882" t="s">
        <v>49</v>
      </c>
    </row>
    <row r="883" spans="1:19" ht="18" x14ac:dyDescent="0.5">
      <c r="A883" t="s">
        <v>953</v>
      </c>
      <c r="B883" t="s">
        <v>1952</v>
      </c>
      <c r="C883" s="6">
        <v>45690</v>
      </c>
      <c r="D883" t="s">
        <v>2089</v>
      </c>
      <c r="E883" t="s">
        <v>2076</v>
      </c>
      <c r="F883" t="str">
        <f>_xlfn.XLOOKUP(E883,Table8[City],Table8[State])</f>
        <v>Tamil Nadu</v>
      </c>
      <c r="G883" t="str">
        <f>_xlfn.XLOOKUP(E883,Table8[City],Table8[Region])</f>
        <v>South</v>
      </c>
      <c r="H883" t="s">
        <v>16</v>
      </c>
      <c r="I883" t="str">
        <f>_xlfn.XLOOKUP(H883,Table6[Product],Table6[Category])</f>
        <v>Electronics</v>
      </c>
      <c r="J883" t="s">
        <v>60</v>
      </c>
      <c r="K883">
        <v>10</v>
      </c>
      <c r="L883">
        <f>_xlfn.XLOOKUP(H883,Table6[Product],Table6[Unit Price])</f>
        <v>65000</v>
      </c>
      <c r="M883">
        <f>_xlfn.XLOOKUP(H883,Table6[Product],Table6[Cost Price])</f>
        <v>52000</v>
      </c>
      <c r="N883" s="7">
        <v>0.27</v>
      </c>
      <c r="O883">
        <f t="shared" si="39"/>
        <v>474500</v>
      </c>
      <c r="P883">
        <f t="shared" si="40"/>
        <v>520000</v>
      </c>
      <c r="Q883">
        <f t="shared" si="41"/>
        <v>-45500</v>
      </c>
      <c r="R883" t="s">
        <v>44</v>
      </c>
      <c r="S883" t="s">
        <v>52</v>
      </c>
    </row>
    <row r="884" spans="1:19" ht="18" x14ac:dyDescent="0.5">
      <c r="A884" t="s">
        <v>954</v>
      </c>
      <c r="B884" t="s">
        <v>1953</v>
      </c>
      <c r="C884" s="6">
        <v>45376</v>
      </c>
      <c r="D884" t="s">
        <v>2087</v>
      </c>
      <c r="E884" t="s">
        <v>2076</v>
      </c>
      <c r="F884" t="str">
        <f>_xlfn.XLOOKUP(E884,Table8[City],Table8[State])</f>
        <v>Tamil Nadu</v>
      </c>
      <c r="G884" t="str">
        <f>_xlfn.XLOOKUP(E884,Table8[City],Table8[Region])</f>
        <v>South</v>
      </c>
      <c r="H884" t="s">
        <v>25</v>
      </c>
      <c r="I884" t="str">
        <f>_xlfn.XLOOKUP(H884,Table6[Product],Table6[Category])</f>
        <v>Accessories</v>
      </c>
      <c r="J884" t="s">
        <v>57</v>
      </c>
      <c r="K884">
        <v>6</v>
      </c>
      <c r="L884">
        <f>_xlfn.XLOOKUP(H884,Table6[Product],Table6[Unit Price])</f>
        <v>800</v>
      </c>
      <c r="M884">
        <f>_xlfn.XLOOKUP(H884,Table6[Product],Table6[Cost Price])</f>
        <v>450</v>
      </c>
      <c r="N884" s="7">
        <v>0.08</v>
      </c>
      <c r="O884">
        <f t="shared" si="39"/>
        <v>4416</v>
      </c>
      <c r="P884">
        <f t="shared" si="40"/>
        <v>2700</v>
      </c>
      <c r="Q884">
        <f t="shared" si="41"/>
        <v>1716</v>
      </c>
      <c r="R884" t="s">
        <v>44</v>
      </c>
      <c r="S884" t="s">
        <v>50</v>
      </c>
    </row>
    <row r="885" spans="1:19" ht="18" x14ac:dyDescent="0.5">
      <c r="A885" t="s">
        <v>955</v>
      </c>
      <c r="B885" t="s">
        <v>1954</v>
      </c>
      <c r="C885" s="6">
        <v>45842</v>
      </c>
      <c r="D885" t="s">
        <v>2097</v>
      </c>
      <c r="E885" t="s">
        <v>2105</v>
      </c>
      <c r="F885" t="str">
        <f>_xlfn.XLOOKUP(E885,Table8[City],Table8[State])</f>
        <v>Rajasthan</v>
      </c>
      <c r="G885" t="str">
        <f>_xlfn.XLOOKUP(E885,Table8[City],Table8[Region])</f>
        <v>North</v>
      </c>
      <c r="H885" t="s">
        <v>19</v>
      </c>
      <c r="I885" t="str">
        <f>_xlfn.XLOOKUP(H885,Table6[Product],Table6[Category])</f>
        <v>Electronics</v>
      </c>
      <c r="J885" t="s">
        <v>58</v>
      </c>
      <c r="K885">
        <v>10</v>
      </c>
      <c r="L885">
        <f>_xlfn.XLOOKUP(H885,Table6[Product],Table6[Unit Price])</f>
        <v>25000</v>
      </c>
      <c r="M885">
        <f>_xlfn.XLOOKUP(H885,Table6[Product],Table6[Cost Price])</f>
        <v>20000</v>
      </c>
      <c r="N885" s="7">
        <v>0.02</v>
      </c>
      <c r="O885">
        <f t="shared" si="39"/>
        <v>245000</v>
      </c>
      <c r="P885">
        <f t="shared" si="40"/>
        <v>200000</v>
      </c>
      <c r="Q885">
        <f t="shared" si="41"/>
        <v>45000</v>
      </c>
      <c r="R885" t="s">
        <v>46</v>
      </c>
      <c r="S885" t="s">
        <v>50</v>
      </c>
    </row>
    <row r="886" spans="1:19" ht="18" x14ac:dyDescent="0.5">
      <c r="A886" t="s">
        <v>956</v>
      </c>
      <c r="B886" t="s">
        <v>1955</v>
      </c>
      <c r="C886" s="6">
        <v>45791</v>
      </c>
      <c r="D886" t="s">
        <v>2096</v>
      </c>
      <c r="E886" t="s">
        <v>2104</v>
      </c>
      <c r="F886" t="str">
        <f>_xlfn.XLOOKUP(E886,Table8[City],Table8[State])</f>
        <v>Delhi</v>
      </c>
      <c r="G886" t="str">
        <f>_xlfn.XLOOKUP(E886,Table8[City],Table8[Region])</f>
        <v>North</v>
      </c>
      <c r="H886" t="s">
        <v>26</v>
      </c>
      <c r="I886" t="str">
        <f>_xlfn.XLOOKUP(H886,Table6[Product],Table6[Category])</f>
        <v>Office</v>
      </c>
      <c r="J886" t="s">
        <v>54</v>
      </c>
      <c r="K886">
        <v>8</v>
      </c>
      <c r="L886">
        <f>_xlfn.XLOOKUP(H886,Table6[Product],Table6[Unit Price])</f>
        <v>15000</v>
      </c>
      <c r="M886">
        <f>_xlfn.XLOOKUP(H886,Table6[Product],Table6[Cost Price])</f>
        <v>11500</v>
      </c>
      <c r="N886" s="7">
        <v>0.21</v>
      </c>
      <c r="O886">
        <f t="shared" si="39"/>
        <v>94800</v>
      </c>
      <c r="P886">
        <f t="shared" si="40"/>
        <v>92000</v>
      </c>
      <c r="Q886">
        <f t="shared" si="41"/>
        <v>2800</v>
      </c>
      <c r="R886" t="s">
        <v>47</v>
      </c>
      <c r="S886" t="s">
        <v>52</v>
      </c>
    </row>
    <row r="887" spans="1:19" ht="18" x14ac:dyDescent="0.5">
      <c r="A887" t="s">
        <v>957</v>
      </c>
      <c r="B887" t="s">
        <v>1956</v>
      </c>
      <c r="C887" s="6">
        <v>45297</v>
      </c>
      <c r="D887" t="s">
        <v>2094</v>
      </c>
      <c r="E887" t="s">
        <v>2105</v>
      </c>
      <c r="F887" t="str">
        <f>_xlfn.XLOOKUP(E887,Table8[City],Table8[State])</f>
        <v>Rajasthan</v>
      </c>
      <c r="G887" t="str">
        <f>_xlfn.XLOOKUP(E887,Table8[City],Table8[Region])</f>
        <v>North</v>
      </c>
      <c r="H887" t="s">
        <v>25</v>
      </c>
      <c r="I887" t="str">
        <f>_xlfn.XLOOKUP(H887,Table6[Product],Table6[Category])</f>
        <v>Accessories</v>
      </c>
      <c r="J887" t="s">
        <v>55</v>
      </c>
      <c r="K887">
        <v>3</v>
      </c>
      <c r="L887">
        <f>_xlfn.XLOOKUP(H887,Table6[Product],Table6[Unit Price])</f>
        <v>800</v>
      </c>
      <c r="M887">
        <f>_xlfn.XLOOKUP(H887,Table6[Product],Table6[Cost Price])</f>
        <v>450</v>
      </c>
      <c r="N887" s="7">
        <v>0.18</v>
      </c>
      <c r="O887">
        <f t="shared" si="39"/>
        <v>1968.0000000000002</v>
      </c>
      <c r="P887">
        <f t="shared" si="40"/>
        <v>1350</v>
      </c>
      <c r="Q887">
        <f t="shared" si="41"/>
        <v>618.00000000000023</v>
      </c>
      <c r="R887" t="s">
        <v>44</v>
      </c>
      <c r="S887" t="s">
        <v>51</v>
      </c>
    </row>
    <row r="888" spans="1:19" ht="18" x14ac:dyDescent="0.5">
      <c r="A888" t="s">
        <v>958</v>
      </c>
      <c r="B888" t="s">
        <v>1957</v>
      </c>
      <c r="C888" s="6">
        <v>45868</v>
      </c>
      <c r="D888" t="s">
        <v>59</v>
      </c>
      <c r="E888" t="s">
        <v>2074</v>
      </c>
      <c r="F888" t="str">
        <f>_xlfn.XLOOKUP(E888,Table8[City],Table8[State])</f>
        <v>Maharashtra</v>
      </c>
      <c r="G888" t="str">
        <f>_xlfn.XLOOKUP(E888,Table8[City],Table8[Region])</f>
        <v>West</v>
      </c>
      <c r="H888" t="s">
        <v>26</v>
      </c>
      <c r="I888" t="str">
        <f>_xlfn.XLOOKUP(H888,Table6[Product],Table6[Category])</f>
        <v>Office</v>
      </c>
      <c r="J888" t="s">
        <v>62</v>
      </c>
      <c r="K888">
        <v>10</v>
      </c>
      <c r="L888">
        <f>_xlfn.XLOOKUP(H888,Table6[Product],Table6[Unit Price])</f>
        <v>15000</v>
      </c>
      <c r="M888">
        <f>_xlfn.XLOOKUP(H888,Table6[Product],Table6[Cost Price])</f>
        <v>11500</v>
      </c>
      <c r="N888" s="7">
        <v>0.05</v>
      </c>
      <c r="O888">
        <f t="shared" si="39"/>
        <v>142500</v>
      </c>
      <c r="P888">
        <f t="shared" si="40"/>
        <v>115000</v>
      </c>
      <c r="Q888">
        <f t="shared" si="41"/>
        <v>27500</v>
      </c>
      <c r="R888" t="s">
        <v>47</v>
      </c>
      <c r="S888" t="s">
        <v>51</v>
      </c>
    </row>
    <row r="889" spans="1:19" ht="18" x14ac:dyDescent="0.5">
      <c r="A889" t="s">
        <v>959</v>
      </c>
      <c r="B889" t="s">
        <v>1958</v>
      </c>
      <c r="C889" s="6">
        <v>45655</v>
      </c>
      <c r="D889" t="s">
        <v>2090</v>
      </c>
      <c r="E889" t="s">
        <v>2072</v>
      </c>
      <c r="F889" t="str">
        <f>_xlfn.XLOOKUP(E889,Table8[City],Table8[State])</f>
        <v>Karnataka</v>
      </c>
      <c r="G889" t="str">
        <f>_xlfn.XLOOKUP(E889,Table8[City],Table8[Region])</f>
        <v>South</v>
      </c>
      <c r="H889" t="s">
        <v>22</v>
      </c>
      <c r="I889" t="str">
        <f>_xlfn.XLOOKUP(H889,Table6[Product],Table6[Category])</f>
        <v>Wearables</v>
      </c>
      <c r="J889" t="s">
        <v>63</v>
      </c>
      <c r="K889">
        <v>9</v>
      </c>
      <c r="L889">
        <f>_xlfn.XLOOKUP(H889,Table6[Product],Table6[Unit Price])</f>
        <v>12000</v>
      </c>
      <c r="M889">
        <f>_xlfn.XLOOKUP(H889,Table6[Product],Table6[Cost Price])</f>
        <v>8500</v>
      </c>
      <c r="N889" s="7">
        <v>0.24</v>
      </c>
      <c r="O889">
        <f t="shared" si="39"/>
        <v>82080</v>
      </c>
      <c r="P889">
        <f t="shared" si="40"/>
        <v>76500</v>
      </c>
      <c r="Q889">
        <f t="shared" si="41"/>
        <v>5580</v>
      </c>
      <c r="R889" t="s">
        <v>46</v>
      </c>
      <c r="S889" t="s">
        <v>50</v>
      </c>
    </row>
    <row r="890" spans="1:19" ht="18" x14ac:dyDescent="0.5">
      <c r="A890" t="s">
        <v>960</v>
      </c>
      <c r="B890" t="s">
        <v>1959</v>
      </c>
      <c r="C890" s="6">
        <v>45978</v>
      </c>
      <c r="D890" t="s">
        <v>2087</v>
      </c>
      <c r="E890" t="s">
        <v>2075</v>
      </c>
      <c r="F890" t="str">
        <f>_xlfn.XLOOKUP(E890,Table8[City],Table8[State])</f>
        <v>Tamil Nadu</v>
      </c>
      <c r="G890" t="str">
        <f>_xlfn.XLOOKUP(E890,Table8[City],Table8[Region])</f>
        <v>South</v>
      </c>
      <c r="H890" t="s">
        <v>26</v>
      </c>
      <c r="I890" t="str">
        <f>_xlfn.XLOOKUP(H890,Table6[Product],Table6[Category])</f>
        <v>Office</v>
      </c>
      <c r="J890" t="s">
        <v>55</v>
      </c>
      <c r="K890">
        <v>10</v>
      </c>
      <c r="L890">
        <f>_xlfn.XLOOKUP(H890,Table6[Product],Table6[Unit Price])</f>
        <v>15000</v>
      </c>
      <c r="M890">
        <f>_xlfn.XLOOKUP(H890,Table6[Product],Table6[Cost Price])</f>
        <v>11500</v>
      </c>
      <c r="N890" s="7">
        <v>0.12</v>
      </c>
      <c r="O890">
        <f t="shared" si="39"/>
        <v>132000</v>
      </c>
      <c r="P890">
        <f t="shared" si="40"/>
        <v>115000</v>
      </c>
      <c r="Q890">
        <f t="shared" si="41"/>
        <v>17000</v>
      </c>
      <c r="R890" t="s">
        <v>44</v>
      </c>
      <c r="S890" t="s">
        <v>52</v>
      </c>
    </row>
    <row r="891" spans="1:19" ht="18" x14ac:dyDescent="0.5">
      <c r="A891" t="s">
        <v>961</v>
      </c>
      <c r="B891" t="s">
        <v>1960</v>
      </c>
      <c r="C891" s="6">
        <v>45900</v>
      </c>
      <c r="D891" t="s">
        <v>2086</v>
      </c>
      <c r="E891" t="s">
        <v>2080</v>
      </c>
      <c r="F891" t="str">
        <f>_xlfn.XLOOKUP(E891,Table8[City],Table8[State])</f>
        <v>Gujarat</v>
      </c>
      <c r="G891" t="str">
        <f>_xlfn.XLOOKUP(E891,Table8[City],Table8[Region])</f>
        <v>West</v>
      </c>
      <c r="H891" t="s">
        <v>16</v>
      </c>
      <c r="I891" t="str">
        <f>_xlfn.XLOOKUP(H891,Table6[Product],Table6[Category])</f>
        <v>Electronics</v>
      </c>
      <c r="J891" t="s">
        <v>56</v>
      </c>
      <c r="K891">
        <v>5</v>
      </c>
      <c r="L891">
        <f>_xlfn.XLOOKUP(H891,Table6[Product],Table6[Unit Price])</f>
        <v>65000</v>
      </c>
      <c r="M891">
        <f>_xlfn.XLOOKUP(H891,Table6[Product],Table6[Cost Price])</f>
        <v>52000</v>
      </c>
      <c r="N891" s="7">
        <v>0.04</v>
      </c>
      <c r="O891">
        <f t="shared" si="39"/>
        <v>312000</v>
      </c>
      <c r="P891">
        <f t="shared" si="40"/>
        <v>260000</v>
      </c>
      <c r="Q891">
        <f t="shared" si="41"/>
        <v>52000</v>
      </c>
      <c r="R891" t="s">
        <v>44</v>
      </c>
      <c r="S891" t="s">
        <v>50</v>
      </c>
    </row>
    <row r="892" spans="1:19" ht="18" x14ac:dyDescent="0.5">
      <c r="A892" t="s">
        <v>962</v>
      </c>
      <c r="B892" t="s">
        <v>1961</v>
      </c>
      <c r="C892" s="6">
        <v>45526</v>
      </c>
      <c r="D892" t="s">
        <v>2084</v>
      </c>
      <c r="E892" t="s">
        <v>2079</v>
      </c>
      <c r="F892" t="str">
        <f>_xlfn.XLOOKUP(E892,Table8[City],Table8[State])</f>
        <v>Gujarat</v>
      </c>
      <c r="G892" t="str">
        <f>_xlfn.XLOOKUP(E892,Table8[City],Table8[Region])</f>
        <v>West</v>
      </c>
      <c r="H892" t="s">
        <v>29</v>
      </c>
      <c r="I892" t="str">
        <f>_xlfn.XLOOKUP(H892,Table6[Product],Table6[Category])</f>
        <v>Electronics</v>
      </c>
      <c r="J892" t="s">
        <v>56</v>
      </c>
      <c r="K892">
        <v>10</v>
      </c>
      <c r="L892">
        <f>_xlfn.XLOOKUP(H892,Table6[Product],Table6[Unit Price])</f>
        <v>5000</v>
      </c>
      <c r="M892">
        <f>_xlfn.XLOOKUP(H892,Table6[Product],Table6[Cost Price])</f>
        <v>3200</v>
      </c>
      <c r="N892" s="7">
        <v>0.18</v>
      </c>
      <c r="O892">
        <f t="shared" si="39"/>
        <v>41000</v>
      </c>
      <c r="P892">
        <f t="shared" si="40"/>
        <v>32000</v>
      </c>
      <c r="Q892">
        <f t="shared" si="41"/>
        <v>9000</v>
      </c>
      <c r="R892" t="s">
        <v>43</v>
      </c>
      <c r="S892" t="s">
        <v>50</v>
      </c>
    </row>
    <row r="893" spans="1:19" ht="18" x14ac:dyDescent="0.5">
      <c r="A893" t="s">
        <v>963</v>
      </c>
      <c r="B893" t="s">
        <v>1962</v>
      </c>
      <c r="C893" s="6">
        <v>45461</v>
      </c>
      <c r="D893" t="s">
        <v>2092</v>
      </c>
      <c r="E893" t="s">
        <v>2078</v>
      </c>
      <c r="F893" t="str">
        <f>_xlfn.XLOOKUP(E893,Table8[City],Table8[State])</f>
        <v>Telangana</v>
      </c>
      <c r="G893" t="str">
        <f>_xlfn.XLOOKUP(E893,Table8[City],Table8[Region])</f>
        <v>South</v>
      </c>
      <c r="H893" t="s">
        <v>26</v>
      </c>
      <c r="I893" t="str">
        <f>_xlfn.XLOOKUP(H893,Table6[Product],Table6[Category])</f>
        <v>Office</v>
      </c>
      <c r="J893" t="s">
        <v>54</v>
      </c>
      <c r="K893">
        <v>5</v>
      </c>
      <c r="L893">
        <f>_xlfn.XLOOKUP(H893,Table6[Product],Table6[Unit Price])</f>
        <v>15000</v>
      </c>
      <c r="M893">
        <f>_xlfn.XLOOKUP(H893,Table6[Product],Table6[Cost Price])</f>
        <v>11500</v>
      </c>
      <c r="N893" s="7">
        <v>0.12</v>
      </c>
      <c r="O893">
        <f t="shared" si="39"/>
        <v>66000</v>
      </c>
      <c r="P893">
        <f t="shared" si="40"/>
        <v>57500</v>
      </c>
      <c r="Q893">
        <f t="shared" si="41"/>
        <v>8500</v>
      </c>
      <c r="R893" t="s">
        <v>45</v>
      </c>
      <c r="S893" t="s">
        <v>49</v>
      </c>
    </row>
    <row r="894" spans="1:19" ht="18" x14ac:dyDescent="0.5">
      <c r="A894" t="s">
        <v>964</v>
      </c>
      <c r="B894" t="s">
        <v>1963</v>
      </c>
      <c r="C894" s="6">
        <v>45849</v>
      </c>
      <c r="D894" t="s">
        <v>2090</v>
      </c>
      <c r="E894" t="s">
        <v>2079</v>
      </c>
      <c r="F894" t="str">
        <f>_xlfn.XLOOKUP(E894,Table8[City],Table8[State])</f>
        <v>Gujarat</v>
      </c>
      <c r="G894" t="str">
        <f>_xlfn.XLOOKUP(E894,Table8[City],Table8[Region])</f>
        <v>West</v>
      </c>
      <c r="H894" t="s">
        <v>16</v>
      </c>
      <c r="I894" t="str">
        <f>_xlfn.XLOOKUP(H894,Table6[Product],Table6[Category])</f>
        <v>Electronics</v>
      </c>
      <c r="J894" t="s">
        <v>60</v>
      </c>
      <c r="K894">
        <v>1</v>
      </c>
      <c r="L894">
        <f>_xlfn.XLOOKUP(H894,Table6[Product],Table6[Unit Price])</f>
        <v>65000</v>
      </c>
      <c r="M894">
        <f>_xlfn.XLOOKUP(H894,Table6[Product],Table6[Cost Price])</f>
        <v>52000</v>
      </c>
      <c r="N894" s="7">
        <v>7.0000000000000007E-2</v>
      </c>
      <c r="O894">
        <f t="shared" si="39"/>
        <v>60449.999999999993</v>
      </c>
      <c r="P894">
        <f t="shared" si="40"/>
        <v>52000</v>
      </c>
      <c r="Q894">
        <f t="shared" si="41"/>
        <v>8449.9999999999927</v>
      </c>
      <c r="R894" t="s">
        <v>46</v>
      </c>
      <c r="S894" t="s">
        <v>49</v>
      </c>
    </row>
    <row r="895" spans="1:19" ht="18" x14ac:dyDescent="0.5">
      <c r="A895" t="s">
        <v>965</v>
      </c>
      <c r="B895" t="s">
        <v>1964</v>
      </c>
      <c r="C895" s="6">
        <v>45322</v>
      </c>
      <c r="D895" t="s">
        <v>2098</v>
      </c>
      <c r="E895" t="s">
        <v>2075</v>
      </c>
      <c r="F895" t="str">
        <f>_xlfn.XLOOKUP(E895,Table8[City],Table8[State])</f>
        <v>Tamil Nadu</v>
      </c>
      <c r="G895" t="str">
        <f>_xlfn.XLOOKUP(E895,Table8[City],Table8[Region])</f>
        <v>South</v>
      </c>
      <c r="H895" t="s">
        <v>22</v>
      </c>
      <c r="I895" t="str">
        <f>_xlfn.XLOOKUP(H895,Table6[Product],Table6[Category])</f>
        <v>Wearables</v>
      </c>
      <c r="J895" t="s">
        <v>58</v>
      </c>
      <c r="K895">
        <v>4</v>
      </c>
      <c r="L895">
        <f>_xlfn.XLOOKUP(H895,Table6[Product],Table6[Unit Price])</f>
        <v>12000</v>
      </c>
      <c r="M895">
        <f>_xlfn.XLOOKUP(H895,Table6[Product],Table6[Cost Price])</f>
        <v>8500</v>
      </c>
      <c r="N895" s="7">
        <v>0.12</v>
      </c>
      <c r="O895">
        <f t="shared" si="39"/>
        <v>42240</v>
      </c>
      <c r="P895">
        <f t="shared" si="40"/>
        <v>34000</v>
      </c>
      <c r="Q895">
        <f t="shared" si="41"/>
        <v>8240</v>
      </c>
      <c r="R895" t="s">
        <v>43</v>
      </c>
      <c r="S895" t="s">
        <v>52</v>
      </c>
    </row>
    <row r="896" spans="1:19" ht="18" x14ac:dyDescent="0.5">
      <c r="A896" t="s">
        <v>966</v>
      </c>
      <c r="B896" t="s">
        <v>1965</v>
      </c>
      <c r="C896" s="6">
        <v>45658</v>
      </c>
      <c r="D896" t="s">
        <v>59</v>
      </c>
      <c r="E896" t="s">
        <v>2080</v>
      </c>
      <c r="F896" t="str">
        <f>_xlfn.XLOOKUP(E896,Table8[City],Table8[State])</f>
        <v>Gujarat</v>
      </c>
      <c r="G896" t="str">
        <f>_xlfn.XLOOKUP(E896,Table8[City],Table8[Region])</f>
        <v>West</v>
      </c>
      <c r="H896" t="s">
        <v>26</v>
      </c>
      <c r="I896" t="str">
        <f>_xlfn.XLOOKUP(H896,Table6[Product],Table6[Category])</f>
        <v>Office</v>
      </c>
      <c r="J896" t="s">
        <v>62</v>
      </c>
      <c r="K896">
        <v>5</v>
      </c>
      <c r="L896">
        <f>_xlfn.XLOOKUP(H896,Table6[Product],Table6[Unit Price])</f>
        <v>15000</v>
      </c>
      <c r="M896">
        <f>_xlfn.XLOOKUP(H896,Table6[Product],Table6[Cost Price])</f>
        <v>11500</v>
      </c>
      <c r="N896" s="7">
        <v>0.05</v>
      </c>
      <c r="O896">
        <f t="shared" si="39"/>
        <v>71250</v>
      </c>
      <c r="P896">
        <f t="shared" si="40"/>
        <v>57500</v>
      </c>
      <c r="Q896">
        <f t="shared" si="41"/>
        <v>13750</v>
      </c>
      <c r="R896" t="s">
        <v>45</v>
      </c>
      <c r="S896" t="s">
        <v>51</v>
      </c>
    </row>
    <row r="897" spans="1:19" ht="18" x14ac:dyDescent="0.5">
      <c r="A897" t="s">
        <v>967</v>
      </c>
      <c r="B897" t="s">
        <v>1966</v>
      </c>
      <c r="C897" s="6">
        <v>45882</v>
      </c>
      <c r="D897" t="s">
        <v>2085</v>
      </c>
      <c r="E897" t="s">
        <v>2078</v>
      </c>
      <c r="F897" t="str">
        <f>_xlfn.XLOOKUP(E897,Table8[City],Table8[State])</f>
        <v>Telangana</v>
      </c>
      <c r="G897" t="str">
        <f>_xlfn.XLOOKUP(E897,Table8[City],Table8[Region])</f>
        <v>South</v>
      </c>
      <c r="H897" t="s">
        <v>28</v>
      </c>
      <c r="I897" t="str">
        <f>_xlfn.XLOOKUP(H897,Table6[Product],Table6[Category])</f>
        <v>Office</v>
      </c>
      <c r="J897" t="s">
        <v>61</v>
      </c>
      <c r="K897">
        <v>1</v>
      </c>
      <c r="L897">
        <f>_xlfn.XLOOKUP(H897,Table6[Product],Table6[Unit Price])</f>
        <v>18000</v>
      </c>
      <c r="M897">
        <f>_xlfn.XLOOKUP(H897,Table6[Product],Table6[Cost Price])</f>
        <v>14000</v>
      </c>
      <c r="N897" s="7">
        <v>0.28000000000000003</v>
      </c>
      <c r="O897">
        <f t="shared" si="39"/>
        <v>12960</v>
      </c>
      <c r="P897">
        <f t="shared" si="40"/>
        <v>14000</v>
      </c>
      <c r="Q897">
        <f t="shared" si="41"/>
        <v>-1040</v>
      </c>
      <c r="R897" t="s">
        <v>44</v>
      </c>
      <c r="S897" t="s">
        <v>51</v>
      </c>
    </row>
    <row r="898" spans="1:19" ht="18" x14ac:dyDescent="0.5">
      <c r="A898" t="s">
        <v>968</v>
      </c>
      <c r="B898" t="s">
        <v>1967</v>
      </c>
      <c r="C898" s="6">
        <v>45869</v>
      </c>
      <c r="D898" t="s">
        <v>2094</v>
      </c>
      <c r="E898" t="s">
        <v>2072</v>
      </c>
      <c r="F898" t="str">
        <f>_xlfn.XLOOKUP(E898,Table8[City],Table8[State])</f>
        <v>Karnataka</v>
      </c>
      <c r="G898" t="str">
        <f>_xlfn.XLOOKUP(E898,Table8[City],Table8[Region])</f>
        <v>South</v>
      </c>
      <c r="H898" t="s">
        <v>16</v>
      </c>
      <c r="I898" t="str">
        <f>_xlfn.XLOOKUP(H898,Table6[Product],Table6[Category])</f>
        <v>Electronics</v>
      </c>
      <c r="J898" t="s">
        <v>62</v>
      </c>
      <c r="K898">
        <v>4</v>
      </c>
      <c r="L898">
        <f>_xlfn.XLOOKUP(H898,Table6[Product],Table6[Unit Price])</f>
        <v>65000</v>
      </c>
      <c r="M898">
        <f>_xlfn.XLOOKUP(H898,Table6[Product],Table6[Cost Price])</f>
        <v>52000</v>
      </c>
      <c r="N898" s="7">
        <v>0.12</v>
      </c>
      <c r="O898">
        <f t="shared" si="39"/>
        <v>228800</v>
      </c>
      <c r="P898">
        <f t="shared" si="40"/>
        <v>208000</v>
      </c>
      <c r="Q898">
        <f t="shared" si="41"/>
        <v>20800</v>
      </c>
      <c r="R898" t="s">
        <v>47</v>
      </c>
      <c r="S898" t="s">
        <v>49</v>
      </c>
    </row>
    <row r="899" spans="1:19" ht="18" x14ac:dyDescent="0.5">
      <c r="A899" t="s">
        <v>969</v>
      </c>
      <c r="B899" t="s">
        <v>1968</v>
      </c>
      <c r="C899" s="6">
        <v>45587</v>
      </c>
      <c r="D899" t="s">
        <v>2093</v>
      </c>
      <c r="E899" t="s">
        <v>2072</v>
      </c>
      <c r="F899" t="str">
        <f>_xlfn.XLOOKUP(E899,Table8[City],Table8[State])</f>
        <v>Karnataka</v>
      </c>
      <c r="G899" t="str">
        <f>_xlfn.XLOOKUP(E899,Table8[City],Table8[Region])</f>
        <v>South</v>
      </c>
      <c r="H899" t="s">
        <v>16</v>
      </c>
      <c r="I899" t="str">
        <f>_xlfn.XLOOKUP(H899,Table6[Product],Table6[Category])</f>
        <v>Electronics</v>
      </c>
      <c r="J899" t="s">
        <v>60</v>
      </c>
      <c r="K899">
        <v>7</v>
      </c>
      <c r="L899">
        <f>_xlfn.XLOOKUP(H899,Table6[Product],Table6[Unit Price])</f>
        <v>65000</v>
      </c>
      <c r="M899">
        <f>_xlfn.XLOOKUP(H899,Table6[Product],Table6[Cost Price])</f>
        <v>52000</v>
      </c>
      <c r="N899" s="7">
        <v>0.11</v>
      </c>
      <c r="O899">
        <f t="shared" ref="O899:O962" si="42">(L899*K899)*(1-N899)</f>
        <v>404950</v>
      </c>
      <c r="P899">
        <f t="shared" ref="P899:P962" si="43">M899*K899</f>
        <v>364000</v>
      </c>
      <c r="Q899">
        <f t="shared" ref="Q899:Q962" si="44">O899-P899</f>
        <v>40950</v>
      </c>
      <c r="R899" t="s">
        <v>45</v>
      </c>
      <c r="S899" t="s">
        <v>52</v>
      </c>
    </row>
    <row r="900" spans="1:19" ht="18" x14ac:dyDescent="0.5">
      <c r="A900" t="s">
        <v>970</v>
      </c>
      <c r="B900" t="s">
        <v>1969</v>
      </c>
      <c r="C900" s="6">
        <v>45439</v>
      </c>
      <c r="D900" t="s">
        <v>2083</v>
      </c>
      <c r="E900" t="s">
        <v>2077</v>
      </c>
      <c r="F900" t="str">
        <f>_xlfn.XLOOKUP(E900,Table8[City],Table8[State])</f>
        <v>Telangana</v>
      </c>
      <c r="G900" t="str">
        <f>_xlfn.XLOOKUP(E900,Table8[City],Table8[Region])</f>
        <v>South</v>
      </c>
      <c r="H900" t="s">
        <v>29</v>
      </c>
      <c r="I900" t="str">
        <f>_xlfn.XLOOKUP(H900,Table6[Product],Table6[Category])</f>
        <v>Electronics</v>
      </c>
      <c r="J900" t="s">
        <v>61</v>
      </c>
      <c r="K900">
        <v>3</v>
      </c>
      <c r="L900">
        <f>_xlfn.XLOOKUP(H900,Table6[Product],Table6[Unit Price])</f>
        <v>5000</v>
      </c>
      <c r="M900">
        <f>_xlfn.XLOOKUP(H900,Table6[Product],Table6[Cost Price])</f>
        <v>3200</v>
      </c>
      <c r="N900" s="7">
        <v>0.17</v>
      </c>
      <c r="O900">
        <f t="shared" si="42"/>
        <v>12450</v>
      </c>
      <c r="P900">
        <f t="shared" si="43"/>
        <v>9600</v>
      </c>
      <c r="Q900">
        <f t="shared" si="44"/>
        <v>2850</v>
      </c>
      <c r="R900" t="s">
        <v>47</v>
      </c>
      <c r="S900" t="s">
        <v>50</v>
      </c>
    </row>
    <row r="901" spans="1:19" ht="18" x14ac:dyDescent="0.5">
      <c r="A901" t="s">
        <v>971</v>
      </c>
      <c r="B901" t="s">
        <v>1970</v>
      </c>
      <c r="C901" s="6">
        <v>45956</v>
      </c>
      <c r="D901" t="s">
        <v>2098</v>
      </c>
      <c r="E901" t="s">
        <v>2080</v>
      </c>
      <c r="F901" t="str">
        <f>_xlfn.XLOOKUP(E901,Table8[City],Table8[State])</f>
        <v>Gujarat</v>
      </c>
      <c r="G901" t="str">
        <f>_xlfn.XLOOKUP(E901,Table8[City],Table8[Region])</f>
        <v>West</v>
      </c>
      <c r="H901" t="s">
        <v>24</v>
      </c>
      <c r="I901" t="str">
        <f>_xlfn.XLOOKUP(H901,Table6[Product],Table6[Category])</f>
        <v>Accessories</v>
      </c>
      <c r="J901" t="s">
        <v>57</v>
      </c>
      <c r="K901">
        <v>4</v>
      </c>
      <c r="L901">
        <f>_xlfn.XLOOKUP(H901,Table6[Product],Table6[Unit Price])</f>
        <v>1500</v>
      </c>
      <c r="M901">
        <f>_xlfn.XLOOKUP(H901,Table6[Product],Table6[Cost Price])</f>
        <v>900</v>
      </c>
      <c r="N901" s="7">
        <v>0.17</v>
      </c>
      <c r="O901">
        <f t="shared" si="42"/>
        <v>4980</v>
      </c>
      <c r="P901">
        <f t="shared" si="43"/>
        <v>3600</v>
      </c>
      <c r="Q901">
        <f t="shared" si="44"/>
        <v>1380</v>
      </c>
      <c r="R901" t="s">
        <v>43</v>
      </c>
      <c r="S901" t="s">
        <v>49</v>
      </c>
    </row>
    <row r="902" spans="1:19" ht="18" x14ac:dyDescent="0.5">
      <c r="A902" t="s">
        <v>972</v>
      </c>
      <c r="B902" t="s">
        <v>1971</v>
      </c>
      <c r="C902" s="6">
        <v>45546</v>
      </c>
      <c r="D902" t="s">
        <v>2097</v>
      </c>
      <c r="E902" t="s">
        <v>2074</v>
      </c>
      <c r="F902" t="str">
        <f>_xlfn.XLOOKUP(E902,Table8[City],Table8[State])</f>
        <v>Maharashtra</v>
      </c>
      <c r="G902" t="str">
        <f>_xlfn.XLOOKUP(E902,Table8[City],Table8[Region])</f>
        <v>West</v>
      </c>
      <c r="H902" t="s">
        <v>24</v>
      </c>
      <c r="I902" t="str">
        <f>_xlfn.XLOOKUP(H902,Table6[Product],Table6[Category])</f>
        <v>Accessories</v>
      </c>
      <c r="J902" t="s">
        <v>63</v>
      </c>
      <c r="K902">
        <v>7</v>
      </c>
      <c r="L902">
        <f>_xlfn.XLOOKUP(H902,Table6[Product],Table6[Unit Price])</f>
        <v>1500</v>
      </c>
      <c r="M902">
        <f>_xlfn.XLOOKUP(H902,Table6[Product],Table6[Cost Price])</f>
        <v>900</v>
      </c>
      <c r="N902" s="7">
        <v>0.09</v>
      </c>
      <c r="O902">
        <f t="shared" si="42"/>
        <v>9555</v>
      </c>
      <c r="P902">
        <f t="shared" si="43"/>
        <v>6300</v>
      </c>
      <c r="Q902">
        <f t="shared" si="44"/>
        <v>3255</v>
      </c>
      <c r="R902" t="s">
        <v>46</v>
      </c>
      <c r="S902" t="s">
        <v>51</v>
      </c>
    </row>
    <row r="903" spans="1:19" ht="18" x14ac:dyDescent="0.5">
      <c r="A903" t="s">
        <v>973</v>
      </c>
      <c r="B903" t="s">
        <v>1972</v>
      </c>
      <c r="C903" s="6">
        <v>45382</v>
      </c>
      <c r="D903" t="s">
        <v>2098</v>
      </c>
      <c r="E903" t="s">
        <v>2105</v>
      </c>
      <c r="F903" t="str">
        <f>_xlfn.XLOOKUP(E903,Table8[City],Table8[State])</f>
        <v>Rajasthan</v>
      </c>
      <c r="G903" t="str">
        <f>_xlfn.XLOOKUP(E903,Table8[City],Table8[Region])</f>
        <v>North</v>
      </c>
      <c r="H903" t="s">
        <v>20</v>
      </c>
      <c r="I903" t="str">
        <f>_xlfn.XLOOKUP(H903,Table6[Product],Table6[Category])</f>
        <v>Accessories</v>
      </c>
      <c r="J903" t="s">
        <v>55</v>
      </c>
      <c r="K903">
        <v>4</v>
      </c>
      <c r="L903">
        <f>_xlfn.XLOOKUP(H903,Table6[Product],Table6[Unit Price])</f>
        <v>3000</v>
      </c>
      <c r="M903">
        <f>_xlfn.XLOOKUP(H903,Table6[Product],Table6[Cost Price])</f>
        <v>1800</v>
      </c>
      <c r="N903" s="7">
        <v>0.01</v>
      </c>
      <c r="O903">
        <f t="shared" si="42"/>
        <v>11880</v>
      </c>
      <c r="P903">
        <f t="shared" si="43"/>
        <v>7200</v>
      </c>
      <c r="Q903">
        <f t="shared" si="44"/>
        <v>4680</v>
      </c>
      <c r="R903" t="s">
        <v>46</v>
      </c>
      <c r="S903" t="s">
        <v>49</v>
      </c>
    </row>
    <row r="904" spans="1:19" ht="18" x14ac:dyDescent="0.5">
      <c r="A904" t="s">
        <v>974</v>
      </c>
      <c r="B904" t="s">
        <v>1973</v>
      </c>
      <c r="C904" s="6">
        <v>46018</v>
      </c>
      <c r="D904" t="s">
        <v>2099</v>
      </c>
      <c r="E904" t="s">
        <v>2080</v>
      </c>
      <c r="F904" t="str">
        <f>_xlfn.XLOOKUP(E904,Table8[City],Table8[State])</f>
        <v>Gujarat</v>
      </c>
      <c r="G904" t="str">
        <f>_xlfn.XLOOKUP(E904,Table8[City],Table8[Region])</f>
        <v>West</v>
      </c>
      <c r="H904" t="s">
        <v>19</v>
      </c>
      <c r="I904" t="str">
        <f>_xlfn.XLOOKUP(H904,Table6[Product],Table6[Category])</f>
        <v>Electronics</v>
      </c>
      <c r="J904" t="s">
        <v>63</v>
      </c>
      <c r="K904">
        <v>8</v>
      </c>
      <c r="L904">
        <f>_xlfn.XLOOKUP(H904,Table6[Product],Table6[Unit Price])</f>
        <v>25000</v>
      </c>
      <c r="M904">
        <f>_xlfn.XLOOKUP(H904,Table6[Product],Table6[Cost Price])</f>
        <v>20000</v>
      </c>
      <c r="N904" s="7">
        <v>0.09</v>
      </c>
      <c r="O904">
        <f t="shared" si="42"/>
        <v>182000</v>
      </c>
      <c r="P904">
        <f t="shared" si="43"/>
        <v>160000</v>
      </c>
      <c r="Q904">
        <f t="shared" si="44"/>
        <v>22000</v>
      </c>
      <c r="R904" t="s">
        <v>43</v>
      </c>
      <c r="S904" t="s">
        <v>52</v>
      </c>
    </row>
    <row r="905" spans="1:19" ht="18" x14ac:dyDescent="0.5">
      <c r="A905" t="s">
        <v>975</v>
      </c>
      <c r="B905" t="s">
        <v>1974</v>
      </c>
      <c r="C905" s="6">
        <v>45905</v>
      </c>
      <c r="D905" t="s">
        <v>2099</v>
      </c>
      <c r="E905" t="s">
        <v>2104</v>
      </c>
      <c r="F905" t="str">
        <f>_xlfn.XLOOKUP(E905,Table8[City],Table8[State])</f>
        <v>Delhi</v>
      </c>
      <c r="G905" t="str">
        <f>_xlfn.XLOOKUP(E905,Table8[City],Table8[Region])</f>
        <v>North</v>
      </c>
      <c r="H905" t="s">
        <v>28</v>
      </c>
      <c r="I905" t="str">
        <f>_xlfn.XLOOKUP(H905,Table6[Product],Table6[Category])</f>
        <v>Office</v>
      </c>
      <c r="J905" t="s">
        <v>55</v>
      </c>
      <c r="K905">
        <v>6</v>
      </c>
      <c r="L905">
        <f>_xlfn.XLOOKUP(H905,Table6[Product],Table6[Unit Price])</f>
        <v>18000</v>
      </c>
      <c r="M905">
        <f>_xlfn.XLOOKUP(H905,Table6[Product],Table6[Cost Price])</f>
        <v>14000</v>
      </c>
      <c r="N905" s="7">
        <v>0.23</v>
      </c>
      <c r="O905">
        <f t="shared" si="42"/>
        <v>83160</v>
      </c>
      <c r="P905">
        <f t="shared" si="43"/>
        <v>84000</v>
      </c>
      <c r="Q905">
        <f t="shared" si="44"/>
        <v>-840</v>
      </c>
      <c r="R905" t="s">
        <v>47</v>
      </c>
      <c r="S905" t="s">
        <v>50</v>
      </c>
    </row>
    <row r="906" spans="1:19" ht="18" x14ac:dyDescent="0.5">
      <c r="A906" t="s">
        <v>976</v>
      </c>
      <c r="B906" t="s">
        <v>1975</v>
      </c>
      <c r="C906" s="6">
        <v>45302</v>
      </c>
      <c r="D906" t="s">
        <v>63</v>
      </c>
      <c r="E906" t="s">
        <v>2106</v>
      </c>
      <c r="F906" t="str">
        <f>_xlfn.XLOOKUP(E906,Table8[City],Table8[State])</f>
        <v>West Bengal</v>
      </c>
      <c r="G906" t="str">
        <f>_xlfn.XLOOKUP(E906,Table8[City],Table8[Region])</f>
        <v>East</v>
      </c>
      <c r="H906" t="s">
        <v>25</v>
      </c>
      <c r="I906" t="str">
        <f>_xlfn.XLOOKUP(H906,Table6[Product],Table6[Category])</f>
        <v>Accessories</v>
      </c>
      <c r="J906" t="s">
        <v>54</v>
      </c>
      <c r="K906">
        <v>8</v>
      </c>
      <c r="L906">
        <f>_xlfn.XLOOKUP(H906,Table6[Product],Table6[Unit Price])</f>
        <v>800</v>
      </c>
      <c r="M906">
        <f>_xlfn.XLOOKUP(H906,Table6[Product],Table6[Cost Price])</f>
        <v>450</v>
      </c>
      <c r="N906" s="7">
        <v>0.01</v>
      </c>
      <c r="O906">
        <f t="shared" si="42"/>
        <v>6336</v>
      </c>
      <c r="P906">
        <f t="shared" si="43"/>
        <v>3600</v>
      </c>
      <c r="Q906">
        <f t="shared" si="44"/>
        <v>2736</v>
      </c>
      <c r="R906" t="s">
        <v>44</v>
      </c>
      <c r="S906" t="s">
        <v>52</v>
      </c>
    </row>
    <row r="907" spans="1:19" ht="18" x14ac:dyDescent="0.5">
      <c r="A907" t="s">
        <v>977</v>
      </c>
      <c r="B907" t="s">
        <v>1976</v>
      </c>
      <c r="C907" s="6">
        <v>45527</v>
      </c>
      <c r="D907" t="s">
        <v>2084</v>
      </c>
      <c r="E907" t="s">
        <v>2106</v>
      </c>
      <c r="F907" t="str">
        <f>_xlfn.XLOOKUP(E907,Table8[City],Table8[State])</f>
        <v>West Bengal</v>
      </c>
      <c r="G907" t="str">
        <f>_xlfn.XLOOKUP(E907,Table8[City],Table8[Region])</f>
        <v>East</v>
      </c>
      <c r="H907" t="s">
        <v>24</v>
      </c>
      <c r="I907" t="str">
        <f>_xlfn.XLOOKUP(H907,Table6[Product],Table6[Category])</f>
        <v>Accessories</v>
      </c>
      <c r="J907" t="s">
        <v>57</v>
      </c>
      <c r="K907">
        <v>10</v>
      </c>
      <c r="L907">
        <f>_xlfn.XLOOKUP(H907,Table6[Product],Table6[Unit Price])</f>
        <v>1500</v>
      </c>
      <c r="M907">
        <f>_xlfn.XLOOKUP(H907,Table6[Product],Table6[Cost Price])</f>
        <v>900</v>
      </c>
      <c r="N907" s="7">
        <v>0.06</v>
      </c>
      <c r="O907">
        <f t="shared" si="42"/>
        <v>14100</v>
      </c>
      <c r="P907">
        <f t="shared" si="43"/>
        <v>9000</v>
      </c>
      <c r="Q907">
        <f t="shared" si="44"/>
        <v>5100</v>
      </c>
      <c r="R907" t="s">
        <v>43</v>
      </c>
      <c r="S907" t="s">
        <v>52</v>
      </c>
    </row>
    <row r="908" spans="1:19" ht="18" x14ac:dyDescent="0.5">
      <c r="A908" t="s">
        <v>978</v>
      </c>
      <c r="B908" t="s">
        <v>1977</v>
      </c>
      <c r="C908" s="6">
        <v>45795</v>
      </c>
      <c r="D908" t="s">
        <v>59</v>
      </c>
      <c r="E908" t="s">
        <v>2080</v>
      </c>
      <c r="F908" t="str">
        <f>_xlfn.XLOOKUP(E908,Table8[City],Table8[State])</f>
        <v>Gujarat</v>
      </c>
      <c r="G908" t="str">
        <f>_xlfn.XLOOKUP(E908,Table8[City],Table8[Region])</f>
        <v>West</v>
      </c>
      <c r="H908" t="s">
        <v>24</v>
      </c>
      <c r="I908" t="str">
        <f>_xlfn.XLOOKUP(H908,Table6[Product],Table6[Category])</f>
        <v>Accessories</v>
      </c>
      <c r="J908" t="s">
        <v>59</v>
      </c>
      <c r="K908">
        <v>3</v>
      </c>
      <c r="L908">
        <f>_xlfn.XLOOKUP(H908,Table6[Product],Table6[Unit Price])</f>
        <v>1500</v>
      </c>
      <c r="M908">
        <f>_xlfn.XLOOKUP(H908,Table6[Product],Table6[Cost Price])</f>
        <v>900</v>
      </c>
      <c r="N908" s="7">
        <v>0.14000000000000001</v>
      </c>
      <c r="O908">
        <f t="shared" si="42"/>
        <v>3870</v>
      </c>
      <c r="P908">
        <f t="shared" si="43"/>
        <v>2700</v>
      </c>
      <c r="Q908">
        <f t="shared" si="44"/>
        <v>1170</v>
      </c>
      <c r="R908" t="s">
        <v>44</v>
      </c>
      <c r="S908" t="s">
        <v>49</v>
      </c>
    </row>
    <row r="909" spans="1:19" ht="18" x14ac:dyDescent="0.5">
      <c r="A909" t="s">
        <v>979</v>
      </c>
      <c r="B909" t="s">
        <v>1978</v>
      </c>
      <c r="C909" s="6">
        <v>45317</v>
      </c>
      <c r="D909" t="s">
        <v>69</v>
      </c>
      <c r="E909" t="s">
        <v>2073</v>
      </c>
      <c r="F909" t="str">
        <f>_xlfn.XLOOKUP(E909,Table8[City],Table8[State])</f>
        <v>Maharashtra</v>
      </c>
      <c r="G909" t="str">
        <f>_xlfn.XLOOKUP(E909,Table8[City],Table8[Region])</f>
        <v>West</v>
      </c>
      <c r="H909" t="s">
        <v>22</v>
      </c>
      <c r="I909" t="str">
        <f>_xlfn.XLOOKUP(H909,Table6[Product],Table6[Category])</f>
        <v>Wearables</v>
      </c>
      <c r="J909" t="s">
        <v>54</v>
      </c>
      <c r="K909">
        <v>7</v>
      </c>
      <c r="L909">
        <f>_xlfn.XLOOKUP(H909,Table6[Product],Table6[Unit Price])</f>
        <v>12000</v>
      </c>
      <c r="M909">
        <f>_xlfn.XLOOKUP(H909,Table6[Product],Table6[Cost Price])</f>
        <v>8500</v>
      </c>
      <c r="N909" s="7">
        <v>0.03</v>
      </c>
      <c r="O909">
        <f t="shared" si="42"/>
        <v>81480</v>
      </c>
      <c r="P909">
        <f t="shared" si="43"/>
        <v>59500</v>
      </c>
      <c r="Q909">
        <f t="shared" si="44"/>
        <v>21980</v>
      </c>
      <c r="R909" t="s">
        <v>46</v>
      </c>
      <c r="S909" t="s">
        <v>52</v>
      </c>
    </row>
    <row r="910" spans="1:19" ht="18" x14ac:dyDescent="0.5">
      <c r="A910" t="s">
        <v>980</v>
      </c>
      <c r="B910" t="s">
        <v>1979</v>
      </c>
      <c r="C910" s="6">
        <v>45494</v>
      </c>
      <c r="D910" t="s">
        <v>2086</v>
      </c>
      <c r="E910" t="s">
        <v>2079</v>
      </c>
      <c r="F910" t="str">
        <f>_xlfn.XLOOKUP(E910,Table8[City],Table8[State])</f>
        <v>Gujarat</v>
      </c>
      <c r="G910" t="str">
        <f>_xlfn.XLOOKUP(E910,Table8[City],Table8[Region])</f>
        <v>West</v>
      </c>
      <c r="H910" t="s">
        <v>24</v>
      </c>
      <c r="I910" t="str">
        <f>_xlfn.XLOOKUP(H910,Table6[Product],Table6[Category])</f>
        <v>Accessories</v>
      </c>
      <c r="J910" t="s">
        <v>54</v>
      </c>
      <c r="K910">
        <v>7</v>
      </c>
      <c r="L910">
        <f>_xlfn.XLOOKUP(H910,Table6[Product],Table6[Unit Price])</f>
        <v>1500</v>
      </c>
      <c r="M910">
        <f>_xlfn.XLOOKUP(H910,Table6[Product],Table6[Cost Price])</f>
        <v>900</v>
      </c>
      <c r="N910" s="7">
        <v>0.05</v>
      </c>
      <c r="O910">
        <f t="shared" si="42"/>
        <v>9975</v>
      </c>
      <c r="P910">
        <f t="shared" si="43"/>
        <v>6300</v>
      </c>
      <c r="Q910">
        <f t="shared" si="44"/>
        <v>3675</v>
      </c>
      <c r="R910" t="s">
        <v>44</v>
      </c>
      <c r="S910" t="s">
        <v>49</v>
      </c>
    </row>
    <row r="911" spans="1:19" ht="18" x14ac:dyDescent="0.5">
      <c r="A911" t="s">
        <v>981</v>
      </c>
      <c r="B911" t="s">
        <v>1980</v>
      </c>
      <c r="C911" s="6">
        <v>45633</v>
      </c>
      <c r="D911" t="s">
        <v>2099</v>
      </c>
      <c r="E911" t="s">
        <v>2075</v>
      </c>
      <c r="F911" t="str">
        <f>_xlfn.XLOOKUP(E911,Table8[City],Table8[State])</f>
        <v>Tamil Nadu</v>
      </c>
      <c r="G911" t="str">
        <f>_xlfn.XLOOKUP(E911,Table8[City],Table8[Region])</f>
        <v>South</v>
      </c>
      <c r="H911" t="s">
        <v>25</v>
      </c>
      <c r="I911" t="str">
        <f>_xlfn.XLOOKUP(H911,Table6[Product],Table6[Category])</f>
        <v>Accessories</v>
      </c>
      <c r="J911" t="s">
        <v>63</v>
      </c>
      <c r="K911">
        <v>9</v>
      </c>
      <c r="L911">
        <f>_xlfn.XLOOKUP(H911,Table6[Product],Table6[Unit Price])</f>
        <v>800</v>
      </c>
      <c r="M911">
        <f>_xlfn.XLOOKUP(H911,Table6[Product],Table6[Cost Price])</f>
        <v>450</v>
      </c>
      <c r="N911" s="7">
        <v>0.15</v>
      </c>
      <c r="O911">
        <f t="shared" si="42"/>
        <v>6120</v>
      </c>
      <c r="P911">
        <f t="shared" si="43"/>
        <v>4050</v>
      </c>
      <c r="Q911">
        <f t="shared" si="44"/>
        <v>2070</v>
      </c>
      <c r="R911" t="s">
        <v>44</v>
      </c>
      <c r="S911" t="s">
        <v>52</v>
      </c>
    </row>
    <row r="912" spans="1:19" ht="18" x14ac:dyDescent="0.5">
      <c r="A912" t="s">
        <v>982</v>
      </c>
      <c r="B912" t="s">
        <v>1981</v>
      </c>
      <c r="C912" s="6">
        <v>45643</v>
      </c>
      <c r="D912" t="s">
        <v>2087</v>
      </c>
      <c r="E912" t="s">
        <v>2105</v>
      </c>
      <c r="F912" t="str">
        <f>_xlfn.XLOOKUP(E912,Table8[City],Table8[State])</f>
        <v>Rajasthan</v>
      </c>
      <c r="G912" t="str">
        <f>_xlfn.XLOOKUP(E912,Table8[City],Table8[Region])</f>
        <v>North</v>
      </c>
      <c r="H912" t="s">
        <v>25</v>
      </c>
      <c r="I912" t="str">
        <f>_xlfn.XLOOKUP(H912,Table6[Product],Table6[Category])</f>
        <v>Accessories</v>
      </c>
      <c r="J912" t="s">
        <v>63</v>
      </c>
      <c r="K912">
        <v>4</v>
      </c>
      <c r="L912">
        <f>_xlfn.XLOOKUP(H912,Table6[Product],Table6[Unit Price])</f>
        <v>800</v>
      </c>
      <c r="M912">
        <f>_xlfn.XLOOKUP(H912,Table6[Product],Table6[Cost Price])</f>
        <v>450</v>
      </c>
      <c r="N912" s="7">
        <v>0.16</v>
      </c>
      <c r="O912">
        <f t="shared" si="42"/>
        <v>2688</v>
      </c>
      <c r="P912">
        <f t="shared" si="43"/>
        <v>1800</v>
      </c>
      <c r="Q912">
        <f t="shared" si="44"/>
        <v>888</v>
      </c>
      <c r="R912" t="s">
        <v>46</v>
      </c>
      <c r="S912" t="s">
        <v>52</v>
      </c>
    </row>
    <row r="913" spans="1:19" ht="18" x14ac:dyDescent="0.5">
      <c r="A913" t="s">
        <v>983</v>
      </c>
      <c r="B913" t="s">
        <v>1982</v>
      </c>
      <c r="C913" s="6">
        <v>45725</v>
      </c>
      <c r="D913" t="s">
        <v>2096</v>
      </c>
      <c r="E913" t="s">
        <v>2073</v>
      </c>
      <c r="F913" t="str">
        <f>_xlfn.XLOOKUP(E913,Table8[City],Table8[State])</f>
        <v>Maharashtra</v>
      </c>
      <c r="G913" t="str">
        <f>_xlfn.XLOOKUP(E913,Table8[City],Table8[Region])</f>
        <v>West</v>
      </c>
      <c r="H913" t="s">
        <v>20</v>
      </c>
      <c r="I913" t="str">
        <f>_xlfn.XLOOKUP(H913,Table6[Product],Table6[Category])</f>
        <v>Accessories</v>
      </c>
      <c r="J913" t="s">
        <v>62</v>
      </c>
      <c r="K913">
        <v>2</v>
      </c>
      <c r="L913">
        <f>_xlfn.XLOOKUP(H913,Table6[Product],Table6[Unit Price])</f>
        <v>3000</v>
      </c>
      <c r="M913">
        <f>_xlfn.XLOOKUP(H913,Table6[Product],Table6[Cost Price])</f>
        <v>1800</v>
      </c>
      <c r="N913" s="7">
        <v>0.24</v>
      </c>
      <c r="O913">
        <f t="shared" si="42"/>
        <v>4560</v>
      </c>
      <c r="P913">
        <f t="shared" si="43"/>
        <v>3600</v>
      </c>
      <c r="Q913">
        <f t="shared" si="44"/>
        <v>960</v>
      </c>
      <c r="R913" t="s">
        <v>43</v>
      </c>
      <c r="S913" t="s">
        <v>51</v>
      </c>
    </row>
    <row r="914" spans="1:19" ht="18" x14ac:dyDescent="0.5">
      <c r="A914" t="s">
        <v>984</v>
      </c>
      <c r="B914" t="s">
        <v>1983</v>
      </c>
      <c r="C914" s="6">
        <v>45863</v>
      </c>
      <c r="D914" t="s">
        <v>2084</v>
      </c>
      <c r="E914" t="s">
        <v>2074</v>
      </c>
      <c r="F914" t="str">
        <f>_xlfn.XLOOKUP(E914,Table8[City],Table8[State])</f>
        <v>Maharashtra</v>
      </c>
      <c r="G914" t="str">
        <f>_xlfn.XLOOKUP(E914,Table8[City],Table8[Region])</f>
        <v>West</v>
      </c>
      <c r="H914" t="s">
        <v>29</v>
      </c>
      <c r="I914" t="str">
        <f>_xlfn.XLOOKUP(H914,Table6[Product],Table6[Category])</f>
        <v>Electronics</v>
      </c>
      <c r="J914" t="s">
        <v>60</v>
      </c>
      <c r="K914">
        <v>5</v>
      </c>
      <c r="L914">
        <f>_xlfn.XLOOKUP(H914,Table6[Product],Table6[Unit Price])</f>
        <v>5000</v>
      </c>
      <c r="M914">
        <f>_xlfn.XLOOKUP(H914,Table6[Product],Table6[Cost Price])</f>
        <v>3200</v>
      </c>
      <c r="N914" s="7">
        <v>0.03</v>
      </c>
      <c r="O914">
        <f t="shared" si="42"/>
        <v>24250</v>
      </c>
      <c r="P914">
        <f t="shared" si="43"/>
        <v>16000</v>
      </c>
      <c r="Q914">
        <f t="shared" si="44"/>
        <v>8250</v>
      </c>
      <c r="R914" t="s">
        <v>43</v>
      </c>
      <c r="S914" t="s">
        <v>50</v>
      </c>
    </row>
    <row r="915" spans="1:19" ht="18" x14ac:dyDescent="0.5">
      <c r="A915" t="s">
        <v>985</v>
      </c>
      <c r="B915" t="s">
        <v>1984</v>
      </c>
      <c r="C915" s="6">
        <v>45729</v>
      </c>
      <c r="D915" t="s">
        <v>2085</v>
      </c>
      <c r="E915" t="s">
        <v>2106</v>
      </c>
      <c r="F915" t="str">
        <f>_xlfn.XLOOKUP(E915,Table8[City],Table8[State])</f>
        <v>West Bengal</v>
      </c>
      <c r="G915" t="str">
        <f>_xlfn.XLOOKUP(E915,Table8[City],Table8[Region])</f>
        <v>East</v>
      </c>
      <c r="H915" t="s">
        <v>20</v>
      </c>
      <c r="I915" t="str">
        <f>_xlfn.XLOOKUP(H915,Table6[Product],Table6[Category])</f>
        <v>Accessories</v>
      </c>
      <c r="J915" t="s">
        <v>60</v>
      </c>
      <c r="K915">
        <v>9</v>
      </c>
      <c r="L915">
        <f>_xlfn.XLOOKUP(H915,Table6[Product],Table6[Unit Price])</f>
        <v>3000</v>
      </c>
      <c r="M915">
        <f>_xlfn.XLOOKUP(H915,Table6[Product],Table6[Cost Price])</f>
        <v>1800</v>
      </c>
      <c r="N915" s="7">
        <v>0.24</v>
      </c>
      <c r="O915">
        <f t="shared" si="42"/>
        <v>20520</v>
      </c>
      <c r="P915">
        <f t="shared" si="43"/>
        <v>16200</v>
      </c>
      <c r="Q915">
        <f t="shared" si="44"/>
        <v>4320</v>
      </c>
      <c r="R915" t="s">
        <v>44</v>
      </c>
      <c r="S915" t="s">
        <v>51</v>
      </c>
    </row>
    <row r="916" spans="1:19" ht="18" x14ac:dyDescent="0.5">
      <c r="A916" t="s">
        <v>986</v>
      </c>
      <c r="B916" t="s">
        <v>1985</v>
      </c>
      <c r="C916" s="6">
        <v>45940</v>
      </c>
      <c r="D916" t="s">
        <v>2093</v>
      </c>
      <c r="E916" t="s">
        <v>2074</v>
      </c>
      <c r="F916" t="str">
        <f>_xlfn.XLOOKUP(E916,Table8[City],Table8[State])</f>
        <v>Maharashtra</v>
      </c>
      <c r="G916" t="str">
        <f>_xlfn.XLOOKUP(E916,Table8[City],Table8[Region])</f>
        <v>West</v>
      </c>
      <c r="H916" t="s">
        <v>29</v>
      </c>
      <c r="I916" t="str">
        <f>_xlfn.XLOOKUP(H916,Table6[Product],Table6[Category])</f>
        <v>Electronics</v>
      </c>
      <c r="J916" t="s">
        <v>55</v>
      </c>
      <c r="K916">
        <v>10</v>
      </c>
      <c r="L916">
        <f>_xlfn.XLOOKUP(H916,Table6[Product],Table6[Unit Price])</f>
        <v>5000</v>
      </c>
      <c r="M916">
        <f>_xlfn.XLOOKUP(H916,Table6[Product],Table6[Cost Price])</f>
        <v>3200</v>
      </c>
      <c r="N916" s="7">
        <v>0.02</v>
      </c>
      <c r="O916">
        <f t="shared" si="42"/>
        <v>49000</v>
      </c>
      <c r="P916">
        <f t="shared" si="43"/>
        <v>32000</v>
      </c>
      <c r="Q916">
        <f t="shared" si="44"/>
        <v>17000</v>
      </c>
      <c r="R916" t="s">
        <v>45</v>
      </c>
      <c r="S916" t="s">
        <v>50</v>
      </c>
    </row>
    <row r="917" spans="1:19" ht="18" x14ac:dyDescent="0.5">
      <c r="A917" t="s">
        <v>987</v>
      </c>
      <c r="B917" t="s">
        <v>1986</v>
      </c>
      <c r="C917" s="6">
        <v>45413</v>
      </c>
      <c r="D917" t="s">
        <v>2083</v>
      </c>
      <c r="E917" t="s">
        <v>2106</v>
      </c>
      <c r="F917" t="str">
        <f>_xlfn.XLOOKUP(E917,Table8[City],Table8[State])</f>
        <v>West Bengal</v>
      </c>
      <c r="G917" t="str">
        <f>_xlfn.XLOOKUP(E917,Table8[City],Table8[Region])</f>
        <v>East</v>
      </c>
      <c r="H917" t="s">
        <v>16</v>
      </c>
      <c r="I917" t="str">
        <f>_xlfn.XLOOKUP(H917,Table6[Product],Table6[Category])</f>
        <v>Electronics</v>
      </c>
      <c r="J917" t="s">
        <v>55</v>
      </c>
      <c r="K917">
        <v>2</v>
      </c>
      <c r="L917">
        <f>_xlfn.XLOOKUP(H917,Table6[Product],Table6[Unit Price])</f>
        <v>65000</v>
      </c>
      <c r="M917">
        <f>_xlfn.XLOOKUP(H917,Table6[Product],Table6[Cost Price])</f>
        <v>52000</v>
      </c>
      <c r="N917" s="7">
        <v>0.16</v>
      </c>
      <c r="O917">
        <f t="shared" si="42"/>
        <v>109200</v>
      </c>
      <c r="P917">
        <f t="shared" si="43"/>
        <v>104000</v>
      </c>
      <c r="Q917">
        <f t="shared" si="44"/>
        <v>5200</v>
      </c>
      <c r="R917" t="s">
        <v>43</v>
      </c>
      <c r="S917" t="s">
        <v>49</v>
      </c>
    </row>
    <row r="918" spans="1:19" ht="18" x14ac:dyDescent="0.5">
      <c r="A918" t="s">
        <v>988</v>
      </c>
      <c r="B918" t="s">
        <v>1987</v>
      </c>
      <c r="C918" s="6">
        <v>45989</v>
      </c>
      <c r="D918" t="s">
        <v>2094</v>
      </c>
      <c r="E918" t="s">
        <v>2077</v>
      </c>
      <c r="F918" t="str">
        <f>_xlfn.XLOOKUP(E918,Table8[City],Table8[State])</f>
        <v>Telangana</v>
      </c>
      <c r="G918" t="str">
        <f>_xlfn.XLOOKUP(E918,Table8[City],Table8[Region])</f>
        <v>South</v>
      </c>
      <c r="H918" t="s">
        <v>20</v>
      </c>
      <c r="I918" t="str">
        <f>_xlfn.XLOOKUP(H918,Table6[Product],Table6[Category])</f>
        <v>Accessories</v>
      </c>
      <c r="J918" t="s">
        <v>55</v>
      </c>
      <c r="K918">
        <v>5</v>
      </c>
      <c r="L918">
        <f>_xlfn.XLOOKUP(H918,Table6[Product],Table6[Unit Price])</f>
        <v>3000</v>
      </c>
      <c r="M918">
        <f>_xlfn.XLOOKUP(H918,Table6[Product],Table6[Cost Price])</f>
        <v>1800</v>
      </c>
      <c r="N918" s="7">
        <v>0.19</v>
      </c>
      <c r="O918">
        <f t="shared" si="42"/>
        <v>12150</v>
      </c>
      <c r="P918">
        <f t="shared" si="43"/>
        <v>9000</v>
      </c>
      <c r="Q918">
        <f t="shared" si="44"/>
        <v>3150</v>
      </c>
      <c r="R918" t="s">
        <v>46</v>
      </c>
      <c r="S918" t="s">
        <v>52</v>
      </c>
    </row>
    <row r="919" spans="1:19" ht="18" x14ac:dyDescent="0.5">
      <c r="A919" t="s">
        <v>989</v>
      </c>
      <c r="B919" t="s">
        <v>1988</v>
      </c>
      <c r="C919" s="6">
        <v>45581</v>
      </c>
      <c r="D919" t="s">
        <v>2085</v>
      </c>
      <c r="E919" t="s">
        <v>2105</v>
      </c>
      <c r="F919" t="str">
        <f>_xlfn.XLOOKUP(E919,Table8[City],Table8[State])</f>
        <v>Rajasthan</v>
      </c>
      <c r="G919" t="str">
        <f>_xlfn.XLOOKUP(E919,Table8[City],Table8[Region])</f>
        <v>North</v>
      </c>
      <c r="H919" t="s">
        <v>28</v>
      </c>
      <c r="I919" t="str">
        <f>_xlfn.XLOOKUP(H919,Table6[Product],Table6[Category])</f>
        <v>Office</v>
      </c>
      <c r="J919" t="s">
        <v>63</v>
      </c>
      <c r="K919">
        <v>5</v>
      </c>
      <c r="L919">
        <f>_xlfn.XLOOKUP(H919,Table6[Product],Table6[Unit Price])</f>
        <v>18000</v>
      </c>
      <c r="M919">
        <f>_xlfn.XLOOKUP(H919,Table6[Product],Table6[Cost Price])</f>
        <v>14000</v>
      </c>
      <c r="N919" s="7">
        <v>0.13</v>
      </c>
      <c r="O919">
        <f t="shared" si="42"/>
        <v>78300</v>
      </c>
      <c r="P919">
        <f t="shared" si="43"/>
        <v>70000</v>
      </c>
      <c r="Q919">
        <f t="shared" si="44"/>
        <v>8300</v>
      </c>
      <c r="R919" t="s">
        <v>43</v>
      </c>
      <c r="S919" t="s">
        <v>51</v>
      </c>
    </row>
    <row r="920" spans="1:19" ht="18" x14ac:dyDescent="0.5">
      <c r="A920" t="s">
        <v>990</v>
      </c>
      <c r="B920" t="s">
        <v>1989</v>
      </c>
      <c r="C920" s="6">
        <v>45586</v>
      </c>
      <c r="D920" t="s">
        <v>2087</v>
      </c>
      <c r="E920" t="s">
        <v>2074</v>
      </c>
      <c r="F920" t="str">
        <f>_xlfn.XLOOKUP(E920,Table8[City],Table8[State])</f>
        <v>Maharashtra</v>
      </c>
      <c r="G920" t="str">
        <f>_xlfn.XLOOKUP(E920,Table8[City],Table8[Region])</f>
        <v>West</v>
      </c>
      <c r="H920" t="s">
        <v>28</v>
      </c>
      <c r="I920" t="str">
        <f>_xlfn.XLOOKUP(H920,Table6[Product],Table6[Category])</f>
        <v>Office</v>
      </c>
      <c r="J920" t="s">
        <v>55</v>
      </c>
      <c r="K920">
        <v>8</v>
      </c>
      <c r="L920">
        <f>_xlfn.XLOOKUP(H920,Table6[Product],Table6[Unit Price])</f>
        <v>18000</v>
      </c>
      <c r="M920">
        <f>_xlfn.XLOOKUP(H920,Table6[Product],Table6[Cost Price])</f>
        <v>14000</v>
      </c>
      <c r="N920" s="7">
        <v>0.3</v>
      </c>
      <c r="O920">
        <f t="shared" si="42"/>
        <v>100800</v>
      </c>
      <c r="P920">
        <f t="shared" si="43"/>
        <v>112000</v>
      </c>
      <c r="Q920">
        <f t="shared" si="44"/>
        <v>-11200</v>
      </c>
      <c r="R920" t="s">
        <v>47</v>
      </c>
      <c r="S920" t="s">
        <v>49</v>
      </c>
    </row>
    <row r="921" spans="1:19" ht="18" x14ac:dyDescent="0.5">
      <c r="A921" t="s">
        <v>991</v>
      </c>
      <c r="B921" t="s">
        <v>1990</v>
      </c>
      <c r="C921" s="6">
        <v>45450</v>
      </c>
      <c r="D921" t="s">
        <v>2088</v>
      </c>
      <c r="E921" t="s">
        <v>2079</v>
      </c>
      <c r="F921" t="str">
        <f>_xlfn.XLOOKUP(E921,Table8[City],Table8[State])</f>
        <v>Gujarat</v>
      </c>
      <c r="G921" t="str">
        <f>_xlfn.XLOOKUP(E921,Table8[City],Table8[Region])</f>
        <v>West</v>
      </c>
      <c r="H921" t="s">
        <v>29</v>
      </c>
      <c r="I921" t="str">
        <f>_xlfn.XLOOKUP(H921,Table6[Product],Table6[Category])</f>
        <v>Electronics</v>
      </c>
      <c r="J921" t="s">
        <v>60</v>
      </c>
      <c r="K921">
        <v>3</v>
      </c>
      <c r="L921">
        <f>_xlfn.XLOOKUP(H921,Table6[Product],Table6[Unit Price])</f>
        <v>5000</v>
      </c>
      <c r="M921">
        <f>_xlfn.XLOOKUP(H921,Table6[Product],Table6[Cost Price])</f>
        <v>3200</v>
      </c>
      <c r="N921" s="7">
        <v>0.12</v>
      </c>
      <c r="O921">
        <f t="shared" si="42"/>
        <v>13200</v>
      </c>
      <c r="P921">
        <f t="shared" si="43"/>
        <v>9600</v>
      </c>
      <c r="Q921">
        <f t="shared" si="44"/>
        <v>3600</v>
      </c>
      <c r="R921" t="s">
        <v>45</v>
      </c>
      <c r="S921" t="s">
        <v>52</v>
      </c>
    </row>
    <row r="922" spans="1:19" ht="18" x14ac:dyDescent="0.5">
      <c r="A922" t="s">
        <v>992</v>
      </c>
      <c r="B922" t="s">
        <v>1991</v>
      </c>
      <c r="C922" s="6">
        <v>45778</v>
      </c>
      <c r="D922" t="s">
        <v>2086</v>
      </c>
      <c r="E922" t="s">
        <v>2106</v>
      </c>
      <c r="F922" t="str">
        <f>_xlfn.XLOOKUP(E922,Table8[City],Table8[State])</f>
        <v>West Bengal</v>
      </c>
      <c r="G922" t="str">
        <f>_xlfn.XLOOKUP(E922,Table8[City],Table8[Region])</f>
        <v>East</v>
      </c>
      <c r="H922" t="s">
        <v>20</v>
      </c>
      <c r="I922" t="str">
        <f>_xlfn.XLOOKUP(H922,Table6[Product],Table6[Category])</f>
        <v>Accessories</v>
      </c>
      <c r="J922" t="s">
        <v>59</v>
      </c>
      <c r="K922">
        <v>3</v>
      </c>
      <c r="L922">
        <f>_xlfn.XLOOKUP(H922,Table6[Product],Table6[Unit Price])</f>
        <v>3000</v>
      </c>
      <c r="M922">
        <f>_xlfn.XLOOKUP(H922,Table6[Product],Table6[Cost Price])</f>
        <v>1800</v>
      </c>
      <c r="N922" s="7">
        <v>0.28999999999999998</v>
      </c>
      <c r="O922">
        <f t="shared" si="42"/>
        <v>6390</v>
      </c>
      <c r="P922">
        <f t="shared" si="43"/>
        <v>5400</v>
      </c>
      <c r="Q922">
        <f t="shared" si="44"/>
        <v>990</v>
      </c>
      <c r="R922" t="s">
        <v>43</v>
      </c>
      <c r="S922" t="s">
        <v>52</v>
      </c>
    </row>
    <row r="923" spans="1:19" ht="18" x14ac:dyDescent="0.5">
      <c r="A923" t="s">
        <v>993</v>
      </c>
      <c r="B923" t="s">
        <v>1992</v>
      </c>
      <c r="C923" s="6">
        <v>45921</v>
      </c>
      <c r="D923" t="s">
        <v>2099</v>
      </c>
      <c r="E923" t="s">
        <v>2072</v>
      </c>
      <c r="F923" t="str">
        <f>_xlfn.XLOOKUP(E923,Table8[City],Table8[State])</f>
        <v>Karnataka</v>
      </c>
      <c r="G923" t="str">
        <f>_xlfn.XLOOKUP(E923,Table8[City],Table8[Region])</f>
        <v>South</v>
      </c>
      <c r="H923" t="s">
        <v>20</v>
      </c>
      <c r="I923" t="str">
        <f>_xlfn.XLOOKUP(H923,Table6[Product],Table6[Category])</f>
        <v>Accessories</v>
      </c>
      <c r="J923" t="s">
        <v>58</v>
      </c>
      <c r="K923">
        <v>3</v>
      </c>
      <c r="L923">
        <f>_xlfn.XLOOKUP(H923,Table6[Product],Table6[Unit Price])</f>
        <v>3000</v>
      </c>
      <c r="M923">
        <f>_xlfn.XLOOKUP(H923,Table6[Product],Table6[Cost Price])</f>
        <v>1800</v>
      </c>
      <c r="N923" s="7">
        <v>0.13</v>
      </c>
      <c r="O923">
        <f t="shared" si="42"/>
        <v>7830</v>
      </c>
      <c r="P923">
        <f t="shared" si="43"/>
        <v>5400</v>
      </c>
      <c r="Q923">
        <f t="shared" si="44"/>
        <v>2430</v>
      </c>
      <c r="R923" t="s">
        <v>46</v>
      </c>
      <c r="S923" t="s">
        <v>50</v>
      </c>
    </row>
    <row r="924" spans="1:19" ht="18" x14ac:dyDescent="0.5">
      <c r="A924" t="s">
        <v>994</v>
      </c>
      <c r="B924" t="s">
        <v>1993</v>
      </c>
      <c r="C924" s="6">
        <v>45525</v>
      </c>
      <c r="D924" t="s">
        <v>2090</v>
      </c>
      <c r="E924" t="s">
        <v>70</v>
      </c>
      <c r="F924" t="str">
        <f>_xlfn.XLOOKUP(E924,Table8[City],Table8[State])</f>
        <v>Karnataka</v>
      </c>
      <c r="G924" t="str">
        <f>_xlfn.XLOOKUP(E924,Table8[City],Table8[Region])</f>
        <v>South</v>
      </c>
      <c r="H924" t="s">
        <v>20</v>
      </c>
      <c r="I924" t="str">
        <f>_xlfn.XLOOKUP(H924,Table6[Product],Table6[Category])</f>
        <v>Accessories</v>
      </c>
      <c r="J924" t="s">
        <v>63</v>
      </c>
      <c r="K924">
        <v>5</v>
      </c>
      <c r="L924">
        <f>_xlfn.XLOOKUP(H924,Table6[Product],Table6[Unit Price])</f>
        <v>3000</v>
      </c>
      <c r="M924">
        <f>_xlfn.XLOOKUP(H924,Table6[Product],Table6[Cost Price])</f>
        <v>1800</v>
      </c>
      <c r="N924" s="7">
        <v>0.05</v>
      </c>
      <c r="O924">
        <f t="shared" si="42"/>
        <v>14250</v>
      </c>
      <c r="P924">
        <f t="shared" si="43"/>
        <v>9000</v>
      </c>
      <c r="Q924">
        <f t="shared" si="44"/>
        <v>5250</v>
      </c>
      <c r="R924" t="s">
        <v>46</v>
      </c>
      <c r="S924" t="s">
        <v>50</v>
      </c>
    </row>
    <row r="925" spans="1:19" ht="18" x14ac:dyDescent="0.5">
      <c r="A925" t="s">
        <v>995</v>
      </c>
      <c r="B925" t="s">
        <v>1994</v>
      </c>
      <c r="C925" s="6">
        <v>45495</v>
      </c>
      <c r="D925" t="s">
        <v>2089</v>
      </c>
      <c r="E925" t="s">
        <v>2073</v>
      </c>
      <c r="F925" t="str">
        <f>_xlfn.XLOOKUP(E925,Table8[City],Table8[State])</f>
        <v>Maharashtra</v>
      </c>
      <c r="G925" t="str">
        <f>_xlfn.XLOOKUP(E925,Table8[City],Table8[Region])</f>
        <v>West</v>
      </c>
      <c r="H925" t="s">
        <v>26</v>
      </c>
      <c r="I925" t="str">
        <f>_xlfn.XLOOKUP(H925,Table6[Product],Table6[Category])</f>
        <v>Office</v>
      </c>
      <c r="J925" t="s">
        <v>61</v>
      </c>
      <c r="K925">
        <v>9</v>
      </c>
      <c r="L925">
        <f>_xlfn.XLOOKUP(H925,Table6[Product],Table6[Unit Price])</f>
        <v>15000</v>
      </c>
      <c r="M925">
        <f>_xlfn.XLOOKUP(H925,Table6[Product],Table6[Cost Price])</f>
        <v>11500</v>
      </c>
      <c r="N925" s="7">
        <v>0.18</v>
      </c>
      <c r="O925">
        <f t="shared" si="42"/>
        <v>110700.00000000001</v>
      </c>
      <c r="P925">
        <f t="shared" si="43"/>
        <v>103500</v>
      </c>
      <c r="Q925">
        <f t="shared" si="44"/>
        <v>7200.0000000000146</v>
      </c>
      <c r="R925" t="s">
        <v>43</v>
      </c>
      <c r="S925" t="s">
        <v>51</v>
      </c>
    </row>
    <row r="926" spans="1:19" ht="18" x14ac:dyDescent="0.5">
      <c r="A926" t="s">
        <v>996</v>
      </c>
      <c r="B926" t="s">
        <v>1995</v>
      </c>
      <c r="C926" s="6">
        <v>45551</v>
      </c>
      <c r="D926" t="s">
        <v>2091</v>
      </c>
      <c r="E926" t="s">
        <v>2104</v>
      </c>
      <c r="F926" t="str">
        <f>_xlfn.XLOOKUP(E926,Table8[City],Table8[State])</f>
        <v>Delhi</v>
      </c>
      <c r="G926" t="str">
        <f>_xlfn.XLOOKUP(E926,Table8[City],Table8[Region])</f>
        <v>North</v>
      </c>
      <c r="H926" t="s">
        <v>20</v>
      </c>
      <c r="I926" t="str">
        <f>_xlfn.XLOOKUP(H926,Table6[Product],Table6[Category])</f>
        <v>Accessories</v>
      </c>
      <c r="J926" t="s">
        <v>61</v>
      </c>
      <c r="K926">
        <v>2</v>
      </c>
      <c r="L926">
        <f>_xlfn.XLOOKUP(H926,Table6[Product],Table6[Unit Price])</f>
        <v>3000</v>
      </c>
      <c r="M926">
        <f>_xlfn.XLOOKUP(H926,Table6[Product],Table6[Cost Price])</f>
        <v>1800</v>
      </c>
      <c r="N926" s="7">
        <v>7.0000000000000007E-2</v>
      </c>
      <c r="O926">
        <f t="shared" si="42"/>
        <v>5580</v>
      </c>
      <c r="P926">
        <f t="shared" si="43"/>
        <v>3600</v>
      </c>
      <c r="Q926">
        <f t="shared" si="44"/>
        <v>1980</v>
      </c>
      <c r="R926" t="s">
        <v>45</v>
      </c>
      <c r="S926" t="s">
        <v>49</v>
      </c>
    </row>
    <row r="927" spans="1:19" ht="18" x14ac:dyDescent="0.5">
      <c r="A927" t="s">
        <v>997</v>
      </c>
      <c r="B927" t="s">
        <v>1996</v>
      </c>
      <c r="C927" s="6">
        <v>45657</v>
      </c>
      <c r="D927" t="s">
        <v>2087</v>
      </c>
      <c r="E927" t="s">
        <v>2106</v>
      </c>
      <c r="F927" t="str">
        <f>_xlfn.XLOOKUP(E927,Table8[City],Table8[State])</f>
        <v>West Bengal</v>
      </c>
      <c r="G927" t="str">
        <f>_xlfn.XLOOKUP(E927,Table8[City],Table8[Region])</f>
        <v>East</v>
      </c>
      <c r="H927" t="s">
        <v>28</v>
      </c>
      <c r="I927" t="str">
        <f>_xlfn.XLOOKUP(H927,Table6[Product],Table6[Category])</f>
        <v>Office</v>
      </c>
      <c r="J927" t="s">
        <v>61</v>
      </c>
      <c r="K927">
        <v>7</v>
      </c>
      <c r="L927">
        <f>_xlfn.XLOOKUP(H927,Table6[Product],Table6[Unit Price])</f>
        <v>18000</v>
      </c>
      <c r="M927">
        <f>_xlfn.XLOOKUP(H927,Table6[Product],Table6[Cost Price])</f>
        <v>14000</v>
      </c>
      <c r="N927" s="7">
        <v>0.06</v>
      </c>
      <c r="O927">
        <f t="shared" si="42"/>
        <v>118440</v>
      </c>
      <c r="P927">
        <f t="shared" si="43"/>
        <v>98000</v>
      </c>
      <c r="Q927">
        <f t="shared" si="44"/>
        <v>20440</v>
      </c>
      <c r="R927" t="s">
        <v>44</v>
      </c>
      <c r="S927" t="s">
        <v>51</v>
      </c>
    </row>
    <row r="928" spans="1:19" ht="18" x14ac:dyDescent="0.5">
      <c r="A928" t="s">
        <v>998</v>
      </c>
      <c r="B928" t="s">
        <v>1997</v>
      </c>
      <c r="C928" s="6">
        <v>45385</v>
      </c>
      <c r="D928" t="s">
        <v>69</v>
      </c>
      <c r="E928" t="s">
        <v>2078</v>
      </c>
      <c r="F928" t="str">
        <f>_xlfn.XLOOKUP(E928,Table8[City],Table8[State])</f>
        <v>Telangana</v>
      </c>
      <c r="G928" t="str">
        <f>_xlfn.XLOOKUP(E928,Table8[City],Table8[Region])</f>
        <v>South</v>
      </c>
      <c r="H928" t="s">
        <v>20</v>
      </c>
      <c r="I928" t="str">
        <f>_xlfn.XLOOKUP(H928,Table6[Product],Table6[Category])</f>
        <v>Accessories</v>
      </c>
      <c r="J928" t="s">
        <v>59</v>
      </c>
      <c r="K928">
        <v>6</v>
      </c>
      <c r="L928">
        <f>_xlfn.XLOOKUP(H928,Table6[Product],Table6[Unit Price])</f>
        <v>3000</v>
      </c>
      <c r="M928">
        <f>_xlfn.XLOOKUP(H928,Table6[Product],Table6[Cost Price])</f>
        <v>1800</v>
      </c>
      <c r="N928" s="7">
        <v>0.1</v>
      </c>
      <c r="O928">
        <f t="shared" si="42"/>
        <v>16200</v>
      </c>
      <c r="P928">
        <f t="shared" si="43"/>
        <v>10800</v>
      </c>
      <c r="Q928">
        <f t="shared" si="44"/>
        <v>5400</v>
      </c>
      <c r="R928" t="s">
        <v>45</v>
      </c>
      <c r="S928" t="s">
        <v>49</v>
      </c>
    </row>
    <row r="929" spans="1:19" ht="18" x14ac:dyDescent="0.5">
      <c r="A929" t="s">
        <v>999</v>
      </c>
      <c r="B929" t="s">
        <v>1998</v>
      </c>
      <c r="C929" s="6">
        <v>45614</v>
      </c>
      <c r="D929" t="s">
        <v>2086</v>
      </c>
      <c r="E929" t="s">
        <v>2077</v>
      </c>
      <c r="F929" t="str">
        <f>_xlfn.XLOOKUP(E929,Table8[City],Table8[State])</f>
        <v>Telangana</v>
      </c>
      <c r="G929" t="str">
        <f>_xlfn.XLOOKUP(E929,Table8[City],Table8[Region])</f>
        <v>South</v>
      </c>
      <c r="H929" t="s">
        <v>29</v>
      </c>
      <c r="I929" t="str">
        <f>_xlfn.XLOOKUP(H929,Table6[Product],Table6[Category])</f>
        <v>Electronics</v>
      </c>
      <c r="J929" t="s">
        <v>59</v>
      </c>
      <c r="K929">
        <v>8</v>
      </c>
      <c r="L929">
        <f>_xlfn.XLOOKUP(H929,Table6[Product],Table6[Unit Price])</f>
        <v>5000</v>
      </c>
      <c r="M929">
        <f>_xlfn.XLOOKUP(H929,Table6[Product],Table6[Cost Price])</f>
        <v>3200</v>
      </c>
      <c r="N929" s="7">
        <v>0.19</v>
      </c>
      <c r="O929">
        <f t="shared" si="42"/>
        <v>32400.000000000004</v>
      </c>
      <c r="P929">
        <f t="shared" si="43"/>
        <v>25600</v>
      </c>
      <c r="Q929">
        <f t="shared" si="44"/>
        <v>6800.0000000000036</v>
      </c>
      <c r="R929" t="s">
        <v>44</v>
      </c>
      <c r="S929" t="s">
        <v>50</v>
      </c>
    </row>
    <row r="930" spans="1:19" ht="18" x14ac:dyDescent="0.5">
      <c r="A930" t="s">
        <v>1000</v>
      </c>
      <c r="B930" t="s">
        <v>1999</v>
      </c>
      <c r="C930" s="6">
        <v>45353</v>
      </c>
      <c r="D930" t="s">
        <v>2094</v>
      </c>
      <c r="E930" t="s">
        <v>2072</v>
      </c>
      <c r="F930" t="str">
        <f>_xlfn.XLOOKUP(E930,Table8[City],Table8[State])</f>
        <v>Karnataka</v>
      </c>
      <c r="G930" t="str">
        <f>_xlfn.XLOOKUP(E930,Table8[City],Table8[Region])</f>
        <v>South</v>
      </c>
      <c r="H930" t="s">
        <v>22</v>
      </c>
      <c r="I930" t="str">
        <f>_xlfn.XLOOKUP(H930,Table6[Product],Table6[Category])</f>
        <v>Wearables</v>
      </c>
      <c r="J930" t="s">
        <v>57</v>
      </c>
      <c r="K930">
        <v>4</v>
      </c>
      <c r="L930">
        <f>_xlfn.XLOOKUP(H930,Table6[Product],Table6[Unit Price])</f>
        <v>12000</v>
      </c>
      <c r="M930">
        <f>_xlfn.XLOOKUP(H930,Table6[Product],Table6[Cost Price])</f>
        <v>8500</v>
      </c>
      <c r="N930" s="7">
        <v>0.02</v>
      </c>
      <c r="O930">
        <f t="shared" si="42"/>
        <v>47040</v>
      </c>
      <c r="P930">
        <f t="shared" si="43"/>
        <v>34000</v>
      </c>
      <c r="Q930">
        <f t="shared" si="44"/>
        <v>13040</v>
      </c>
      <c r="R930" t="s">
        <v>47</v>
      </c>
      <c r="S930" t="s">
        <v>50</v>
      </c>
    </row>
    <row r="931" spans="1:19" ht="18" x14ac:dyDescent="0.5">
      <c r="A931" t="s">
        <v>1001</v>
      </c>
      <c r="B931" t="s">
        <v>2000</v>
      </c>
      <c r="C931" s="6">
        <v>45404</v>
      </c>
      <c r="D931" t="s">
        <v>2097</v>
      </c>
      <c r="E931" t="s">
        <v>2079</v>
      </c>
      <c r="F931" t="str">
        <f>_xlfn.XLOOKUP(E931,Table8[City],Table8[State])</f>
        <v>Gujarat</v>
      </c>
      <c r="G931" t="str">
        <f>_xlfn.XLOOKUP(E931,Table8[City],Table8[Region])</f>
        <v>West</v>
      </c>
      <c r="H931" t="s">
        <v>19</v>
      </c>
      <c r="I931" t="str">
        <f>_xlfn.XLOOKUP(H931,Table6[Product],Table6[Category])</f>
        <v>Electronics</v>
      </c>
      <c r="J931" t="s">
        <v>61</v>
      </c>
      <c r="K931">
        <v>5</v>
      </c>
      <c r="L931">
        <f>_xlfn.XLOOKUP(H931,Table6[Product],Table6[Unit Price])</f>
        <v>25000</v>
      </c>
      <c r="M931">
        <f>_xlfn.XLOOKUP(H931,Table6[Product],Table6[Cost Price])</f>
        <v>20000</v>
      </c>
      <c r="N931" s="7">
        <v>0.12</v>
      </c>
      <c r="O931">
        <f t="shared" si="42"/>
        <v>110000</v>
      </c>
      <c r="P931">
        <f t="shared" si="43"/>
        <v>100000</v>
      </c>
      <c r="Q931">
        <f t="shared" si="44"/>
        <v>10000</v>
      </c>
      <c r="R931" t="s">
        <v>44</v>
      </c>
      <c r="S931" t="s">
        <v>51</v>
      </c>
    </row>
    <row r="932" spans="1:19" ht="18" x14ac:dyDescent="0.5">
      <c r="A932" t="s">
        <v>1002</v>
      </c>
      <c r="B932" t="s">
        <v>2001</v>
      </c>
      <c r="C932" s="6">
        <v>45651</v>
      </c>
      <c r="D932" t="s">
        <v>2098</v>
      </c>
      <c r="E932" t="s">
        <v>2076</v>
      </c>
      <c r="F932" t="str">
        <f>_xlfn.XLOOKUP(E932,Table8[City],Table8[State])</f>
        <v>Tamil Nadu</v>
      </c>
      <c r="G932" t="str">
        <f>_xlfn.XLOOKUP(E932,Table8[City],Table8[Region])</f>
        <v>South</v>
      </c>
      <c r="H932" t="s">
        <v>20</v>
      </c>
      <c r="I932" t="str">
        <f>_xlfn.XLOOKUP(H932,Table6[Product],Table6[Category])</f>
        <v>Accessories</v>
      </c>
      <c r="J932" t="s">
        <v>60</v>
      </c>
      <c r="K932">
        <v>6</v>
      </c>
      <c r="L932">
        <f>_xlfn.XLOOKUP(H932,Table6[Product],Table6[Unit Price])</f>
        <v>3000</v>
      </c>
      <c r="M932">
        <f>_xlfn.XLOOKUP(H932,Table6[Product],Table6[Cost Price])</f>
        <v>1800</v>
      </c>
      <c r="N932" s="7">
        <v>0.14000000000000001</v>
      </c>
      <c r="O932">
        <f t="shared" si="42"/>
        <v>15480</v>
      </c>
      <c r="P932">
        <f t="shared" si="43"/>
        <v>10800</v>
      </c>
      <c r="Q932">
        <f t="shared" si="44"/>
        <v>4680</v>
      </c>
      <c r="R932" t="s">
        <v>43</v>
      </c>
      <c r="S932" t="s">
        <v>50</v>
      </c>
    </row>
    <row r="933" spans="1:19" ht="18" x14ac:dyDescent="0.5">
      <c r="A933" t="s">
        <v>1003</v>
      </c>
      <c r="B933" t="s">
        <v>2002</v>
      </c>
      <c r="C933" s="6">
        <v>45726</v>
      </c>
      <c r="D933" t="s">
        <v>2094</v>
      </c>
      <c r="E933" t="s">
        <v>2076</v>
      </c>
      <c r="F933" t="str">
        <f>_xlfn.XLOOKUP(E933,Table8[City],Table8[State])</f>
        <v>Tamil Nadu</v>
      </c>
      <c r="G933" t="str">
        <f>_xlfn.XLOOKUP(E933,Table8[City],Table8[Region])</f>
        <v>South</v>
      </c>
      <c r="H933" t="s">
        <v>16</v>
      </c>
      <c r="I933" t="str">
        <f>_xlfn.XLOOKUP(H933,Table6[Product],Table6[Category])</f>
        <v>Electronics</v>
      </c>
      <c r="J933" t="s">
        <v>60</v>
      </c>
      <c r="K933">
        <v>10</v>
      </c>
      <c r="L933">
        <f>_xlfn.XLOOKUP(H933,Table6[Product],Table6[Unit Price])</f>
        <v>65000</v>
      </c>
      <c r="M933">
        <f>_xlfn.XLOOKUP(H933,Table6[Product],Table6[Cost Price])</f>
        <v>52000</v>
      </c>
      <c r="N933" s="7">
        <v>0.23</v>
      </c>
      <c r="O933">
        <f t="shared" si="42"/>
        <v>500500</v>
      </c>
      <c r="P933">
        <f t="shared" si="43"/>
        <v>520000</v>
      </c>
      <c r="Q933">
        <f t="shared" si="44"/>
        <v>-19500</v>
      </c>
      <c r="R933" t="s">
        <v>46</v>
      </c>
      <c r="S933" t="s">
        <v>49</v>
      </c>
    </row>
    <row r="934" spans="1:19" ht="18" x14ac:dyDescent="0.5">
      <c r="A934" t="s">
        <v>1004</v>
      </c>
      <c r="B934" t="s">
        <v>2003</v>
      </c>
      <c r="C934" s="6">
        <v>45920</v>
      </c>
      <c r="D934" t="s">
        <v>2099</v>
      </c>
      <c r="E934" t="s">
        <v>2074</v>
      </c>
      <c r="F934" t="str">
        <f>_xlfn.XLOOKUP(E934,Table8[City],Table8[State])</f>
        <v>Maharashtra</v>
      </c>
      <c r="G934" t="str">
        <f>_xlfn.XLOOKUP(E934,Table8[City],Table8[Region])</f>
        <v>West</v>
      </c>
      <c r="H934" t="s">
        <v>19</v>
      </c>
      <c r="I934" t="str">
        <f>_xlfn.XLOOKUP(H934,Table6[Product],Table6[Category])</f>
        <v>Electronics</v>
      </c>
      <c r="J934" t="s">
        <v>57</v>
      </c>
      <c r="K934">
        <v>6</v>
      </c>
      <c r="L934">
        <f>_xlfn.XLOOKUP(H934,Table6[Product],Table6[Unit Price])</f>
        <v>25000</v>
      </c>
      <c r="M934">
        <f>_xlfn.XLOOKUP(H934,Table6[Product],Table6[Cost Price])</f>
        <v>20000</v>
      </c>
      <c r="N934" s="7">
        <v>0.18</v>
      </c>
      <c r="O934">
        <f t="shared" si="42"/>
        <v>123000.00000000001</v>
      </c>
      <c r="P934">
        <f t="shared" si="43"/>
        <v>120000</v>
      </c>
      <c r="Q934">
        <f t="shared" si="44"/>
        <v>3000.0000000000146</v>
      </c>
      <c r="R934" t="s">
        <v>46</v>
      </c>
      <c r="S934" t="s">
        <v>52</v>
      </c>
    </row>
    <row r="935" spans="1:19" ht="18" x14ac:dyDescent="0.5">
      <c r="A935" t="s">
        <v>1005</v>
      </c>
      <c r="B935" t="s">
        <v>2004</v>
      </c>
      <c r="C935" s="6">
        <v>45587</v>
      </c>
      <c r="D935" t="s">
        <v>2095</v>
      </c>
      <c r="E935" t="s">
        <v>2073</v>
      </c>
      <c r="F935" t="str">
        <f>_xlfn.XLOOKUP(E935,Table8[City],Table8[State])</f>
        <v>Maharashtra</v>
      </c>
      <c r="G935" t="str">
        <f>_xlfn.XLOOKUP(E935,Table8[City],Table8[Region])</f>
        <v>West</v>
      </c>
      <c r="H935" t="s">
        <v>20</v>
      </c>
      <c r="I935" t="str">
        <f>_xlfn.XLOOKUP(H935,Table6[Product],Table6[Category])</f>
        <v>Accessories</v>
      </c>
      <c r="J935" t="s">
        <v>54</v>
      </c>
      <c r="K935">
        <v>8</v>
      </c>
      <c r="L935">
        <f>_xlfn.XLOOKUP(H935,Table6[Product],Table6[Unit Price])</f>
        <v>3000</v>
      </c>
      <c r="M935">
        <f>_xlfn.XLOOKUP(H935,Table6[Product],Table6[Cost Price])</f>
        <v>1800</v>
      </c>
      <c r="N935" s="7">
        <v>0.04</v>
      </c>
      <c r="O935">
        <f t="shared" si="42"/>
        <v>23040</v>
      </c>
      <c r="P935">
        <f t="shared" si="43"/>
        <v>14400</v>
      </c>
      <c r="Q935">
        <f t="shared" si="44"/>
        <v>8640</v>
      </c>
      <c r="R935" t="s">
        <v>44</v>
      </c>
      <c r="S935" t="s">
        <v>49</v>
      </c>
    </row>
    <row r="936" spans="1:19" ht="18" x14ac:dyDescent="0.5">
      <c r="A936" t="s">
        <v>1006</v>
      </c>
      <c r="B936" t="s">
        <v>2005</v>
      </c>
      <c r="C936" s="6">
        <v>45689</v>
      </c>
      <c r="D936" t="s">
        <v>2085</v>
      </c>
      <c r="E936" t="s">
        <v>2104</v>
      </c>
      <c r="F936" t="str">
        <f>_xlfn.XLOOKUP(E936,Table8[City],Table8[State])</f>
        <v>Delhi</v>
      </c>
      <c r="G936" t="str">
        <f>_xlfn.XLOOKUP(E936,Table8[City],Table8[Region])</f>
        <v>North</v>
      </c>
      <c r="H936" t="s">
        <v>18</v>
      </c>
      <c r="I936" t="str">
        <f>_xlfn.XLOOKUP(H936,Table6[Product],Table6[Category])</f>
        <v>Electronics</v>
      </c>
      <c r="J936" t="s">
        <v>60</v>
      </c>
      <c r="K936">
        <v>2</v>
      </c>
      <c r="L936">
        <f>_xlfn.XLOOKUP(H936,Table6[Product],Table6[Unit Price])</f>
        <v>35000</v>
      </c>
      <c r="M936">
        <f>_xlfn.XLOOKUP(H936,Table6[Product],Table6[Cost Price])</f>
        <v>28000</v>
      </c>
      <c r="N936" s="7">
        <v>0.06</v>
      </c>
      <c r="O936">
        <f t="shared" si="42"/>
        <v>65800</v>
      </c>
      <c r="P936">
        <f t="shared" si="43"/>
        <v>56000</v>
      </c>
      <c r="Q936">
        <f t="shared" si="44"/>
        <v>9800</v>
      </c>
      <c r="R936" t="s">
        <v>44</v>
      </c>
      <c r="S936" t="s">
        <v>52</v>
      </c>
    </row>
    <row r="937" spans="1:19" ht="18" x14ac:dyDescent="0.5">
      <c r="A937" t="s">
        <v>1007</v>
      </c>
      <c r="B937" t="s">
        <v>2006</v>
      </c>
      <c r="C937" s="6">
        <v>45296</v>
      </c>
      <c r="D937" t="s">
        <v>59</v>
      </c>
      <c r="E937" t="s">
        <v>2076</v>
      </c>
      <c r="F937" t="str">
        <f>_xlfn.XLOOKUP(E937,Table8[City],Table8[State])</f>
        <v>Tamil Nadu</v>
      </c>
      <c r="G937" t="str">
        <f>_xlfn.XLOOKUP(E937,Table8[City],Table8[Region])</f>
        <v>South</v>
      </c>
      <c r="H937" t="s">
        <v>20</v>
      </c>
      <c r="I937" t="str">
        <f>_xlfn.XLOOKUP(H937,Table6[Product],Table6[Category])</f>
        <v>Accessories</v>
      </c>
      <c r="J937" t="s">
        <v>54</v>
      </c>
      <c r="K937">
        <v>9</v>
      </c>
      <c r="L937">
        <f>_xlfn.XLOOKUP(H937,Table6[Product],Table6[Unit Price])</f>
        <v>3000</v>
      </c>
      <c r="M937">
        <f>_xlfn.XLOOKUP(H937,Table6[Product],Table6[Cost Price])</f>
        <v>1800</v>
      </c>
      <c r="N937" s="7">
        <v>0.27</v>
      </c>
      <c r="O937">
        <f t="shared" si="42"/>
        <v>19710</v>
      </c>
      <c r="P937">
        <f t="shared" si="43"/>
        <v>16200</v>
      </c>
      <c r="Q937">
        <f t="shared" si="44"/>
        <v>3510</v>
      </c>
      <c r="R937" t="s">
        <v>43</v>
      </c>
      <c r="S937" t="s">
        <v>52</v>
      </c>
    </row>
    <row r="938" spans="1:19" ht="18" x14ac:dyDescent="0.5">
      <c r="A938" t="s">
        <v>1008</v>
      </c>
      <c r="B938" t="s">
        <v>2007</v>
      </c>
      <c r="C938" s="6">
        <v>45760</v>
      </c>
      <c r="D938" t="s">
        <v>2091</v>
      </c>
      <c r="E938" t="s">
        <v>2079</v>
      </c>
      <c r="F938" t="str">
        <f>_xlfn.XLOOKUP(E938,Table8[City],Table8[State])</f>
        <v>Gujarat</v>
      </c>
      <c r="G938" t="str">
        <f>_xlfn.XLOOKUP(E938,Table8[City],Table8[Region])</f>
        <v>West</v>
      </c>
      <c r="H938" t="s">
        <v>29</v>
      </c>
      <c r="I938" t="str">
        <f>_xlfn.XLOOKUP(H938,Table6[Product],Table6[Category])</f>
        <v>Electronics</v>
      </c>
      <c r="J938" t="s">
        <v>60</v>
      </c>
      <c r="K938">
        <v>4</v>
      </c>
      <c r="L938">
        <f>_xlfn.XLOOKUP(H938,Table6[Product],Table6[Unit Price])</f>
        <v>5000</v>
      </c>
      <c r="M938">
        <f>_xlfn.XLOOKUP(H938,Table6[Product],Table6[Cost Price])</f>
        <v>3200</v>
      </c>
      <c r="N938" s="7">
        <v>0.03</v>
      </c>
      <c r="O938">
        <f t="shared" si="42"/>
        <v>19400</v>
      </c>
      <c r="P938">
        <f t="shared" si="43"/>
        <v>12800</v>
      </c>
      <c r="Q938">
        <f t="shared" si="44"/>
        <v>6600</v>
      </c>
      <c r="R938" t="s">
        <v>47</v>
      </c>
      <c r="S938" t="s">
        <v>52</v>
      </c>
    </row>
    <row r="939" spans="1:19" ht="18" x14ac:dyDescent="0.5">
      <c r="A939" t="s">
        <v>1009</v>
      </c>
      <c r="B939" t="s">
        <v>2008</v>
      </c>
      <c r="C939" s="6">
        <v>45551</v>
      </c>
      <c r="D939" t="s">
        <v>69</v>
      </c>
      <c r="E939" t="s">
        <v>2075</v>
      </c>
      <c r="F939" t="str">
        <f>_xlfn.XLOOKUP(E939,Table8[City],Table8[State])</f>
        <v>Tamil Nadu</v>
      </c>
      <c r="G939" t="str">
        <f>_xlfn.XLOOKUP(E939,Table8[City],Table8[Region])</f>
        <v>South</v>
      </c>
      <c r="H939" t="s">
        <v>19</v>
      </c>
      <c r="I939" t="str">
        <f>_xlfn.XLOOKUP(H939,Table6[Product],Table6[Category])</f>
        <v>Electronics</v>
      </c>
      <c r="J939" t="s">
        <v>54</v>
      </c>
      <c r="K939">
        <v>9</v>
      </c>
      <c r="L939">
        <f>_xlfn.XLOOKUP(H939,Table6[Product],Table6[Unit Price])</f>
        <v>25000</v>
      </c>
      <c r="M939">
        <f>_xlfn.XLOOKUP(H939,Table6[Product],Table6[Cost Price])</f>
        <v>20000</v>
      </c>
      <c r="N939" s="7">
        <v>0.09</v>
      </c>
      <c r="O939">
        <f t="shared" si="42"/>
        <v>204750</v>
      </c>
      <c r="P939">
        <f t="shared" si="43"/>
        <v>180000</v>
      </c>
      <c r="Q939">
        <f t="shared" si="44"/>
        <v>24750</v>
      </c>
      <c r="R939" t="s">
        <v>43</v>
      </c>
      <c r="S939" t="s">
        <v>49</v>
      </c>
    </row>
    <row r="940" spans="1:19" ht="18" x14ac:dyDescent="0.5">
      <c r="A940" t="s">
        <v>1010</v>
      </c>
      <c r="B940" t="s">
        <v>2009</v>
      </c>
      <c r="C940" s="6">
        <v>45617</v>
      </c>
      <c r="D940" t="s">
        <v>2098</v>
      </c>
      <c r="E940" t="s">
        <v>2075</v>
      </c>
      <c r="F940" t="str">
        <f>_xlfn.XLOOKUP(E940,Table8[City],Table8[State])</f>
        <v>Tamil Nadu</v>
      </c>
      <c r="G940" t="str">
        <f>_xlfn.XLOOKUP(E940,Table8[City],Table8[Region])</f>
        <v>South</v>
      </c>
      <c r="H940" t="s">
        <v>24</v>
      </c>
      <c r="I940" t="str">
        <f>_xlfn.XLOOKUP(H940,Table6[Product],Table6[Category])</f>
        <v>Accessories</v>
      </c>
      <c r="J940" t="s">
        <v>60</v>
      </c>
      <c r="K940">
        <v>9</v>
      </c>
      <c r="L940">
        <f>_xlfn.XLOOKUP(H940,Table6[Product],Table6[Unit Price])</f>
        <v>1500</v>
      </c>
      <c r="M940">
        <f>_xlfn.XLOOKUP(H940,Table6[Product],Table6[Cost Price])</f>
        <v>900</v>
      </c>
      <c r="N940" s="7">
        <v>0.12</v>
      </c>
      <c r="O940">
        <f t="shared" si="42"/>
        <v>11880</v>
      </c>
      <c r="P940">
        <f t="shared" si="43"/>
        <v>8100</v>
      </c>
      <c r="Q940">
        <f t="shared" si="44"/>
        <v>3780</v>
      </c>
      <c r="R940" t="s">
        <v>44</v>
      </c>
      <c r="S940" t="s">
        <v>49</v>
      </c>
    </row>
    <row r="941" spans="1:19" ht="18" x14ac:dyDescent="0.5">
      <c r="A941" t="s">
        <v>1011</v>
      </c>
      <c r="B941" t="s">
        <v>2010</v>
      </c>
      <c r="C941" s="6">
        <v>45722</v>
      </c>
      <c r="D941" t="s">
        <v>2097</v>
      </c>
      <c r="E941" t="s">
        <v>2104</v>
      </c>
      <c r="F941" t="str">
        <f>_xlfn.XLOOKUP(E941,Table8[City],Table8[State])</f>
        <v>Delhi</v>
      </c>
      <c r="G941" t="str">
        <f>_xlfn.XLOOKUP(E941,Table8[City],Table8[Region])</f>
        <v>North</v>
      </c>
      <c r="H941" t="s">
        <v>29</v>
      </c>
      <c r="I941" t="str">
        <f>_xlfn.XLOOKUP(H941,Table6[Product],Table6[Category])</f>
        <v>Electronics</v>
      </c>
      <c r="J941" t="s">
        <v>59</v>
      </c>
      <c r="K941">
        <v>4</v>
      </c>
      <c r="L941">
        <f>_xlfn.XLOOKUP(H941,Table6[Product],Table6[Unit Price])</f>
        <v>5000</v>
      </c>
      <c r="M941">
        <f>_xlfn.XLOOKUP(H941,Table6[Product],Table6[Cost Price])</f>
        <v>3200</v>
      </c>
      <c r="N941" s="7">
        <v>0.28999999999999998</v>
      </c>
      <c r="O941">
        <f t="shared" si="42"/>
        <v>14200</v>
      </c>
      <c r="P941">
        <f t="shared" si="43"/>
        <v>12800</v>
      </c>
      <c r="Q941">
        <f t="shared" si="44"/>
        <v>1400</v>
      </c>
      <c r="R941" t="s">
        <v>45</v>
      </c>
      <c r="S941" t="s">
        <v>49</v>
      </c>
    </row>
    <row r="942" spans="1:19" ht="18" x14ac:dyDescent="0.5">
      <c r="A942" t="s">
        <v>1012</v>
      </c>
      <c r="B942" t="s">
        <v>2011</v>
      </c>
      <c r="C942" s="6">
        <v>45978</v>
      </c>
      <c r="D942" t="s">
        <v>59</v>
      </c>
      <c r="E942" t="s">
        <v>70</v>
      </c>
      <c r="F942" t="str">
        <f>_xlfn.XLOOKUP(E942,Table8[City],Table8[State])</f>
        <v>Karnataka</v>
      </c>
      <c r="G942" t="str">
        <f>_xlfn.XLOOKUP(E942,Table8[City],Table8[Region])</f>
        <v>South</v>
      </c>
      <c r="H942" t="s">
        <v>25</v>
      </c>
      <c r="I942" t="str">
        <f>_xlfn.XLOOKUP(H942,Table6[Product],Table6[Category])</f>
        <v>Accessories</v>
      </c>
      <c r="J942" t="s">
        <v>59</v>
      </c>
      <c r="K942">
        <v>8</v>
      </c>
      <c r="L942">
        <f>_xlfn.XLOOKUP(H942,Table6[Product],Table6[Unit Price])</f>
        <v>800</v>
      </c>
      <c r="M942">
        <f>_xlfn.XLOOKUP(H942,Table6[Product],Table6[Cost Price])</f>
        <v>450</v>
      </c>
      <c r="N942" s="7">
        <v>0.06</v>
      </c>
      <c r="O942">
        <f t="shared" si="42"/>
        <v>6016</v>
      </c>
      <c r="P942">
        <f t="shared" si="43"/>
        <v>3600</v>
      </c>
      <c r="Q942">
        <f t="shared" si="44"/>
        <v>2416</v>
      </c>
      <c r="R942" t="s">
        <v>44</v>
      </c>
      <c r="S942" t="s">
        <v>51</v>
      </c>
    </row>
    <row r="943" spans="1:19" ht="18" x14ac:dyDescent="0.5">
      <c r="A943" t="s">
        <v>1013</v>
      </c>
      <c r="B943" t="s">
        <v>2012</v>
      </c>
      <c r="C943" s="6">
        <v>45432</v>
      </c>
      <c r="D943" t="s">
        <v>63</v>
      </c>
      <c r="E943" t="s">
        <v>70</v>
      </c>
      <c r="F943" t="str">
        <f>_xlfn.XLOOKUP(E943,Table8[City],Table8[State])</f>
        <v>Karnataka</v>
      </c>
      <c r="G943" t="str">
        <f>_xlfn.XLOOKUP(E943,Table8[City],Table8[Region])</f>
        <v>South</v>
      </c>
      <c r="H943" t="s">
        <v>16</v>
      </c>
      <c r="I943" t="str">
        <f>_xlfn.XLOOKUP(H943,Table6[Product],Table6[Category])</f>
        <v>Electronics</v>
      </c>
      <c r="J943" t="s">
        <v>61</v>
      </c>
      <c r="K943">
        <v>4</v>
      </c>
      <c r="L943">
        <f>_xlfn.XLOOKUP(H943,Table6[Product],Table6[Unit Price])</f>
        <v>65000</v>
      </c>
      <c r="M943">
        <f>_xlfn.XLOOKUP(H943,Table6[Product],Table6[Cost Price])</f>
        <v>52000</v>
      </c>
      <c r="N943" s="7">
        <v>0.28000000000000003</v>
      </c>
      <c r="O943">
        <f t="shared" si="42"/>
        <v>187200</v>
      </c>
      <c r="P943">
        <f t="shared" si="43"/>
        <v>208000</v>
      </c>
      <c r="Q943">
        <f t="shared" si="44"/>
        <v>-20800</v>
      </c>
      <c r="R943" t="s">
        <v>47</v>
      </c>
      <c r="S943" t="s">
        <v>49</v>
      </c>
    </row>
    <row r="944" spans="1:19" ht="18" x14ac:dyDescent="0.5">
      <c r="A944" t="s">
        <v>1014</v>
      </c>
      <c r="B944" t="s">
        <v>2013</v>
      </c>
      <c r="C944" s="6">
        <v>45737</v>
      </c>
      <c r="D944" t="s">
        <v>2085</v>
      </c>
      <c r="E944" t="s">
        <v>2074</v>
      </c>
      <c r="F944" t="str">
        <f>_xlfn.XLOOKUP(E944,Table8[City],Table8[State])</f>
        <v>Maharashtra</v>
      </c>
      <c r="G944" t="str">
        <f>_xlfn.XLOOKUP(E944,Table8[City],Table8[Region])</f>
        <v>West</v>
      </c>
      <c r="H944" t="s">
        <v>22</v>
      </c>
      <c r="I944" t="str">
        <f>_xlfn.XLOOKUP(H944,Table6[Product],Table6[Category])</f>
        <v>Wearables</v>
      </c>
      <c r="J944" t="s">
        <v>61</v>
      </c>
      <c r="K944">
        <v>10</v>
      </c>
      <c r="L944">
        <f>_xlfn.XLOOKUP(H944,Table6[Product],Table6[Unit Price])</f>
        <v>12000</v>
      </c>
      <c r="M944">
        <f>_xlfn.XLOOKUP(H944,Table6[Product],Table6[Cost Price])</f>
        <v>8500</v>
      </c>
      <c r="N944" s="7">
        <v>0</v>
      </c>
      <c r="O944">
        <f t="shared" si="42"/>
        <v>120000</v>
      </c>
      <c r="P944">
        <f t="shared" si="43"/>
        <v>85000</v>
      </c>
      <c r="Q944">
        <f t="shared" si="44"/>
        <v>35000</v>
      </c>
      <c r="R944" t="s">
        <v>43</v>
      </c>
      <c r="S944" t="s">
        <v>51</v>
      </c>
    </row>
    <row r="945" spans="1:19" ht="18" x14ac:dyDescent="0.5">
      <c r="A945" t="s">
        <v>1015</v>
      </c>
      <c r="B945" t="s">
        <v>2014</v>
      </c>
      <c r="C945" s="6">
        <v>45735</v>
      </c>
      <c r="D945" t="s">
        <v>63</v>
      </c>
      <c r="E945" t="s">
        <v>2074</v>
      </c>
      <c r="F945" t="str">
        <f>_xlfn.XLOOKUP(E945,Table8[City],Table8[State])</f>
        <v>Maharashtra</v>
      </c>
      <c r="G945" t="str">
        <f>_xlfn.XLOOKUP(E945,Table8[City],Table8[Region])</f>
        <v>West</v>
      </c>
      <c r="H945" t="s">
        <v>22</v>
      </c>
      <c r="I945" t="str">
        <f>_xlfn.XLOOKUP(H945,Table6[Product],Table6[Category])</f>
        <v>Wearables</v>
      </c>
      <c r="J945" t="s">
        <v>63</v>
      </c>
      <c r="K945">
        <v>9</v>
      </c>
      <c r="L945">
        <f>_xlfn.XLOOKUP(H945,Table6[Product],Table6[Unit Price])</f>
        <v>12000</v>
      </c>
      <c r="M945">
        <f>_xlfn.XLOOKUP(H945,Table6[Product],Table6[Cost Price])</f>
        <v>8500</v>
      </c>
      <c r="N945" s="7">
        <v>0.28999999999999998</v>
      </c>
      <c r="O945">
        <f t="shared" si="42"/>
        <v>76680</v>
      </c>
      <c r="P945">
        <f t="shared" si="43"/>
        <v>76500</v>
      </c>
      <c r="Q945">
        <f t="shared" si="44"/>
        <v>180</v>
      </c>
      <c r="R945" t="s">
        <v>46</v>
      </c>
      <c r="S945" t="s">
        <v>50</v>
      </c>
    </row>
    <row r="946" spans="1:19" ht="18" x14ac:dyDescent="0.5">
      <c r="A946" t="s">
        <v>1016</v>
      </c>
      <c r="B946" t="s">
        <v>2015</v>
      </c>
      <c r="C946" s="6">
        <v>45787</v>
      </c>
      <c r="D946" t="s">
        <v>2098</v>
      </c>
      <c r="E946" t="s">
        <v>2080</v>
      </c>
      <c r="F946" t="str">
        <f>_xlfn.XLOOKUP(E946,Table8[City],Table8[State])</f>
        <v>Gujarat</v>
      </c>
      <c r="G946" t="str">
        <f>_xlfn.XLOOKUP(E946,Table8[City],Table8[Region])</f>
        <v>West</v>
      </c>
      <c r="H946" t="s">
        <v>25</v>
      </c>
      <c r="I946" t="str">
        <f>_xlfn.XLOOKUP(H946,Table6[Product],Table6[Category])</f>
        <v>Accessories</v>
      </c>
      <c r="J946" t="s">
        <v>59</v>
      </c>
      <c r="K946">
        <v>3</v>
      </c>
      <c r="L946">
        <f>_xlfn.XLOOKUP(H946,Table6[Product],Table6[Unit Price])</f>
        <v>800</v>
      </c>
      <c r="M946">
        <f>_xlfn.XLOOKUP(H946,Table6[Product],Table6[Cost Price])</f>
        <v>450</v>
      </c>
      <c r="N946" s="7">
        <v>0.13</v>
      </c>
      <c r="O946">
        <f t="shared" si="42"/>
        <v>2088</v>
      </c>
      <c r="P946">
        <f t="shared" si="43"/>
        <v>1350</v>
      </c>
      <c r="Q946">
        <f t="shared" si="44"/>
        <v>738</v>
      </c>
      <c r="R946" t="s">
        <v>45</v>
      </c>
      <c r="S946" t="s">
        <v>52</v>
      </c>
    </row>
    <row r="947" spans="1:19" ht="18" x14ac:dyDescent="0.5">
      <c r="A947" t="s">
        <v>1017</v>
      </c>
      <c r="B947" t="s">
        <v>2016</v>
      </c>
      <c r="C947" s="6">
        <v>45688</v>
      </c>
      <c r="D947" t="s">
        <v>2096</v>
      </c>
      <c r="E947" t="s">
        <v>2079</v>
      </c>
      <c r="F947" t="str">
        <f>_xlfn.XLOOKUP(E947,Table8[City],Table8[State])</f>
        <v>Gujarat</v>
      </c>
      <c r="G947" t="str">
        <f>_xlfn.XLOOKUP(E947,Table8[City],Table8[Region])</f>
        <v>West</v>
      </c>
      <c r="H947" t="s">
        <v>19</v>
      </c>
      <c r="I947" t="str">
        <f>_xlfn.XLOOKUP(H947,Table6[Product],Table6[Category])</f>
        <v>Electronics</v>
      </c>
      <c r="J947" t="s">
        <v>62</v>
      </c>
      <c r="K947">
        <v>5</v>
      </c>
      <c r="L947">
        <f>_xlfn.XLOOKUP(H947,Table6[Product],Table6[Unit Price])</f>
        <v>25000</v>
      </c>
      <c r="M947">
        <f>_xlfn.XLOOKUP(H947,Table6[Product],Table6[Cost Price])</f>
        <v>20000</v>
      </c>
      <c r="N947" s="7">
        <v>0.04</v>
      </c>
      <c r="O947">
        <f t="shared" si="42"/>
        <v>120000</v>
      </c>
      <c r="P947">
        <f t="shared" si="43"/>
        <v>100000</v>
      </c>
      <c r="Q947">
        <f t="shared" si="44"/>
        <v>20000</v>
      </c>
      <c r="R947" t="s">
        <v>45</v>
      </c>
      <c r="S947" t="s">
        <v>51</v>
      </c>
    </row>
    <row r="948" spans="1:19" ht="18" x14ac:dyDescent="0.5">
      <c r="A948" t="s">
        <v>1018</v>
      </c>
      <c r="B948" t="s">
        <v>2017</v>
      </c>
      <c r="C948" s="6">
        <v>45877</v>
      </c>
      <c r="D948" t="s">
        <v>2087</v>
      </c>
      <c r="E948" t="s">
        <v>2104</v>
      </c>
      <c r="F948" t="str">
        <f>_xlfn.XLOOKUP(E948,Table8[City],Table8[State])</f>
        <v>Delhi</v>
      </c>
      <c r="G948" t="str">
        <f>_xlfn.XLOOKUP(E948,Table8[City],Table8[Region])</f>
        <v>North</v>
      </c>
      <c r="H948" t="s">
        <v>26</v>
      </c>
      <c r="I948" t="str">
        <f>_xlfn.XLOOKUP(H948,Table6[Product],Table6[Category])</f>
        <v>Office</v>
      </c>
      <c r="J948" t="s">
        <v>60</v>
      </c>
      <c r="K948">
        <v>10</v>
      </c>
      <c r="L948">
        <f>_xlfn.XLOOKUP(H948,Table6[Product],Table6[Unit Price])</f>
        <v>15000</v>
      </c>
      <c r="M948">
        <f>_xlfn.XLOOKUP(H948,Table6[Product],Table6[Cost Price])</f>
        <v>11500</v>
      </c>
      <c r="N948" s="7">
        <v>0.18</v>
      </c>
      <c r="O948">
        <f t="shared" si="42"/>
        <v>123000.00000000001</v>
      </c>
      <c r="P948">
        <f t="shared" si="43"/>
        <v>115000</v>
      </c>
      <c r="Q948">
        <f t="shared" si="44"/>
        <v>8000.0000000000146</v>
      </c>
      <c r="R948" t="s">
        <v>44</v>
      </c>
      <c r="S948" t="s">
        <v>51</v>
      </c>
    </row>
    <row r="949" spans="1:19" ht="18" x14ac:dyDescent="0.5">
      <c r="A949" t="s">
        <v>1019</v>
      </c>
      <c r="B949" t="s">
        <v>2018</v>
      </c>
      <c r="C949" s="6">
        <v>45749</v>
      </c>
      <c r="D949" t="s">
        <v>2097</v>
      </c>
      <c r="E949" t="s">
        <v>2075</v>
      </c>
      <c r="F949" t="str">
        <f>_xlfn.XLOOKUP(E949,Table8[City],Table8[State])</f>
        <v>Tamil Nadu</v>
      </c>
      <c r="G949" t="str">
        <f>_xlfn.XLOOKUP(E949,Table8[City],Table8[Region])</f>
        <v>South</v>
      </c>
      <c r="H949" t="s">
        <v>29</v>
      </c>
      <c r="I949" t="str">
        <f>_xlfn.XLOOKUP(H949,Table6[Product],Table6[Category])</f>
        <v>Electronics</v>
      </c>
      <c r="J949" t="s">
        <v>54</v>
      </c>
      <c r="K949">
        <v>1</v>
      </c>
      <c r="L949">
        <f>_xlfn.XLOOKUP(H949,Table6[Product],Table6[Unit Price])</f>
        <v>5000</v>
      </c>
      <c r="M949">
        <f>_xlfn.XLOOKUP(H949,Table6[Product],Table6[Cost Price])</f>
        <v>3200</v>
      </c>
      <c r="N949" s="7">
        <v>0.28000000000000003</v>
      </c>
      <c r="O949">
        <f t="shared" si="42"/>
        <v>3600</v>
      </c>
      <c r="P949">
        <f t="shared" si="43"/>
        <v>3200</v>
      </c>
      <c r="Q949">
        <f t="shared" si="44"/>
        <v>400</v>
      </c>
      <c r="R949" t="s">
        <v>45</v>
      </c>
      <c r="S949" t="s">
        <v>51</v>
      </c>
    </row>
    <row r="950" spans="1:19" ht="18" x14ac:dyDescent="0.5">
      <c r="A950" t="s">
        <v>1020</v>
      </c>
      <c r="B950" t="s">
        <v>2019</v>
      </c>
      <c r="C950" s="6">
        <v>45748</v>
      </c>
      <c r="D950" t="s">
        <v>2091</v>
      </c>
      <c r="E950" t="s">
        <v>2076</v>
      </c>
      <c r="F950" t="str">
        <f>_xlfn.XLOOKUP(E950,Table8[City],Table8[State])</f>
        <v>Tamil Nadu</v>
      </c>
      <c r="G950" t="str">
        <f>_xlfn.XLOOKUP(E950,Table8[City],Table8[Region])</f>
        <v>South</v>
      </c>
      <c r="H950" t="s">
        <v>18</v>
      </c>
      <c r="I950" t="str">
        <f>_xlfn.XLOOKUP(H950,Table6[Product],Table6[Category])</f>
        <v>Electronics</v>
      </c>
      <c r="J950" t="s">
        <v>61</v>
      </c>
      <c r="K950">
        <v>9</v>
      </c>
      <c r="L950">
        <f>_xlfn.XLOOKUP(H950,Table6[Product],Table6[Unit Price])</f>
        <v>35000</v>
      </c>
      <c r="M950">
        <f>_xlfn.XLOOKUP(H950,Table6[Product],Table6[Cost Price])</f>
        <v>28000</v>
      </c>
      <c r="N950" s="7">
        <v>0.08</v>
      </c>
      <c r="O950">
        <f t="shared" si="42"/>
        <v>289800</v>
      </c>
      <c r="P950">
        <f t="shared" si="43"/>
        <v>252000</v>
      </c>
      <c r="Q950">
        <f t="shared" si="44"/>
        <v>37800</v>
      </c>
      <c r="R950" t="s">
        <v>43</v>
      </c>
      <c r="S950" t="s">
        <v>52</v>
      </c>
    </row>
    <row r="951" spans="1:19" ht="18" x14ac:dyDescent="0.5">
      <c r="A951" t="s">
        <v>1021</v>
      </c>
      <c r="B951" t="s">
        <v>2020</v>
      </c>
      <c r="C951" s="6">
        <v>45651</v>
      </c>
      <c r="D951" t="s">
        <v>59</v>
      </c>
      <c r="E951" t="s">
        <v>2079</v>
      </c>
      <c r="F951" t="str">
        <f>_xlfn.XLOOKUP(E951,Table8[City],Table8[State])</f>
        <v>Gujarat</v>
      </c>
      <c r="G951" t="str">
        <f>_xlfn.XLOOKUP(E951,Table8[City],Table8[Region])</f>
        <v>West</v>
      </c>
      <c r="H951" t="s">
        <v>28</v>
      </c>
      <c r="I951" t="str">
        <f>_xlfn.XLOOKUP(H951,Table6[Product],Table6[Category])</f>
        <v>Office</v>
      </c>
      <c r="J951" t="s">
        <v>57</v>
      </c>
      <c r="K951">
        <v>7</v>
      </c>
      <c r="L951">
        <f>_xlfn.XLOOKUP(H951,Table6[Product],Table6[Unit Price])</f>
        <v>18000</v>
      </c>
      <c r="M951">
        <f>_xlfn.XLOOKUP(H951,Table6[Product],Table6[Cost Price])</f>
        <v>14000</v>
      </c>
      <c r="N951" s="7">
        <v>0.25</v>
      </c>
      <c r="O951">
        <f t="shared" si="42"/>
        <v>94500</v>
      </c>
      <c r="P951">
        <f t="shared" si="43"/>
        <v>98000</v>
      </c>
      <c r="Q951">
        <f t="shared" si="44"/>
        <v>-3500</v>
      </c>
      <c r="R951" t="s">
        <v>47</v>
      </c>
      <c r="S951" t="s">
        <v>49</v>
      </c>
    </row>
    <row r="952" spans="1:19" ht="18" x14ac:dyDescent="0.5">
      <c r="A952" t="s">
        <v>1022</v>
      </c>
      <c r="B952" t="s">
        <v>2021</v>
      </c>
      <c r="C952" s="6">
        <v>45417</v>
      </c>
      <c r="D952" t="s">
        <v>2096</v>
      </c>
      <c r="E952" t="s">
        <v>2072</v>
      </c>
      <c r="F952" t="str">
        <f>_xlfn.XLOOKUP(E952,Table8[City],Table8[State])</f>
        <v>Karnataka</v>
      </c>
      <c r="G952" t="str">
        <f>_xlfn.XLOOKUP(E952,Table8[City],Table8[Region])</f>
        <v>South</v>
      </c>
      <c r="H952" t="s">
        <v>16</v>
      </c>
      <c r="I952" t="str">
        <f>_xlfn.XLOOKUP(H952,Table6[Product],Table6[Category])</f>
        <v>Electronics</v>
      </c>
      <c r="J952" t="s">
        <v>57</v>
      </c>
      <c r="K952">
        <v>5</v>
      </c>
      <c r="L952">
        <f>_xlfn.XLOOKUP(H952,Table6[Product],Table6[Unit Price])</f>
        <v>65000</v>
      </c>
      <c r="M952">
        <f>_xlfn.XLOOKUP(H952,Table6[Product],Table6[Cost Price])</f>
        <v>52000</v>
      </c>
      <c r="N952" s="7">
        <v>0.18</v>
      </c>
      <c r="O952">
        <f t="shared" si="42"/>
        <v>266500</v>
      </c>
      <c r="P952">
        <f t="shared" si="43"/>
        <v>260000</v>
      </c>
      <c r="Q952">
        <f t="shared" si="44"/>
        <v>6500</v>
      </c>
      <c r="R952" t="s">
        <v>46</v>
      </c>
      <c r="S952" t="s">
        <v>49</v>
      </c>
    </row>
    <row r="953" spans="1:19" ht="18" x14ac:dyDescent="0.5">
      <c r="A953" t="s">
        <v>1023</v>
      </c>
      <c r="B953" t="s">
        <v>2022</v>
      </c>
      <c r="C953" s="6">
        <v>45683</v>
      </c>
      <c r="D953" t="s">
        <v>2095</v>
      </c>
      <c r="E953" t="s">
        <v>2072</v>
      </c>
      <c r="F953" t="str">
        <f>_xlfn.XLOOKUP(E953,Table8[City],Table8[State])</f>
        <v>Karnataka</v>
      </c>
      <c r="G953" t="str">
        <f>_xlfn.XLOOKUP(E953,Table8[City],Table8[Region])</f>
        <v>South</v>
      </c>
      <c r="H953" t="s">
        <v>24</v>
      </c>
      <c r="I953" t="str">
        <f>_xlfn.XLOOKUP(H953,Table6[Product],Table6[Category])</f>
        <v>Accessories</v>
      </c>
      <c r="J953" t="s">
        <v>57</v>
      </c>
      <c r="K953">
        <v>6</v>
      </c>
      <c r="L953">
        <f>_xlfn.XLOOKUP(H953,Table6[Product],Table6[Unit Price])</f>
        <v>1500</v>
      </c>
      <c r="M953">
        <f>_xlfn.XLOOKUP(H953,Table6[Product],Table6[Cost Price])</f>
        <v>900</v>
      </c>
      <c r="N953" s="7">
        <v>7.0000000000000007E-2</v>
      </c>
      <c r="O953">
        <f t="shared" si="42"/>
        <v>8370</v>
      </c>
      <c r="P953">
        <f t="shared" si="43"/>
        <v>5400</v>
      </c>
      <c r="Q953">
        <f t="shared" si="44"/>
        <v>2970</v>
      </c>
      <c r="R953" t="s">
        <v>47</v>
      </c>
      <c r="S953" t="s">
        <v>52</v>
      </c>
    </row>
    <row r="954" spans="1:19" ht="18" x14ac:dyDescent="0.5">
      <c r="A954" t="s">
        <v>1024</v>
      </c>
      <c r="B954" t="s">
        <v>2023</v>
      </c>
      <c r="C954" s="6">
        <v>45943</v>
      </c>
      <c r="D954" t="s">
        <v>2093</v>
      </c>
      <c r="E954" t="s">
        <v>2106</v>
      </c>
      <c r="F954" t="str">
        <f>_xlfn.XLOOKUP(E954,Table8[City],Table8[State])</f>
        <v>West Bengal</v>
      </c>
      <c r="G954" t="str">
        <f>_xlfn.XLOOKUP(E954,Table8[City],Table8[Region])</f>
        <v>East</v>
      </c>
      <c r="H954" t="s">
        <v>22</v>
      </c>
      <c r="I954" t="str">
        <f>_xlfn.XLOOKUP(H954,Table6[Product],Table6[Category])</f>
        <v>Wearables</v>
      </c>
      <c r="J954" t="s">
        <v>63</v>
      </c>
      <c r="K954">
        <v>6</v>
      </c>
      <c r="L954">
        <f>_xlfn.XLOOKUP(H954,Table6[Product],Table6[Unit Price])</f>
        <v>12000</v>
      </c>
      <c r="M954">
        <f>_xlfn.XLOOKUP(H954,Table6[Product],Table6[Cost Price])</f>
        <v>8500</v>
      </c>
      <c r="N954" s="7">
        <v>0.16</v>
      </c>
      <c r="O954">
        <f t="shared" si="42"/>
        <v>60480</v>
      </c>
      <c r="P954">
        <f t="shared" si="43"/>
        <v>51000</v>
      </c>
      <c r="Q954">
        <f t="shared" si="44"/>
        <v>9480</v>
      </c>
      <c r="R954" t="s">
        <v>46</v>
      </c>
      <c r="S954" t="s">
        <v>49</v>
      </c>
    </row>
    <row r="955" spans="1:19" ht="18" x14ac:dyDescent="0.5">
      <c r="A955" t="s">
        <v>1025</v>
      </c>
      <c r="B955" t="s">
        <v>2024</v>
      </c>
      <c r="C955" s="6">
        <v>45667</v>
      </c>
      <c r="D955" t="s">
        <v>2097</v>
      </c>
      <c r="E955" t="s">
        <v>2105</v>
      </c>
      <c r="F955" t="str">
        <f>_xlfn.XLOOKUP(E955,Table8[City],Table8[State])</f>
        <v>Rajasthan</v>
      </c>
      <c r="G955" t="str">
        <f>_xlfn.XLOOKUP(E955,Table8[City],Table8[Region])</f>
        <v>North</v>
      </c>
      <c r="H955" t="s">
        <v>26</v>
      </c>
      <c r="I955" t="str">
        <f>_xlfn.XLOOKUP(H955,Table6[Product],Table6[Category])</f>
        <v>Office</v>
      </c>
      <c r="J955" t="s">
        <v>61</v>
      </c>
      <c r="K955">
        <v>4</v>
      </c>
      <c r="L955">
        <f>_xlfn.XLOOKUP(H955,Table6[Product],Table6[Unit Price])</f>
        <v>15000</v>
      </c>
      <c r="M955">
        <f>_xlfn.XLOOKUP(H955,Table6[Product],Table6[Cost Price])</f>
        <v>11500</v>
      </c>
      <c r="N955" s="7">
        <v>0.15</v>
      </c>
      <c r="O955">
        <f t="shared" si="42"/>
        <v>51000</v>
      </c>
      <c r="P955">
        <f t="shared" si="43"/>
        <v>46000</v>
      </c>
      <c r="Q955">
        <f t="shared" si="44"/>
        <v>5000</v>
      </c>
      <c r="R955" t="s">
        <v>45</v>
      </c>
      <c r="S955" t="s">
        <v>50</v>
      </c>
    </row>
    <row r="956" spans="1:19" ht="18" x14ac:dyDescent="0.5">
      <c r="A956" t="s">
        <v>1026</v>
      </c>
      <c r="B956" t="s">
        <v>2025</v>
      </c>
      <c r="C956" s="6">
        <v>45575</v>
      </c>
      <c r="D956" t="s">
        <v>2086</v>
      </c>
      <c r="E956" t="s">
        <v>2073</v>
      </c>
      <c r="F956" t="str">
        <f>_xlfn.XLOOKUP(E956,Table8[City],Table8[State])</f>
        <v>Maharashtra</v>
      </c>
      <c r="G956" t="str">
        <f>_xlfn.XLOOKUP(E956,Table8[City],Table8[Region])</f>
        <v>West</v>
      </c>
      <c r="H956" t="s">
        <v>29</v>
      </c>
      <c r="I956" t="str">
        <f>_xlfn.XLOOKUP(H956,Table6[Product],Table6[Category])</f>
        <v>Electronics</v>
      </c>
      <c r="J956" t="s">
        <v>63</v>
      </c>
      <c r="K956">
        <v>3</v>
      </c>
      <c r="L956">
        <f>_xlfn.XLOOKUP(H956,Table6[Product],Table6[Unit Price])</f>
        <v>5000</v>
      </c>
      <c r="M956">
        <f>_xlfn.XLOOKUP(H956,Table6[Product],Table6[Cost Price])</f>
        <v>3200</v>
      </c>
      <c r="N956" s="7">
        <v>0.13</v>
      </c>
      <c r="O956">
        <f t="shared" si="42"/>
        <v>13050</v>
      </c>
      <c r="P956">
        <f t="shared" si="43"/>
        <v>9600</v>
      </c>
      <c r="Q956">
        <f t="shared" si="44"/>
        <v>3450</v>
      </c>
      <c r="R956" t="s">
        <v>43</v>
      </c>
      <c r="S956" t="s">
        <v>49</v>
      </c>
    </row>
    <row r="957" spans="1:19" ht="18" x14ac:dyDescent="0.5">
      <c r="A957" t="s">
        <v>1027</v>
      </c>
      <c r="B957" t="s">
        <v>2026</v>
      </c>
      <c r="C957" s="6">
        <v>45641</v>
      </c>
      <c r="D957" t="s">
        <v>69</v>
      </c>
      <c r="E957" t="s">
        <v>2074</v>
      </c>
      <c r="F957" t="str">
        <f>_xlfn.XLOOKUP(E957,Table8[City],Table8[State])</f>
        <v>Maharashtra</v>
      </c>
      <c r="G957" t="str">
        <f>_xlfn.XLOOKUP(E957,Table8[City],Table8[Region])</f>
        <v>West</v>
      </c>
      <c r="H957" t="s">
        <v>18</v>
      </c>
      <c r="I957" t="str">
        <f>_xlfn.XLOOKUP(H957,Table6[Product],Table6[Category])</f>
        <v>Electronics</v>
      </c>
      <c r="J957" t="s">
        <v>55</v>
      </c>
      <c r="K957">
        <v>1</v>
      </c>
      <c r="L957">
        <f>_xlfn.XLOOKUP(H957,Table6[Product],Table6[Unit Price])</f>
        <v>35000</v>
      </c>
      <c r="M957">
        <f>_xlfn.XLOOKUP(H957,Table6[Product],Table6[Cost Price])</f>
        <v>28000</v>
      </c>
      <c r="N957" s="7">
        <v>7.0000000000000007E-2</v>
      </c>
      <c r="O957">
        <f t="shared" si="42"/>
        <v>32549.999999999996</v>
      </c>
      <c r="P957">
        <f t="shared" si="43"/>
        <v>28000</v>
      </c>
      <c r="Q957">
        <f t="shared" si="44"/>
        <v>4549.9999999999964</v>
      </c>
      <c r="R957" t="s">
        <v>44</v>
      </c>
      <c r="S957" t="s">
        <v>50</v>
      </c>
    </row>
    <row r="958" spans="1:19" ht="18" x14ac:dyDescent="0.5">
      <c r="A958" t="s">
        <v>1028</v>
      </c>
      <c r="B958" t="s">
        <v>2027</v>
      </c>
      <c r="C958" s="6">
        <v>45685</v>
      </c>
      <c r="D958" t="s">
        <v>63</v>
      </c>
      <c r="E958" t="s">
        <v>2079</v>
      </c>
      <c r="F958" t="str">
        <f>_xlfn.XLOOKUP(E958,Table8[City],Table8[State])</f>
        <v>Gujarat</v>
      </c>
      <c r="G958" t="str">
        <f>_xlfn.XLOOKUP(E958,Table8[City],Table8[Region])</f>
        <v>West</v>
      </c>
      <c r="H958" t="s">
        <v>29</v>
      </c>
      <c r="I958" t="str">
        <f>_xlfn.XLOOKUP(H958,Table6[Product],Table6[Category])</f>
        <v>Electronics</v>
      </c>
      <c r="J958" t="s">
        <v>60</v>
      </c>
      <c r="K958">
        <v>6</v>
      </c>
      <c r="L958">
        <f>_xlfn.XLOOKUP(H958,Table6[Product],Table6[Unit Price])</f>
        <v>5000</v>
      </c>
      <c r="M958">
        <f>_xlfn.XLOOKUP(H958,Table6[Product],Table6[Cost Price])</f>
        <v>3200</v>
      </c>
      <c r="N958" s="7">
        <v>0.26</v>
      </c>
      <c r="O958">
        <f t="shared" si="42"/>
        <v>22200</v>
      </c>
      <c r="P958">
        <f t="shared" si="43"/>
        <v>19200</v>
      </c>
      <c r="Q958">
        <f t="shared" si="44"/>
        <v>3000</v>
      </c>
      <c r="R958" t="s">
        <v>45</v>
      </c>
      <c r="S958" t="s">
        <v>52</v>
      </c>
    </row>
    <row r="959" spans="1:19" ht="18" x14ac:dyDescent="0.5">
      <c r="A959" t="s">
        <v>1029</v>
      </c>
      <c r="B959" t="s">
        <v>2028</v>
      </c>
      <c r="C959" s="6">
        <v>45561</v>
      </c>
      <c r="D959" t="s">
        <v>2095</v>
      </c>
      <c r="E959" t="s">
        <v>2072</v>
      </c>
      <c r="F959" t="str">
        <f>_xlfn.XLOOKUP(E959,Table8[City],Table8[State])</f>
        <v>Karnataka</v>
      </c>
      <c r="G959" t="str">
        <f>_xlfn.XLOOKUP(E959,Table8[City],Table8[Region])</f>
        <v>South</v>
      </c>
      <c r="H959" t="s">
        <v>25</v>
      </c>
      <c r="I959" t="str">
        <f>_xlfn.XLOOKUP(H959,Table6[Product],Table6[Category])</f>
        <v>Accessories</v>
      </c>
      <c r="J959" t="s">
        <v>60</v>
      </c>
      <c r="K959">
        <v>8</v>
      </c>
      <c r="L959">
        <f>_xlfn.XLOOKUP(H959,Table6[Product],Table6[Unit Price])</f>
        <v>800</v>
      </c>
      <c r="M959">
        <f>_xlfn.XLOOKUP(H959,Table6[Product],Table6[Cost Price])</f>
        <v>450</v>
      </c>
      <c r="N959" s="7">
        <v>0.26</v>
      </c>
      <c r="O959">
        <f t="shared" si="42"/>
        <v>4736</v>
      </c>
      <c r="P959">
        <f t="shared" si="43"/>
        <v>3600</v>
      </c>
      <c r="Q959">
        <f t="shared" si="44"/>
        <v>1136</v>
      </c>
      <c r="R959" t="s">
        <v>43</v>
      </c>
      <c r="S959" t="s">
        <v>50</v>
      </c>
    </row>
    <row r="960" spans="1:19" ht="18" x14ac:dyDescent="0.5">
      <c r="A960" t="s">
        <v>1030</v>
      </c>
      <c r="B960" t="s">
        <v>2029</v>
      </c>
      <c r="C960" s="6">
        <v>45700</v>
      </c>
      <c r="D960" t="s">
        <v>2092</v>
      </c>
      <c r="E960" t="s">
        <v>2074</v>
      </c>
      <c r="F960" t="str">
        <f>_xlfn.XLOOKUP(E960,Table8[City],Table8[State])</f>
        <v>Maharashtra</v>
      </c>
      <c r="G960" t="str">
        <f>_xlfn.XLOOKUP(E960,Table8[City],Table8[Region])</f>
        <v>West</v>
      </c>
      <c r="H960" t="s">
        <v>29</v>
      </c>
      <c r="I960" t="str">
        <f>_xlfn.XLOOKUP(H960,Table6[Product],Table6[Category])</f>
        <v>Electronics</v>
      </c>
      <c r="J960" t="s">
        <v>61</v>
      </c>
      <c r="K960">
        <v>8</v>
      </c>
      <c r="L960">
        <f>_xlfn.XLOOKUP(H960,Table6[Product],Table6[Unit Price])</f>
        <v>5000</v>
      </c>
      <c r="M960">
        <f>_xlfn.XLOOKUP(H960,Table6[Product],Table6[Cost Price])</f>
        <v>3200</v>
      </c>
      <c r="N960" s="7">
        <v>0.2</v>
      </c>
      <c r="O960">
        <f t="shared" si="42"/>
        <v>32000</v>
      </c>
      <c r="P960">
        <f t="shared" si="43"/>
        <v>25600</v>
      </c>
      <c r="Q960">
        <f t="shared" si="44"/>
        <v>6400</v>
      </c>
      <c r="R960" t="s">
        <v>46</v>
      </c>
      <c r="S960" t="s">
        <v>52</v>
      </c>
    </row>
    <row r="961" spans="1:19" ht="18" x14ac:dyDescent="0.5">
      <c r="A961" t="s">
        <v>1031</v>
      </c>
      <c r="B961" t="s">
        <v>2030</v>
      </c>
      <c r="C961" s="6">
        <v>45648</v>
      </c>
      <c r="D961" t="s">
        <v>2098</v>
      </c>
      <c r="E961" t="s">
        <v>2104</v>
      </c>
      <c r="F961" t="str">
        <f>_xlfn.XLOOKUP(E961,Table8[City],Table8[State])</f>
        <v>Delhi</v>
      </c>
      <c r="G961" t="str">
        <f>_xlfn.XLOOKUP(E961,Table8[City],Table8[Region])</f>
        <v>North</v>
      </c>
      <c r="H961" t="s">
        <v>25</v>
      </c>
      <c r="I961" t="str">
        <f>_xlfn.XLOOKUP(H961,Table6[Product],Table6[Category])</f>
        <v>Accessories</v>
      </c>
      <c r="J961" t="s">
        <v>56</v>
      </c>
      <c r="K961">
        <v>4</v>
      </c>
      <c r="L961">
        <f>_xlfn.XLOOKUP(H961,Table6[Product],Table6[Unit Price])</f>
        <v>800</v>
      </c>
      <c r="M961">
        <f>_xlfn.XLOOKUP(H961,Table6[Product],Table6[Cost Price])</f>
        <v>450</v>
      </c>
      <c r="N961" s="7">
        <v>0.2</v>
      </c>
      <c r="O961">
        <f t="shared" si="42"/>
        <v>2560</v>
      </c>
      <c r="P961">
        <f t="shared" si="43"/>
        <v>1800</v>
      </c>
      <c r="Q961">
        <f t="shared" si="44"/>
        <v>760</v>
      </c>
      <c r="R961" t="s">
        <v>43</v>
      </c>
      <c r="S961" t="s">
        <v>50</v>
      </c>
    </row>
    <row r="962" spans="1:19" ht="18" x14ac:dyDescent="0.5">
      <c r="A962" t="s">
        <v>1032</v>
      </c>
      <c r="B962" t="s">
        <v>2031</v>
      </c>
      <c r="C962" s="6">
        <v>45602</v>
      </c>
      <c r="D962" t="s">
        <v>2083</v>
      </c>
      <c r="E962" t="s">
        <v>2076</v>
      </c>
      <c r="F962" t="str">
        <f>_xlfn.XLOOKUP(E962,Table8[City],Table8[State])</f>
        <v>Tamil Nadu</v>
      </c>
      <c r="G962" t="str">
        <f>_xlfn.XLOOKUP(E962,Table8[City],Table8[Region])</f>
        <v>South</v>
      </c>
      <c r="H962" t="s">
        <v>25</v>
      </c>
      <c r="I962" t="str">
        <f>_xlfn.XLOOKUP(H962,Table6[Product],Table6[Category])</f>
        <v>Accessories</v>
      </c>
      <c r="J962" t="s">
        <v>58</v>
      </c>
      <c r="K962">
        <v>5</v>
      </c>
      <c r="L962">
        <f>_xlfn.XLOOKUP(H962,Table6[Product],Table6[Unit Price])</f>
        <v>800</v>
      </c>
      <c r="M962">
        <f>_xlfn.XLOOKUP(H962,Table6[Product],Table6[Cost Price])</f>
        <v>450</v>
      </c>
      <c r="N962" s="7">
        <v>0.19</v>
      </c>
      <c r="O962">
        <f t="shared" si="42"/>
        <v>3240</v>
      </c>
      <c r="P962">
        <f t="shared" si="43"/>
        <v>2250</v>
      </c>
      <c r="Q962">
        <f t="shared" si="44"/>
        <v>990</v>
      </c>
      <c r="R962" t="s">
        <v>47</v>
      </c>
      <c r="S962" t="s">
        <v>49</v>
      </c>
    </row>
    <row r="963" spans="1:19" ht="18" x14ac:dyDescent="0.5">
      <c r="A963" t="s">
        <v>1033</v>
      </c>
      <c r="B963" t="s">
        <v>2032</v>
      </c>
      <c r="C963" s="6">
        <v>45386</v>
      </c>
      <c r="D963" t="s">
        <v>2087</v>
      </c>
      <c r="E963" t="s">
        <v>70</v>
      </c>
      <c r="F963" t="str">
        <f>_xlfn.XLOOKUP(E963,Table8[City],Table8[State])</f>
        <v>Karnataka</v>
      </c>
      <c r="G963" t="str">
        <f>_xlfn.XLOOKUP(E963,Table8[City],Table8[Region])</f>
        <v>South</v>
      </c>
      <c r="H963" t="s">
        <v>29</v>
      </c>
      <c r="I963" t="str">
        <f>_xlfn.XLOOKUP(H963,Table6[Product],Table6[Category])</f>
        <v>Electronics</v>
      </c>
      <c r="J963" t="s">
        <v>63</v>
      </c>
      <c r="K963">
        <v>1</v>
      </c>
      <c r="L963">
        <f>_xlfn.XLOOKUP(H963,Table6[Product],Table6[Unit Price])</f>
        <v>5000</v>
      </c>
      <c r="M963">
        <f>_xlfn.XLOOKUP(H963,Table6[Product],Table6[Cost Price])</f>
        <v>3200</v>
      </c>
      <c r="N963" s="7">
        <v>0.1</v>
      </c>
      <c r="O963">
        <f t="shared" ref="O963:O1001" si="45">(L963*K963)*(1-N963)</f>
        <v>4500</v>
      </c>
      <c r="P963">
        <f t="shared" ref="P963:P1001" si="46">M963*K963</f>
        <v>3200</v>
      </c>
      <c r="Q963">
        <f t="shared" ref="Q963:Q1001" si="47">O963-P963</f>
        <v>1300</v>
      </c>
      <c r="R963" t="s">
        <v>46</v>
      </c>
      <c r="S963" t="s">
        <v>51</v>
      </c>
    </row>
    <row r="964" spans="1:19" ht="18" x14ac:dyDescent="0.5">
      <c r="A964" t="s">
        <v>1034</v>
      </c>
      <c r="B964" t="s">
        <v>2033</v>
      </c>
      <c r="C964" s="6">
        <v>45381</v>
      </c>
      <c r="D964" t="s">
        <v>2091</v>
      </c>
      <c r="E964" t="s">
        <v>2075</v>
      </c>
      <c r="F964" t="str">
        <f>_xlfn.XLOOKUP(E964,Table8[City],Table8[State])</f>
        <v>Tamil Nadu</v>
      </c>
      <c r="G964" t="str">
        <f>_xlfn.XLOOKUP(E964,Table8[City],Table8[Region])</f>
        <v>South</v>
      </c>
      <c r="H964" t="s">
        <v>28</v>
      </c>
      <c r="I964" t="str">
        <f>_xlfn.XLOOKUP(H964,Table6[Product],Table6[Category])</f>
        <v>Office</v>
      </c>
      <c r="J964" t="s">
        <v>56</v>
      </c>
      <c r="K964">
        <v>10</v>
      </c>
      <c r="L964">
        <f>_xlfn.XLOOKUP(H964,Table6[Product],Table6[Unit Price])</f>
        <v>18000</v>
      </c>
      <c r="M964">
        <f>_xlfn.XLOOKUP(H964,Table6[Product],Table6[Cost Price])</f>
        <v>14000</v>
      </c>
      <c r="N964" s="7">
        <v>0.21</v>
      </c>
      <c r="O964">
        <f t="shared" si="45"/>
        <v>142200</v>
      </c>
      <c r="P964">
        <f t="shared" si="46"/>
        <v>140000</v>
      </c>
      <c r="Q964">
        <f t="shared" si="47"/>
        <v>2200</v>
      </c>
      <c r="R964" t="s">
        <v>45</v>
      </c>
      <c r="S964" t="s">
        <v>49</v>
      </c>
    </row>
    <row r="965" spans="1:19" ht="18" x14ac:dyDescent="0.5">
      <c r="A965" t="s">
        <v>1035</v>
      </c>
      <c r="B965" t="s">
        <v>2034</v>
      </c>
      <c r="C965" s="6">
        <v>45799</v>
      </c>
      <c r="D965" t="s">
        <v>2083</v>
      </c>
      <c r="E965" t="s">
        <v>2080</v>
      </c>
      <c r="F965" t="str">
        <f>_xlfn.XLOOKUP(E965,Table8[City],Table8[State])</f>
        <v>Gujarat</v>
      </c>
      <c r="G965" t="str">
        <f>_xlfn.XLOOKUP(E965,Table8[City],Table8[Region])</f>
        <v>West</v>
      </c>
      <c r="H965" t="s">
        <v>24</v>
      </c>
      <c r="I965" t="str">
        <f>_xlfn.XLOOKUP(H965,Table6[Product],Table6[Category])</f>
        <v>Accessories</v>
      </c>
      <c r="J965" t="s">
        <v>61</v>
      </c>
      <c r="K965">
        <v>10</v>
      </c>
      <c r="L965">
        <f>_xlfn.XLOOKUP(H965,Table6[Product],Table6[Unit Price])</f>
        <v>1500</v>
      </c>
      <c r="M965">
        <f>_xlfn.XLOOKUP(H965,Table6[Product],Table6[Cost Price])</f>
        <v>900</v>
      </c>
      <c r="N965" s="7">
        <v>0.03</v>
      </c>
      <c r="O965">
        <f t="shared" si="45"/>
        <v>14550</v>
      </c>
      <c r="P965">
        <f t="shared" si="46"/>
        <v>9000</v>
      </c>
      <c r="Q965">
        <f t="shared" si="47"/>
        <v>5550</v>
      </c>
      <c r="R965" t="s">
        <v>44</v>
      </c>
      <c r="S965" t="s">
        <v>50</v>
      </c>
    </row>
    <row r="966" spans="1:19" ht="18" x14ac:dyDescent="0.5">
      <c r="A966" t="s">
        <v>1036</v>
      </c>
      <c r="B966" t="s">
        <v>2035</v>
      </c>
      <c r="C966" s="6">
        <v>45903</v>
      </c>
      <c r="D966" t="s">
        <v>2093</v>
      </c>
      <c r="E966" t="s">
        <v>2080</v>
      </c>
      <c r="F966" t="str">
        <f>_xlfn.XLOOKUP(E966,Table8[City],Table8[State])</f>
        <v>Gujarat</v>
      </c>
      <c r="G966" t="str">
        <f>_xlfn.XLOOKUP(E966,Table8[City],Table8[Region])</f>
        <v>West</v>
      </c>
      <c r="H966" t="s">
        <v>26</v>
      </c>
      <c r="I966" t="str">
        <f>_xlfn.XLOOKUP(H966,Table6[Product],Table6[Category])</f>
        <v>Office</v>
      </c>
      <c r="J966" t="s">
        <v>62</v>
      </c>
      <c r="K966">
        <v>8</v>
      </c>
      <c r="L966">
        <f>_xlfn.XLOOKUP(H966,Table6[Product],Table6[Unit Price])</f>
        <v>15000</v>
      </c>
      <c r="M966">
        <f>_xlfn.XLOOKUP(H966,Table6[Product],Table6[Cost Price])</f>
        <v>11500</v>
      </c>
      <c r="N966" s="7">
        <v>0.06</v>
      </c>
      <c r="O966">
        <f t="shared" si="45"/>
        <v>112800</v>
      </c>
      <c r="P966">
        <f t="shared" si="46"/>
        <v>92000</v>
      </c>
      <c r="Q966">
        <f t="shared" si="47"/>
        <v>20800</v>
      </c>
      <c r="R966" t="s">
        <v>43</v>
      </c>
      <c r="S966" t="s">
        <v>50</v>
      </c>
    </row>
    <row r="967" spans="1:19" ht="18" x14ac:dyDescent="0.5">
      <c r="A967" t="s">
        <v>1037</v>
      </c>
      <c r="B967" t="s">
        <v>2036</v>
      </c>
      <c r="C967" s="6">
        <v>45441</v>
      </c>
      <c r="D967" t="s">
        <v>2090</v>
      </c>
      <c r="E967" t="s">
        <v>2079</v>
      </c>
      <c r="F967" t="str">
        <f>_xlfn.XLOOKUP(E967,Table8[City],Table8[State])</f>
        <v>Gujarat</v>
      </c>
      <c r="G967" t="str">
        <f>_xlfn.XLOOKUP(E967,Table8[City],Table8[Region])</f>
        <v>West</v>
      </c>
      <c r="H967" t="s">
        <v>18</v>
      </c>
      <c r="I967" t="str">
        <f>_xlfn.XLOOKUP(H967,Table6[Product],Table6[Category])</f>
        <v>Electronics</v>
      </c>
      <c r="J967" t="s">
        <v>56</v>
      </c>
      <c r="K967">
        <v>6</v>
      </c>
      <c r="L967">
        <f>_xlfn.XLOOKUP(H967,Table6[Product],Table6[Unit Price])</f>
        <v>35000</v>
      </c>
      <c r="M967">
        <f>_xlfn.XLOOKUP(H967,Table6[Product],Table6[Cost Price])</f>
        <v>28000</v>
      </c>
      <c r="N967" s="7">
        <v>0.28999999999999998</v>
      </c>
      <c r="O967">
        <f t="shared" si="45"/>
        <v>149100</v>
      </c>
      <c r="P967">
        <f t="shared" si="46"/>
        <v>168000</v>
      </c>
      <c r="Q967">
        <f t="shared" si="47"/>
        <v>-18900</v>
      </c>
      <c r="R967" t="s">
        <v>47</v>
      </c>
      <c r="S967" t="s">
        <v>50</v>
      </c>
    </row>
    <row r="968" spans="1:19" ht="18" x14ac:dyDescent="0.5">
      <c r="A968" t="s">
        <v>1038</v>
      </c>
      <c r="B968" t="s">
        <v>2037</v>
      </c>
      <c r="C968" s="6">
        <v>45767</v>
      </c>
      <c r="D968" t="s">
        <v>2098</v>
      </c>
      <c r="E968" t="s">
        <v>70</v>
      </c>
      <c r="F968" t="str">
        <f>_xlfn.XLOOKUP(E968,Table8[City],Table8[State])</f>
        <v>Karnataka</v>
      </c>
      <c r="G968" t="str">
        <f>_xlfn.XLOOKUP(E968,Table8[City],Table8[Region])</f>
        <v>South</v>
      </c>
      <c r="H968" t="s">
        <v>24</v>
      </c>
      <c r="I968" t="str">
        <f>_xlfn.XLOOKUP(H968,Table6[Product],Table6[Category])</f>
        <v>Accessories</v>
      </c>
      <c r="J968" t="s">
        <v>56</v>
      </c>
      <c r="K968">
        <v>9</v>
      </c>
      <c r="L968">
        <f>_xlfn.XLOOKUP(H968,Table6[Product],Table6[Unit Price])</f>
        <v>1500</v>
      </c>
      <c r="M968">
        <f>_xlfn.XLOOKUP(H968,Table6[Product],Table6[Cost Price])</f>
        <v>900</v>
      </c>
      <c r="N968" s="7">
        <v>0.08</v>
      </c>
      <c r="O968">
        <f t="shared" si="45"/>
        <v>12420</v>
      </c>
      <c r="P968">
        <f t="shared" si="46"/>
        <v>8100</v>
      </c>
      <c r="Q968">
        <f t="shared" si="47"/>
        <v>4320</v>
      </c>
      <c r="R968" t="s">
        <v>45</v>
      </c>
      <c r="S968" t="s">
        <v>49</v>
      </c>
    </row>
    <row r="969" spans="1:19" ht="18" x14ac:dyDescent="0.5">
      <c r="A969" t="s">
        <v>1039</v>
      </c>
      <c r="B969" t="s">
        <v>2038</v>
      </c>
      <c r="C969" s="6">
        <v>45734</v>
      </c>
      <c r="D969" t="s">
        <v>2094</v>
      </c>
      <c r="E969" t="s">
        <v>2104</v>
      </c>
      <c r="F969" t="str">
        <f>_xlfn.XLOOKUP(E969,Table8[City],Table8[State])</f>
        <v>Delhi</v>
      </c>
      <c r="G969" t="str">
        <f>_xlfn.XLOOKUP(E969,Table8[City],Table8[Region])</f>
        <v>North</v>
      </c>
      <c r="H969" t="s">
        <v>20</v>
      </c>
      <c r="I969" t="str">
        <f>_xlfn.XLOOKUP(H969,Table6[Product],Table6[Category])</f>
        <v>Accessories</v>
      </c>
      <c r="J969" t="s">
        <v>61</v>
      </c>
      <c r="K969">
        <v>3</v>
      </c>
      <c r="L969">
        <f>_xlfn.XLOOKUP(H969,Table6[Product],Table6[Unit Price])</f>
        <v>3000</v>
      </c>
      <c r="M969">
        <f>_xlfn.XLOOKUP(H969,Table6[Product],Table6[Cost Price])</f>
        <v>1800</v>
      </c>
      <c r="N969" s="7">
        <v>0.27</v>
      </c>
      <c r="O969">
        <f t="shared" si="45"/>
        <v>6570</v>
      </c>
      <c r="P969">
        <f t="shared" si="46"/>
        <v>5400</v>
      </c>
      <c r="Q969">
        <f t="shared" si="47"/>
        <v>1170</v>
      </c>
      <c r="R969" t="s">
        <v>45</v>
      </c>
      <c r="S969" t="s">
        <v>49</v>
      </c>
    </row>
    <row r="970" spans="1:19" ht="18" x14ac:dyDescent="0.5">
      <c r="A970" t="s">
        <v>1040</v>
      </c>
      <c r="B970" t="s">
        <v>2039</v>
      </c>
      <c r="C970" s="6">
        <v>45970</v>
      </c>
      <c r="D970" t="s">
        <v>2086</v>
      </c>
      <c r="E970" t="s">
        <v>2074</v>
      </c>
      <c r="F970" t="str">
        <f>_xlfn.XLOOKUP(E970,Table8[City],Table8[State])</f>
        <v>Maharashtra</v>
      </c>
      <c r="G970" t="str">
        <f>_xlfn.XLOOKUP(E970,Table8[City],Table8[Region])</f>
        <v>West</v>
      </c>
      <c r="H970" t="s">
        <v>28</v>
      </c>
      <c r="I970" t="str">
        <f>_xlfn.XLOOKUP(H970,Table6[Product],Table6[Category])</f>
        <v>Office</v>
      </c>
      <c r="J970" t="s">
        <v>60</v>
      </c>
      <c r="K970">
        <v>5</v>
      </c>
      <c r="L970">
        <f>_xlfn.XLOOKUP(H970,Table6[Product],Table6[Unit Price])</f>
        <v>18000</v>
      </c>
      <c r="M970">
        <f>_xlfn.XLOOKUP(H970,Table6[Product],Table6[Cost Price])</f>
        <v>14000</v>
      </c>
      <c r="N970" s="7">
        <v>0.26</v>
      </c>
      <c r="O970">
        <f t="shared" si="45"/>
        <v>66600</v>
      </c>
      <c r="P970">
        <f t="shared" si="46"/>
        <v>70000</v>
      </c>
      <c r="Q970">
        <f t="shared" si="47"/>
        <v>-3400</v>
      </c>
      <c r="R970" t="s">
        <v>43</v>
      </c>
      <c r="S970" t="s">
        <v>49</v>
      </c>
    </row>
    <row r="971" spans="1:19" ht="18" x14ac:dyDescent="0.5">
      <c r="A971" t="s">
        <v>1041</v>
      </c>
      <c r="B971" t="s">
        <v>2040</v>
      </c>
      <c r="C971" s="6">
        <v>46011</v>
      </c>
      <c r="D971" t="s">
        <v>2092</v>
      </c>
      <c r="E971" t="s">
        <v>70</v>
      </c>
      <c r="F971" t="str">
        <f>_xlfn.XLOOKUP(E971,Table8[City],Table8[State])</f>
        <v>Karnataka</v>
      </c>
      <c r="G971" t="str">
        <f>_xlfn.XLOOKUP(E971,Table8[City],Table8[Region])</f>
        <v>South</v>
      </c>
      <c r="H971" t="s">
        <v>26</v>
      </c>
      <c r="I971" t="str">
        <f>_xlfn.XLOOKUP(H971,Table6[Product],Table6[Category])</f>
        <v>Office</v>
      </c>
      <c r="J971" t="s">
        <v>61</v>
      </c>
      <c r="K971">
        <v>3</v>
      </c>
      <c r="L971">
        <f>_xlfn.XLOOKUP(H971,Table6[Product],Table6[Unit Price])</f>
        <v>15000</v>
      </c>
      <c r="M971">
        <f>_xlfn.XLOOKUP(H971,Table6[Product],Table6[Cost Price])</f>
        <v>11500</v>
      </c>
      <c r="N971" s="7">
        <v>0.08</v>
      </c>
      <c r="O971">
        <f t="shared" si="45"/>
        <v>41400</v>
      </c>
      <c r="P971">
        <f t="shared" si="46"/>
        <v>34500</v>
      </c>
      <c r="Q971">
        <f t="shared" si="47"/>
        <v>6900</v>
      </c>
      <c r="R971" t="s">
        <v>45</v>
      </c>
      <c r="S971" t="s">
        <v>49</v>
      </c>
    </row>
    <row r="972" spans="1:19" ht="18" x14ac:dyDescent="0.5">
      <c r="A972" t="s">
        <v>1042</v>
      </c>
      <c r="B972" t="s">
        <v>2041</v>
      </c>
      <c r="C972" s="6">
        <v>45917</v>
      </c>
      <c r="D972" t="s">
        <v>2096</v>
      </c>
      <c r="E972" t="s">
        <v>2079</v>
      </c>
      <c r="F972" t="str">
        <f>_xlfn.XLOOKUP(E972,Table8[City],Table8[State])</f>
        <v>Gujarat</v>
      </c>
      <c r="G972" t="str">
        <f>_xlfn.XLOOKUP(E972,Table8[City],Table8[Region])</f>
        <v>West</v>
      </c>
      <c r="H972" t="s">
        <v>24</v>
      </c>
      <c r="I972" t="str">
        <f>_xlfn.XLOOKUP(H972,Table6[Product],Table6[Category])</f>
        <v>Accessories</v>
      </c>
      <c r="J972" t="s">
        <v>60</v>
      </c>
      <c r="K972">
        <v>9</v>
      </c>
      <c r="L972">
        <f>_xlfn.XLOOKUP(H972,Table6[Product],Table6[Unit Price])</f>
        <v>1500</v>
      </c>
      <c r="M972">
        <f>_xlfn.XLOOKUP(H972,Table6[Product],Table6[Cost Price])</f>
        <v>900</v>
      </c>
      <c r="N972" s="7">
        <v>0.08</v>
      </c>
      <c r="O972">
        <f t="shared" si="45"/>
        <v>12420</v>
      </c>
      <c r="P972">
        <f t="shared" si="46"/>
        <v>8100</v>
      </c>
      <c r="Q972">
        <f t="shared" si="47"/>
        <v>4320</v>
      </c>
      <c r="R972" t="s">
        <v>45</v>
      </c>
      <c r="S972" t="s">
        <v>51</v>
      </c>
    </row>
    <row r="973" spans="1:19" ht="18" x14ac:dyDescent="0.5">
      <c r="A973" t="s">
        <v>1043</v>
      </c>
      <c r="B973" t="s">
        <v>2042</v>
      </c>
      <c r="C973" s="6">
        <v>45747</v>
      </c>
      <c r="D973" t="s">
        <v>2088</v>
      </c>
      <c r="E973" t="s">
        <v>2080</v>
      </c>
      <c r="F973" t="str">
        <f>_xlfn.XLOOKUP(E973,Table8[City],Table8[State])</f>
        <v>Gujarat</v>
      </c>
      <c r="G973" t="str">
        <f>_xlfn.XLOOKUP(E973,Table8[City],Table8[Region])</f>
        <v>West</v>
      </c>
      <c r="H973" t="s">
        <v>25</v>
      </c>
      <c r="I973" t="str">
        <f>_xlfn.XLOOKUP(H973,Table6[Product],Table6[Category])</f>
        <v>Accessories</v>
      </c>
      <c r="J973" t="s">
        <v>62</v>
      </c>
      <c r="K973">
        <v>6</v>
      </c>
      <c r="L973">
        <f>_xlfn.XLOOKUP(H973,Table6[Product],Table6[Unit Price])</f>
        <v>800</v>
      </c>
      <c r="M973">
        <f>_xlfn.XLOOKUP(H973,Table6[Product],Table6[Cost Price])</f>
        <v>450</v>
      </c>
      <c r="N973" s="7">
        <v>0.1</v>
      </c>
      <c r="O973">
        <f t="shared" si="45"/>
        <v>4320</v>
      </c>
      <c r="P973">
        <f t="shared" si="46"/>
        <v>2700</v>
      </c>
      <c r="Q973">
        <f t="shared" si="47"/>
        <v>1620</v>
      </c>
      <c r="R973" t="s">
        <v>44</v>
      </c>
      <c r="S973" t="s">
        <v>50</v>
      </c>
    </row>
    <row r="974" spans="1:19" ht="18" x14ac:dyDescent="0.5">
      <c r="A974" t="s">
        <v>1044</v>
      </c>
      <c r="B974" t="s">
        <v>2043</v>
      </c>
      <c r="C974" s="6">
        <v>45579</v>
      </c>
      <c r="D974" t="s">
        <v>2097</v>
      </c>
      <c r="E974" t="s">
        <v>2078</v>
      </c>
      <c r="F974" t="str">
        <f>_xlfn.XLOOKUP(E974,Table8[City],Table8[State])</f>
        <v>Telangana</v>
      </c>
      <c r="G974" t="str">
        <f>_xlfn.XLOOKUP(E974,Table8[City],Table8[Region])</f>
        <v>South</v>
      </c>
      <c r="H974" t="s">
        <v>18</v>
      </c>
      <c r="I974" t="str">
        <f>_xlfn.XLOOKUP(H974,Table6[Product],Table6[Category])</f>
        <v>Electronics</v>
      </c>
      <c r="J974" t="s">
        <v>56</v>
      </c>
      <c r="K974">
        <v>2</v>
      </c>
      <c r="L974">
        <f>_xlfn.XLOOKUP(H974,Table6[Product],Table6[Unit Price])</f>
        <v>35000</v>
      </c>
      <c r="M974">
        <f>_xlfn.XLOOKUP(H974,Table6[Product],Table6[Cost Price])</f>
        <v>28000</v>
      </c>
      <c r="N974" s="7">
        <v>0.16</v>
      </c>
      <c r="O974">
        <f t="shared" si="45"/>
        <v>58800</v>
      </c>
      <c r="P974">
        <f t="shared" si="46"/>
        <v>56000</v>
      </c>
      <c r="Q974">
        <f t="shared" si="47"/>
        <v>2800</v>
      </c>
      <c r="R974" t="s">
        <v>47</v>
      </c>
      <c r="S974" t="s">
        <v>50</v>
      </c>
    </row>
    <row r="975" spans="1:19" ht="18" x14ac:dyDescent="0.5">
      <c r="A975" t="s">
        <v>1045</v>
      </c>
      <c r="B975" t="s">
        <v>2044</v>
      </c>
      <c r="C975" s="6">
        <v>45749</v>
      </c>
      <c r="D975" t="s">
        <v>2092</v>
      </c>
      <c r="E975" t="s">
        <v>2072</v>
      </c>
      <c r="F975" t="str">
        <f>_xlfn.XLOOKUP(E975,Table8[City],Table8[State])</f>
        <v>Karnataka</v>
      </c>
      <c r="G975" t="str">
        <f>_xlfn.XLOOKUP(E975,Table8[City],Table8[Region])</f>
        <v>South</v>
      </c>
      <c r="H975" t="s">
        <v>16</v>
      </c>
      <c r="I975" t="str">
        <f>_xlfn.XLOOKUP(H975,Table6[Product],Table6[Category])</f>
        <v>Electronics</v>
      </c>
      <c r="J975" t="s">
        <v>59</v>
      </c>
      <c r="K975">
        <v>1</v>
      </c>
      <c r="L975">
        <f>_xlfn.XLOOKUP(H975,Table6[Product],Table6[Unit Price])</f>
        <v>65000</v>
      </c>
      <c r="M975">
        <f>_xlfn.XLOOKUP(H975,Table6[Product],Table6[Cost Price])</f>
        <v>52000</v>
      </c>
      <c r="N975" s="7">
        <v>0.09</v>
      </c>
      <c r="O975">
        <f t="shared" si="45"/>
        <v>59150</v>
      </c>
      <c r="P975">
        <f t="shared" si="46"/>
        <v>52000</v>
      </c>
      <c r="Q975">
        <f t="shared" si="47"/>
        <v>7150</v>
      </c>
      <c r="R975" t="s">
        <v>46</v>
      </c>
      <c r="S975" t="s">
        <v>51</v>
      </c>
    </row>
    <row r="976" spans="1:19" ht="18" x14ac:dyDescent="0.5">
      <c r="A976" t="s">
        <v>1046</v>
      </c>
      <c r="B976" t="s">
        <v>2045</v>
      </c>
      <c r="C976" s="6">
        <v>45990</v>
      </c>
      <c r="D976" t="s">
        <v>2093</v>
      </c>
      <c r="E976" t="s">
        <v>2075</v>
      </c>
      <c r="F976" t="str">
        <f>_xlfn.XLOOKUP(E976,Table8[City],Table8[State])</f>
        <v>Tamil Nadu</v>
      </c>
      <c r="G976" t="str">
        <f>_xlfn.XLOOKUP(E976,Table8[City],Table8[Region])</f>
        <v>South</v>
      </c>
      <c r="H976" t="s">
        <v>26</v>
      </c>
      <c r="I976" t="str">
        <f>_xlfn.XLOOKUP(H976,Table6[Product],Table6[Category])</f>
        <v>Office</v>
      </c>
      <c r="J976" t="s">
        <v>60</v>
      </c>
      <c r="K976">
        <v>4</v>
      </c>
      <c r="L976">
        <f>_xlfn.XLOOKUP(H976,Table6[Product],Table6[Unit Price])</f>
        <v>15000</v>
      </c>
      <c r="M976">
        <f>_xlfn.XLOOKUP(H976,Table6[Product],Table6[Cost Price])</f>
        <v>11500</v>
      </c>
      <c r="N976" s="7">
        <v>0.22</v>
      </c>
      <c r="O976">
        <f t="shared" si="45"/>
        <v>46800</v>
      </c>
      <c r="P976">
        <f t="shared" si="46"/>
        <v>46000</v>
      </c>
      <c r="Q976">
        <f t="shared" si="47"/>
        <v>800</v>
      </c>
      <c r="R976" t="s">
        <v>46</v>
      </c>
      <c r="S976" t="s">
        <v>50</v>
      </c>
    </row>
    <row r="977" spans="1:19" ht="18" x14ac:dyDescent="0.5">
      <c r="A977" t="s">
        <v>1047</v>
      </c>
      <c r="B977" t="s">
        <v>2046</v>
      </c>
      <c r="C977" s="6">
        <v>45888</v>
      </c>
      <c r="D977" t="s">
        <v>2099</v>
      </c>
      <c r="E977" t="s">
        <v>70</v>
      </c>
      <c r="F977" t="str">
        <f>_xlfn.XLOOKUP(E977,Table8[City],Table8[State])</f>
        <v>Karnataka</v>
      </c>
      <c r="G977" t="str">
        <f>_xlfn.XLOOKUP(E977,Table8[City],Table8[Region])</f>
        <v>South</v>
      </c>
      <c r="H977" t="s">
        <v>26</v>
      </c>
      <c r="I977" t="str">
        <f>_xlfn.XLOOKUP(H977,Table6[Product],Table6[Category])</f>
        <v>Office</v>
      </c>
      <c r="J977" t="s">
        <v>60</v>
      </c>
      <c r="K977">
        <v>6</v>
      </c>
      <c r="L977">
        <f>_xlfn.XLOOKUP(H977,Table6[Product],Table6[Unit Price])</f>
        <v>15000</v>
      </c>
      <c r="M977">
        <f>_xlfn.XLOOKUP(H977,Table6[Product],Table6[Cost Price])</f>
        <v>11500</v>
      </c>
      <c r="N977" s="7">
        <v>0.24</v>
      </c>
      <c r="O977">
        <f t="shared" si="45"/>
        <v>68400</v>
      </c>
      <c r="P977">
        <f t="shared" si="46"/>
        <v>69000</v>
      </c>
      <c r="Q977">
        <f t="shared" si="47"/>
        <v>-600</v>
      </c>
      <c r="R977" t="s">
        <v>47</v>
      </c>
      <c r="S977" t="s">
        <v>50</v>
      </c>
    </row>
    <row r="978" spans="1:19" ht="18" x14ac:dyDescent="0.5">
      <c r="A978" t="s">
        <v>1048</v>
      </c>
      <c r="B978" t="s">
        <v>2047</v>
      </c>
      <c r="C978" s="6">
        <v>45734</v>
      </c>
      <c r="D978" t="s">
        <v>69</v>
      </c>
      <c r="E978" t="s">
        <v>2077</v>
      </c>
      <c r="F978" t="str">
        <f>_xlfn.XLOOKUP(E978,Table8[City],Table8[State])</f>
        <v>Telangana</v>
      </c>
      <c r="G978" t="str">
        <f>_xlfn.XLOOKUP(E978,Table8[City],Table8[Region])</f>
        <v>South</v>
      </c>
      <c r="H978" t="s">
        <v>22</v>
      </c>
      <c r="I978" t="str">
        <f>_xlfn.XLOOKUP(H978,Table6[Product],Table6[Category])</f>
        <v>Wearables</v>
      </c>
      <c r="J978" t="s">
        <v>54</v>
      </c>
      <c r="K978">
        <v>9</v>
      </c>
      <c r="L978">
        <f>_xlfn.XLOOKUP(H978,Table6[Product],Table6[Unit Price])</f>
        <v>12000</v>
      </c>
      <c r="M978">
        <f>_xlfn.XLOOKUP(H978,Table6[Product],Table6[Cost Price])</f>
        <v>8500</v>
      </c>
      <c r="N978" s="7">
        <v>0.01</v>
      </c>
      <c r="O978">
        <f t="shared" si="45"/>
        <v>106920</v>
      </c>
      <c r="P978">
        <f t="shared" si="46"/>
        <v>76500</v>
      </c>
      <c r="Q978">
        <f t="shared" si="47"/>
        <v>30420</v>
      </c>
      <c r="R978" t="s">
        <v>45</v>
      </c>
      <c r="S978" t="s">
        <v>52</v>
      </c>
    </row>
    <row r="979" spans="1:19" ht="18" x14ac:dyDescent="0.5">
      <c r="A979" t="s">
        <v>1049</v>
      </c>
      <c r="B979" t="s">
        <v>2048</v>
      </c>
      <c r="C979" s="6">
        <v>45828</v>
      </c>
      <c r="D979" t="s">
        <v>2098</v>
      </c>
      <c r="E979" t="s">
        <v>2106</v>
      </c>
      <c r="F979" t="str">
        <f>_xlfn.XLOOKUP(E979,Table8[City],Table8[State])</f>
        <v>West Bengal</v>
      </c>
      <c r="G979" t="str">
        <f>_xlfn.XLOOKUP(E979,Table8[City],Table8[Region])</f>
        <v>East</v>
      </c>
      <c r="H979" t="s">
        <v>19</v>
      </c>
      <c r="I979" t="str">
        <f>_xlfn.XLOOKUP(H979,Table6[Product],Table6[Category])</f>
        <v>Electronics</v>
      </c>
      <c r="J979" t="s">
        <v>61</v>
      </c>
      <c r="K979">
        <v>7</v>
      </c>
      <c r="L979">
        <f>_xlfn.XLOOKUP(H979,Table6[Product],Table6[Unit Price])</f>
        <v>25000</v>
      </c>
      <c r="M979">
        <f>_xlfn.XLOOKUP(H979,Table6[Product],Table6[Cost Price])</f>
        <v>20000</v>
      </c>
      <c r="N979" s="7">
        <v>0.22</v>
      </c>
      <c r="O979">
        <f t="shared" si="45"/>
        <v>136500</v>
      </c>
      <c r="P979">
        <f t="shared" si="46"/>
        <v>140000</v>
      </c>
      <c r="Q979">
        <f t="shared" si="47"/>
        <v>-3500</v>
      </c>
      <c r="R979" t="s">
        <v>47</v>
      </c>
      <c r="S979" t="s">
        <v>50</v>
      </c>
    </row>
    <row r="980" spans="1:19" ht="18" x14ac:dyDescent="0.5">
      <c r="A980" t="s">
        <v>1050</v>
      </c>
      <c r="B980" t="s">
        <v>2049</v>
      </c>
      <c r="C980" s="6">
        <v>45770</v>
      </c>
      <c r="D980" t="s">
        <v>2086</v>
      </c>
      <c r="E980" t="s">
        <v>2072</v>
      </c>
      <c r="F980" t="str">
        <f>_xlfn.XLOOKUP(E980,Table8[City],Table8[State])</f>
        <v>Karnataka</v>
      </c>
      <c r="G980" t="str">
        <f>_xlfn.XLOOKUP(E980,Table8[City],Table8[Region])</f>
        <v>South</v>
      </c>
      <c r="H980" t="s">
        <v>19</v>
      </c>
      <c r="I980" t="str">
        <f>_xlfn.XLOOKUP(H980,Table6[Product],Table6[Category])</f>
        <v>Electronics</v>
      </c>
      <c r="J980" t="s">
        <v>63</v>
      </c>
      <c r="K980">
        <v>2</v>
      </c>
      <c r="L980">
        <f>_xlfn.XLOOKUP(H980,Table6[Product],Table6[Unit Price])</f>
        <v>25000</v>
      </c>
      <c r="M980">
        <f>_xlfn.XLOOKUP(H980,Table6[Product],Table6[Cost Price])</f>
        <v>20000</v>
      </c>
      <c r="N980" s="7">
        <v>0.24</v>
      </c>
      <c r="O980">
        <f t="shared" si="45"/>
        <v>38000</v>
      </c>
      <c r="P980">
        <f t="shared" si="46"/>
        <v>40000</v>
      </c>
      <c r="Q980">
        <f t="shared" si="47"/>
        <v>-2000</v>
      </c>
      <c r="R980" t="s">
        <v>46</v>
      </c>
      <c r="S980" t="s">
        <v>51</v>
      </c>
    </row>
    <row r="981" spans="1:19" ht="18" x14ac:dyDescent="0.5">
      <c r="A981" t="s">
        <v>1051</v>
      </c>
      <c r="B981" t="s">
        <v>2050</v>
      </c>
      <c r="C981" s="6">
        <v>45782</v>
      </c>
      <c r="D981" t="s">
        <v>2086</v>
      </c>
      <c r="E981" t="s">
        <v>2078</v>
      </c>
      <c r="F981" t="str">
        <f>_xlfn.XLOOKUP(E981,Table8[City],Table8[State])</f>
        <v>Telangana</v>
      </c>
      <c r="G981" t="str">
        <f>_xlfn.XLOOKUP(E981,Table8[City],Table8[Region])</f>
        <v>South</v>
      </c>
      <c r="H981" t="s">
        <v>18</v>
      </c>
      <c r="I981" t="str">
        <f>_xlfn.XLOOKUP(H981,Table6[Product],Table6[Category])</f>
        <v>Electronics</v>
      </c>
      <c r="J981" t="s">
        <v>61</v>
      </c>
      <c r="K981">
        <v>10</v>
      </c>
      <c r="L981">
        <f>_xlfn.XLOOKUP(H981,Table6[Product],Table6[Unit Price])</f>
        <v>35000</v>
      </c>
      <c r="M981">
        <f>_xlfn.XLOOKUP(H981,Table6[Product],Table6[Cost Price])</f>
        <v>28000</v>
      </c>
      <c r="N981" s="7">
        <v>7.0000000000000007E-2</v>
      </c>
      <c r="O981">
        <f t="shared" si="45"/>
        <v>325500</v>
      </c>
      <c r="P981">
        <f t="shared" si="46"/>
        <v>280000</v>
      </c>
      <c r="Q981">
        <f t="shared" si="47"/>
        <v>45500</v>
      </c>
      <c r="R981" t="s">
        <v>47</v>
      </c>
      <c r="S981" t="s">
        <v>49</v>
      </c>
    </row>
    <row r="982" spans="1:19" ht="18" x14ac:dyDescent="0.5">
      <c r="A982" t="s">
        <v>1052</v>
      </c>
      <c r="B982" t="s">
        <v>2051</v>
      </c>
      <c r="C982" s="6">
        <v>45443</v>
      </c>
      <c r="D982" t="s">
        <v>2094</v>
      </c>
      <c r="E982" t="s">
        <v>2077</v>
      </c>
      <c r="F982" t="str">
        <f>_xlfn.XLOOKUP(E982,Table8[City],Table8[State])</f>
        <v>Telangana</v>
      </c>
      <c r="G982" t="str">
        <f>_xlfn.XLOOKUP(E982,Table8[City],Table8[Region])</f>
        <v>South</v>
      </c>
      <c r="H982" t="s">
        <v>26</v>
      </c>
      <c r="I982" t="str">
        <f>_xlfn.XLOOKUP(H982,Table6[Product],Table6[Category])</f>
        <v>Office</v>
      </c>
      <c r="J982" t="s">
        <v>60</v>
      </c>
      <c r="K982">
        <v>10</v>
      </c>
      <c r="L982">
        <f>_xlfn.XLOOKUP(H982,Table6[Product],Table6[Unit Price])</f>
        <v>15000</v>
      </c>
      <c r="M982">
        <f>_xlfn.XLOOKUP(H982,Table6[Product],Table6[Cost Price])</f>
        <v>11500</v>
      </c>
      <c r="N982" s="7">
        <v>0.12</v>
      </c>
      <c r="O982">
        <f t="shared" si="45"/>
        <v>132000</v>
      </c>
      <c r="P982">
        <f t="shared" si="46"/>
        <v>115000</v>
      </c>
      <c r="Q982">
        <f t="shared" si="47"/>
        <v>17000</v>
      </c>
      <c r="R982" t="s">
        <v>47</v>
      </c>
      <c r="S982" t="s">
        <v>50</v>
      </c>
    </row>
    <row r="983" spans="1:19" ht="18" x14ac:dyDescent="0.5">
      <c r="A983" t="s">
        <v>1053</v>
      </c>
      <c r="B983" t="s">
        <v>2052</v>
      </c>
      <c r="C983" s="6">
        <v>46002</v>
      </c>
      <c r="D983" t="s">
        <v>2086</v>
      </c>
      <c r="E983" t="s">
        <v>2074</v>
      </c>
      <c r="F983" t="str">
        <f>_xlfn.XLOOKUP(E983,Table8[City],Table8[State])</f>
        <v>Maharashtra</v>
      </c>
      <c r="G983" t="str">
        <f>_xlfn.XLOOKUP(E983,Table8[City],Table8[Region])</f>
        <v>West</v>
      </c>
      <c r="H983" t="s">
        <v>29</v>
      </c>
      <c r="I983" t="str">
        <f>_xlfn.XLOOKUP(H983,Table6[Product],Table6[Category])</f>
        <v>Electronics</v>
      </c>
      <c r="J983" t="s">
        <v>54</v>
      </c>
      <c r="K983">
        <v>2</v>
      </c>
      <c r="L983">
        <f>_xlfn.XLOOKUP(H983,Table6[Product],Table6[Unit Price])</f>
        <v>5000</v>
      </c>
      <c r="M983">
        <f>_xlfn.XLOOKUP(H983,Table6[Product],Table6[Cost Price])</f>
        <v>3200</v>
      </c>
      <c r="N983" s="7">
        <v>0.12</v>
      </c>
      <c r="O983">
        <f t="shared" si="45"/>
        <v>8800</v>
      </c>
      <c r="P983">
        <f t="shared" si="46"/>
        <v>6400</v>
      </c>
      <c r="Q983">
        <f t="shared" si="47"/>
        <v>2400</v>
      </c>
      <c r="R983" t="s">
        <v>46</v>
      </c>
      <c r="S983" t="s">
        <v>52</v>
      </c>
    </row>
    <row r="984" spans="1:19" ht="18" x14ac:dyDescent="0.5">
      <c r="A984" t="s">
        <v>1054</v>
      </c>
      <c r="B984" t="s">
        <v>2053</v>
      </c>
      <c r="C984" s="6">
        <v>45651</v>
      </c>
      <c r="D984" t="s">
        <v>2086</v>
      </c>
      <c r="E984" t="s">
        <v>2074</v>
      </c>
      <c r="F984" t="str">
        <f>_xlfn.XLOOKUP(E984,Table8[City],Table8[State])</f>
        <v>Maharashtra</v>
      </c>
      <c r="G984" t="str">
        <f>_xlfn.XLOOKUP(E984,Table8[City],Table8[Region])</f>
        <v>West</v>
      </c>
      <c r="H984" t="s">
        <v>16</v>
      </c>
      <c r="I984" t="str">
        <f>_xlfn.XLOOKUP(H984,Table6[Product],Table6[Category])</f>
        <v>Electronics</v>
      </c>
      <c r="J984" t="s">
        <v>62</v>
      </c>
      <c r="K984">
        <v>2</v>
      </c>
      <c r="L984">
        <f>_xlfn.XLOOKUP(H984,Table6[Product],Table6[Unit Price])</f>
        <v>65000</v>
      </c>
      <c r="M984">
        <f>_xlfn.XLOOKUP(H984,Table6[Product],Table6[Cost Price])</f>
        <v>52000</v>
      </c>
      <c r="N984" s="7">
        <v>0.28000000000000003</v>
      </c>
      <c r="O984">
        <f t="shared" si="45"/>
        <v>93600</v>
      </c>
      <c r="P984">
        <f t="shared" si="46"/>
        <v>104000</v>
      </c>
      <c r="Q984">
        <f t="shared" si="47"/>
        <v>-10400</v>
      </c>
      <c r="R984" t="s">
        <v>44</v>
      </c>
      <c r="S984" t="s">
        <v>50</v>
      </c>
    </row>
    <row r="985" spans="1:19" ht="18" x14ac:dyDescent="0.5">
      <c r="A985" t="s">
        <v>1055</v>
      </c>
      <c r="B985" t="s">
        <v>2054</v>
      </c>
      <c r="C985" s="6">
        <v>45429</v>
      </c>
      <c r="D985" t="s">
        <v>2084</v>
      </c>
      <c r="E985" t="s">
        <v>2074</v>
      </c>
      <c r="F985" t="str">
        <f>_xlfn.XLOOKUP(E985,Table8[City],Table8[State])</f>
        <v>Maharashtra</v>
      </c>
      <c r="G985" t="str">
        <f>_xlfn.XLOOKUP(E985,Table8[City],Table8[Region])</f>
        <v>West</v>
      </c>
      <c r="H985" t="s">
        <v>25</v>
      </c>
      <c r="I985" t="str">
        <f>_xlfn.XLOOKUP(H985,Table6[Product],Table6[Category])</f>
        <v>Accessories</v>
      </c>
      <c r="J985" t="s">
        <v>62</v>
      </c>
      <c r="K985">
        <v>3</v>
      </c>
      <c r="L985">
        <f>_xlfn.XLOOKUP(H985,Table6[Product],Table6[Unit Price])</f>
        <v>800</v>
      </c>
      <c r="M985">
        <f>_xlfn.XLOOKUP(H985,Table6[Product],Table6[Cost Price])</f>
        <v>450</v>
      </c>
      <c r="N985" s="7">
        <v>0</v>
      </c>
      <c r="O985">
        <f t="shared" si="45"/>
        <v>2400</v>
      </c>
      <c r="P985">
        <f t="shared" si="46"/>
        <v>1350</v>
      </c>
      <c r="Q985">
        <f t="shared" si="47"/>
        <v>1050</v>
      </c>
      <c r="R985" t="s">
        <v>43</v>
      </c>
      <c r="S985" t="s">
        <v>52</v>
      </c>
    </row>
    <row r="986" spans="1:19" ht="18" x14ac:dyDescent="0.5">
      <c r="A986" t="s">
        <v>1056</v>
      </c>
      <c r="B986" t="s">
        <v>2055</v>
      </c>
      <c r="C986" s="6">
        <v>45842</v>
      </c>
      <c r="D986" t="s">
        <v>2083</v>
      </c>
      <c r="E986" t="s">
        <v>2072</v>
      </c>
      <c r="F986" t="str">
        <f>_xlfn.XLOOKUP(E986,Table8[City],Table8[State])</f>
        <v>Karnataka</v>
      </c>
      <c r="G986" t="str">
        <f>_xlfn.XLOOKUP(E986,Table8[City],Table8[Region])</f>
        <v>South</v>
      </c>
      <c r="H986" t="s">
        <v>25</v>
      </c>
      <c r="I986" t="str">
        <f>_xlfn.XLOOKUP(H986,Table6[Product],Table6[Category])</f>
        <v>Accessories</v>
      </c>
      <c r="J986" t="s">
        <v>63</v>
      </c>
      <c r="K986">
        <v>10</v>
      </c>
      <c r="L986">
        <f>_xlfn.XLOOKUP(H986,Table6[Product],Table6[Unit Price])</f>
        <v>800</v>
      </c>
      <c r="M986">
        <f>_xlfn.XLOOKUP(H986,Table6[Product],Table6[Cost Price])</f>
        <v>450</v>
      </c>
      <c r="N986" s="7">
        <v>0.12</v>
      </c>
      <c r="O986">
        <f t="shared" si="45"/>
        <v>7040</v>
      </c>
      <c r="P986">
        <f t="shared" si="46"/>
        <v>4500</v>
      </c>
      <c r="Q986">
        <f t="shared" si="47"/>
        <v>2540</v>
      </c>
      <c r="R986" t="s">
        <v>44</v>
      </c>
      <c r="S986" t="s">
        <v>51</v>
      </c>
    </row>
    <row r="987" spans="1:19" ht="18" x14ac:dyDescent="0.5">
      <c r="A987" t="s">
        <v>1057</v>
      </c>
      <c r="B987" t="s">
        <v>2056</v>
      </c>
      <c r="C987" s="6">
        <v>46002</v>
      </c>
      <c r="D987" t="s">
        <v>2084</v>
      </c>
      <c r="E987" t="s">
        <v>2077</v>
      </c>
      <c r="F987" t="str">
        <f>_xlfn.XLOOKUP(E987,Table8[City],Table8[State])</f>
        <v>Telangana</v>
      </c>
      <c r="G987" t="str">
        <f>_xlfn.XLOOKUP(E987,Table8[City],Table8[Region])</f>
        <v>South</v>
      </c>
      <c r="H987" t="s">
        <v>26</v>
      </c>
      <c r="I987" t="str">
        <f>_xlfn.XLOOKUP(H987,Table6[Product],Table6[Category])</f>
        <v>Office</v>
      </c>
      <c r="J987" t="s">
        <v>61</v>
      </c>
      <c r="K987">
        <v>6</v>
      </c>
      <c r="L987">
        <f>_xlfn.XLOOKUP(H987,Table6[Product],Table6[Unit Price])</f>
        <v>15000</v>
      </c>
      <c r="M987">
        <f>_xlfn.XLOOKUP(H987,Table6[Product],Table6[Cost Price])</f>
        <v>11500</v>
      </c>
      <c r="N987" s="7">
        <v>0</v>
      </c>
      <c r="O987">
        <f t="shared" si="45"/>
        <v>90000</v>
      </c>
      <c r="P987">
        <f t="shared" si="46"/>
        <v>69000</v>
      </c>
      <c r="Q987">
        <f t="shared" si="47"/>
        <v>21000</v>
      </c>
      <c r="R987" t="s">
        <v>47</v>
      </c>
      <c r="S987" t="s">
        <v>52</v>
      </c>
    </row>
    <row r="988" spans="1:19" ht="18" x14ac:dyDescent="0.5">
      <c r="A988" t="s">
        <v>1058</v>
      </c>
      <c r="B988" t="s">
        <v>2057</v>
      </c>
      <c r="C988" s="6">
        <v>45586</v>
      </c>
      <c r="D988" t="s">
        <v>2086</v>
      </c>
      <c r="E988" t="s">
        <v>2080</v>
      </c>
      <c r="F988" t="str">
        <f>_xlfn.XLOOKUP(E988,Table8[City],Table8[State])</f>
        <v>Gujarat</v>
      </c>
      <c r="G988" t="str">
        <f>_xlfn.XLOOKUP(E988,Table8[City],Table8[Region])</f>
        <v>West</v>
      </c>
      <c r="H988" t="s">
        <v>24</v>
      </c>
      <c r="I988" t="str">
        <f>_xlfn.XLOOKUP(H988,Table6[Product],Table6[Category])</f>
        <v>Accessories</v>
      </c>
      <c r="J988" t="s">
        <v>55</v>
      </c>
      <c r="K988">
        <v>7</v>
      </c>
      <c r="L988">
        <f>_xlfn.XLOOKUP(H988,Table6[Product],Table6[Unit Price])</f>
        <v>1500</v>
      </c>
      <c r="M988">
        <f>_xlfn.XLOOKUP(H988,Table6[Product],Table6[Cost Price])</f>
        <v>900</v>
      </c>
      <c r="N988" s="7">
        <v>0.05</v>
      </c>
      <c r="O988">
        <f t="shared" si="45"/>
        <v>9975</v>
      </c>
      <c r="P988">
        <f t="shared" si="46"/>
        <v>6300</v>
      </c>
      <c r="Q988">
        <f t="shared" si="47"/>
        <v>3675</v>
      </c>
      <c r="R988" t="s">
        <v>44</v>
      </c>
      <c r="S988" t="s">
        <v>51</v>
      </c>
    </row>
    <row r="989" spans="1:19" ht="18" x14ac:dyDescent="0.5">
      <c r="A989" t="s">
        <v>1059</v>
      </c>
      <c r="B989" t="s">
        <v>2058</v>
      </c>
      <c r="C989" s="6">
        <v>45613</v>
      </c>
      <c r="D989" t="s">
        <v>63</v>
      </c>
      <c r="E989" t="s">
        <v>2074</v>
      </c>
      <c r="F989" t="str">
        <f>_xlfn.XLOOKUP(E989,Table8[City],Table8[State])</f>
        <v>Maharashtra</v>
      </c>
      <c r="G989" t="str">
        <f>_xlfn.XLOOKUP(E989,Table8[City],Table8[Region])</f>
        <v>West</v>
      </c>
      <c r="H989" t="s">
        <v>19</v>
      </c>
      <c r="I989" t="str">
        <f>_xlfn.XLOOKUP(H989,Table6[Product],Table6[Category])</f>
        <v>Electronics</v>
      </c>
      <c r="J989" t="s">
        <v>58</v>
      </c>
      <c r="K989">
        <v>7</v>
      </c>
      <c r="L989">
        <f>_xlfn.XLOOKUP(H989,Table6[Product],Table6[Unit Price])</f>
        <v>25000</v>
      </c>
      <c r="M989">
        <f>_xlfn.XLOOKUP(H989,Table6[Product],Table6[Cost Price])</f>
        <v>20000</v>
      </c>
      <c r="N989" s="7">
        <v>0.27</v>
      </c>
      <c r="O989">
        <f t="shared" si="45"/>
        <v>127750</v>
      </c>
      <c r="P989">
        <f t="shared" si="46"/>
        <v>140000</v>
      </c>
      <c r="Q989">
        <f t="shared" si="47"/>
        <v>-12250</v>
      </c>
      <c r="R989" t="s">
        <v>47</v>
      </c>
      <c r="S989" t="s">
        <v>50</v>
      </c>
    </row>
    <row r="990" spans="1:19" ht="18" x14ac:dyDescent="0.5">
      <c r="A990" t="s">
        <v>1060</v>
      </c>
      <c r="B990" t="s">
        <v>2059</v>
      </c>
      <c r="C990" s="6">
        <v>45662</v>
      </c>
      <c r="D990" t="s">
        <v>2094</v>
      </c>
      <c r="E990" t="s">
        <v>2105</v>
      </c>
      <c r="F990" t="str">
        <f>_xlfn.XLOOKUP(E990,Table8[City],Table8[State])</f>
        <v>Rajasthan</v>
      </c>
      <c r="G990" t="str">
        <f>_xlfn.XLOOKUP(E990,Table8[City],Table8[Region])</f>
        <v>North</v>
      </c>
      <c r="H990" t="s">
        <v>16</v>
      </c>
      <c r="I990" t="str">
        <f>_xlfn.XLOOKUP(H990,Table6[Product],Table6[Category])</f>
        <v>Electronics</v>
      </c>
      <c r="J990" t="s">
        <v>63</v>
      </c>
      <c r="K990">
        <v>9</v>
      </c>
      <c r="L990">
        <f>_xlfn.XLOOKUP(H990,Table6[Product],Table6[Unit Price])</f>
        <v>65000</v>
      </c>
      <c r="M990">
        <f>_xlfn.XLOOKUP(H990,Table6[Product],Table6[Cost Price])</f>
        <v>52000</v>
      </c>
      <c r="N990" s="7">
        <v>0.15</v>
      </c>
      <c r="O990">
        <f t="shared" si="45"/>
        <v>497250</v>
      </c>
      <c r="P990">
        <f t="shared" si="46"/>
        <v>468000</v>
      </c>
      <c r="Q990">
        <f t="shared" si="47"/>
        <v>29250</v>
      </c>
      <c r="R990" t="s">
        <v>45</v>
      </c>
      <c r="S990" t="s">
        <v>50</v>
      </c>
    </row>
    <row r="991" spans="1:19" ht="18" x14ac:dyDescent="0.5">
      <c r="A991" t="s">
        <v>1061</v>
      </c>
      <c r="B991" t="s">
        <v>2060</v>
      </c>
      <c r="C991" s="6">
        <v>45541</v>
      </c>
      <c r="D991" t="s">
        <v>2090</v>
      </c>
      <c r="E991" t="s">
        <v>2105</v>
      </c>
      <c r="F991" t="str">
        <f>_xlfn.XLOOKUP(E991,Table8[City],Table8[State])</f>
        <v>Rajasthan</v>
      </c>
      <c r="G991" t="str">
        <f>_xlfn.XLOOKUP(E991,Table8[City],Table8[Region])</f>
        <v>North</v>
      </c>
      <c r="H991" t="s">
        <v>20</v>
      </c>
      <c r="I991" t="str">
        <f>_xlfn.XLOOKUP(H991,Table6[Product],Table6[Category])</f>
        <v>Accessories</v>
      </c>
      <c r="J991" t="s">
        <v>62</v>
      </c>
      <c r="K991">
        <v>5</v>
      </c>
      <c r="L991">
        <f>_xlfn.XLOOKUP(H991,Table6[Product],Table6[Unit Price])</f>
        <v>3000</v>
      </c>
      <c r="M991">
        <f>_xlfn.XLOOKUP(H991,Table6[Product],Table6[Cost Price])</f>
        <v>1800</v>
      </c>
      <c r="N991" s="7">
        <v>0.3</v>
      </c>
      <c r="O991">
        <f t="shared" si="45"/>
        <v>10500</v>
      </c>
      <c r="P991">
        <f t="shared" si="46"/>
        <v>9000</v>
      </c>
      <c r="Q991">
        <f t="shared" si="47"/>
        <v>1500</v>
      </c>
      <c r="R991" t="s">
        <v>43</v>
      </c>
      <c r="S991" t="s">
        <v>50</v>
      </c>
    </row>
    <row r="992" spans="1:19" ht="18" x14ac:dyDescent="0.5">
      <c r="A992" t="s">
        <v>1062</v>
      </c>
      <c r="B992" t="s">
        <v>2061</v>
      </c>
      <c r="C992" s="6">
        <v>45517</v>
      </c>
      <c r="D992" t="s">
        <v>2083</v>
      </c>
      <c r="E992" t="s">
        <v>2072</v>
      </c>
      <c r="F992" t="str">
        <f>_xlfn.XLOOKUP(E992,Table8[City],Table8[State])</f>
        <v>Karnataka</v>
      </c>
      <c r="G992" t="str">
        <f>_xlfn.XLOOKUP(E992,Table8[City],Table8[Region])</f>
        <v>South</v>
      </c>
      <c r="H992" t="s">
        <v>26</v>
      </c>
      <c r="I992" t="str">
        <f>_xlfn.XLOOKUP(H992,Table6[Product],Table6[Category])</f>
        <v>Office</v>
      </c>
      <c r="J992" t="s">
        <v>63</v>
      </c>
      <c r="K992">
        <v>9</v>
      </c>
      <c r="L992">
        <f>_xlfn.XLOOKUP(H992,Table6[Product],Table6[Unit Price])</f>
        <v>15000</v>
      </c>
      <c r="M992">
        <f>_xlfn.XLOOKUP(H992,Table6[Product],Table6[Cost Price])</f>
        <v>11500</v>
      </c>
      <c r="N992" s="7">
        <v>0</v>
      </c>
      <c r="O992">
        <f t="shared" si="45"/>
        <v>135000</v>
      </c>
      <c r="P992">
        <f t="shared" si="46"/>
        <v>103500</v>
      </c>
      <c r="Q992">
        <f t="shared" si="47"/>
        <v>31500</v>
      </c>
      <c r="R992" t="s">
        <v>46</v>
      </c>
      <c r="S992" t="s">
        <v>52</v>
      </c>
    </row>
    <row r="993" spans="1:19" ht="18" x14ac:dyDescent="0.5">
      <c r="A993" t="s">
        <v>1063</v>
      </c>
      <c r="B993" t="s">
        <v>2062</v>
      </c>
      <c r="C993" s="6">
        <v>45918</v>
      </c>
      <c r="D993" t="s">
        <v>2098</v>
      </c>
      <c r="E993" t="s">
        <v>2076</v>
      </c>
      <c r="F993" t="str">
        <f>_xlfn.XLOOKUP(E993,Table8[City],Table8[State])</f>
        <v>Tamil Nadu</v>
      </c>
      <c r="G993" t="str">
        <f>_xlfn.XLOOKUP(E993,Table8[City],Table8[Region])</f>
        <v>South</v>
      </c>
      <c r="H993" t="s">
        <v>16</v>
      </c>
      <c r="I993" t="str">
        <f>_xlfn.XLOOKUP(H993,Table6[Product],Table6[Category])</f>
        <v>Electronics</v>
      </c>
      <c r="J993" t="s">
        <v>63</v>
      </c>
      <c r="K993">
        <v>1</v>
      </c>
      <c r="L993">
        <f>_xlfn.XLOOKUP(H993,Table6[Product],Table6[Unit Price])</f>
        <v>65000</v>
      </c>
      <c r="M993">
        <f>_xlfn.XLOOKUP(H993,Table6[Product],Table6[Cost Price])</f>
        <v>52000</v>
      </c>
      <c r="N993" s="7">
        <v>0.06</v>
      </c>
      <c r="O993">
        <f t="shared" si="45"/>
        <v>61100</v>
      </c>
      <c r="P993">
        <f t="shared" si="46"/>
        <v>52000</v>
      </c>
      <c r="Q993">
        <f t="shared" si="47"/>
        <v>9100</v>
      </c>
      <c r="R993" t="s">
        <v>46</v>
      </c>
      <c r="S993" t="s">
        <v>51</v>
      </c>
    </row>
    <row r="994" spans="1:19" ht="18" x14ac:dyDescent="0.5">
      <c r="A994" t="s">
        <v>1064</v>
      </c>
      <c r="B994" t="s">
        <v>2063</v>
      </c>
      <c r="C994" s="6">
        <v>45516</v>
      </c>
      <c r="D994" t="s">
        <v>2087</v>
      </c>
      <c r="E994" t="s">
        <v>2106</v>
      </c>
      <c r="F994" t="str">
        <f>_xlfn.XLOOKUP(E994,Table8[City],Table8[State])</f>
        <v>West Bengal</v>
      </c>
      <c r="G994" t="str">
        <f>_xlfn.XLOOKUP(E994,Table8[City],Table8[Region])</f>
        <v>East</v>
      </c>
      <c r="H994" t="s">
        <v>19</v>
      </c>
      <c r="I994" t="str">
        <f>_xlfn.XLOOKUP(H994,Table6[Product],Table6[Category])</f>
        <v>Electronics</v>
      </c>
      <c r="J994" t="s">
        <v>54</v>
      </c>
      <c r="K994">
        <v>9</v>
      </c>
      <c r="L994">
        <f>_xlfn.XLOOKUP(H994,Table6[Product],Table6[Unit Price])</f>
        <v>25000</v>
      </c>
      <c r="M994">
        <f>_xlfn.XLOOKUP(H994,Table6[Product],Table6[Cost Price])</f>
        <v>20000</v>
      </c>
      <c r="N994" s="7">
        <v>0.14000000000000001</v>
      </c>
      <c r="O994">
        <f t="shared" si="45"/>
        <v>193500</v>
      </c>
      <c r="P994">
        <f t="shared" si="46"/>
        <v>180000</v>
      </c>
      <c r="Q994">
        <f t="shared" si="47"/>
        <v>13500</v>
      </c>
      <c r="R994" t="s">
        <v>44</v>
      </c>
      <c r="S994" t="s">
        <v>49</v>
      </c>
    </row>
    <row r="995" spans="1:19" ht="18" x14ac:dyDescent="0.5">
      <c r="A995" t="s">
        <v>1065</v>
      </c>
      <c r="B995" t="s">
        <v>2064</v>
      </c>
      <c r="C995" s="6">
        <v>45886</v>
      </c>
      <c r="D995" t="s">
        <v>63</v>
      </c>
      <c r="E995" t="s">
        <v>2079</v>
      </c>
      <c r="F995" t="str">
        <f>_xlfn.XLOOKUP(E995,Table8[City],Table8[State])</f>
        <v>Gujarat</v>
      </c>
      <c r="G995" t="str">
        <f>_xlfn.XLOOKUP(E995,Table8[City],Table8[Region])</f>
        <v>West</v>
      </c>
      <c r="H995" t="s">
        <v>24</v>
      </c>
      <c r="I995" t="str">
        <f>_xlfn.XLOOKUP(H995,Table6[Product],Table6[Category])</f>
        <v>Accessories</v>
      </c>
      <c r="J995" t="s">
        <v>58</v>
      </c>
      <c r="K995">
        <v>10</v>
      </c>
      <c r="L995">
        <f>_xlfn.XLOOKUP(H995,Table6[Product],Table6[Unit Price])</f>
        <v>1500</v>
      </c>
      <c r="M995">
        <f>_xlfn.XLOOKUP(H995,Table6[Product],Table6[Cost Price])</f>
        <v>900</v>
      </c>
      <c r="N995" s="7">
        <v>0.06</v>
      </c>
      <c r="O995">
        <f t="shared" si="45"/>
        <v>14100</v>
      </c>
      <c r="P995">
        <f t="shared" si="46"/>
        <v>9000</v>
      </c>
      <c r="Q995">
        <f t="shared" si="47"/>
        <v>5100</v>
      </c>
      <c r="R995" t="s">
        <v>44</v>
      </c>
      <c r="S995" t="s">
        <v>50</v>
      </c>
    </row>
    <row r="996" spans="1:19" ht="18" x14ac:dyDescent="0.5">
      <c r="A996" t="s">
        <v>1066</v>
      </c>
      <c r="B996" t="s">
        <v>2065</v>
      </c>
      <c r="C996" s="6">
        <v>45877</v>
      </c>
      <c r="D996" t="s">
        <v>2088</v>
      </c>
      <c r="E996" t="s">
        <v>2073</v>
      </c>
      <c r="F996" t="str">
        <f>_xlfn.XLOOKUP(E996,Table8[City],Table8[State])</f>
        <v>Maharashtra</v>
      </c>
      <c r="G996" t="str">
        <f>_xlfn.XLOOKUP(E996,Table8[City],Table8[Region])</f>
        <v>West</v>
      </c>
      <c r="H996" t="s">
        <v>25</v>
      </c>
      <c r="I996" t="str">
        <f>_xlfn.XLOOKUP(H996,Table6[Product],Table6[Category])</f>
        <v>Accessories</v>
      </c>
      <c r="J996" t="s">
        <v>59</v>
      </c>
      <c r="K996">
        <v>9</v>
      </c>
      <c r="L996">
        <f>_xlfn.XLOOKUP(H996,Table6[Product],Table6[Unit Price])</f>
        <v>800</v>
      </c>
      <c r="M996">
        <f>_xlfn.XLOOKUP(H996,Table6[Product],Table6[Cost Price])</f>
        <v>450</v>
      </c>
      <c r="N996" s="7">
        <v>0.03</v>
      </c>
      <c r="O996">
        <f t="shared" si="45"/>
        <v>6984</v>
      </c>
      <c r="P996">
        <f t="shared" si="46"/>
        <v>4050</v>
      </c>
      <c r="Q996">
        <f t="shared" si="47"/>
        <v>2934</v>
      </c>
      <c r="R996" t="s">
        <v>43</v>
      </c>
      <c r="S996" t="s">
        <v>51</v>
      </c>
    </row>
    <row r="997" spans="1:19" ht="18" x14ac:dyDescent="0.5">
      <c r="A997" t="s">
        <v>1067</v>
      </c>
      <c r="B997" t="s">
        <v>2066</v>
      </c>
      <c r="C997" s="6">
        <v>45493</v>
      </c>
      <c r="D997" t="s">
        <v>2085</v>
      </c>
      <c r="E997" t="s">
        <v>2076</v>
      </c>
      <c r="F997" t="str">
        <f>_xlfn.XLOOKUP(E997,Table8[City],Table8[State])</f>
        <v>Tamil Nadu</v>
      </c>
      <c r="G997" t="str">
        <f>_xlfn.XLOOKUP(E997,Table8[City],Table8[Region])</f>
        <v>South</v>
      </c>
      <c r="H997" t="s">
        <v>18</v>
      </c>
      <c r="I997" t="str">
        <f>_xlfn.XLOOKUP(H997,Table6[Product],Table6[Category])</f>
        <v>Electronics</v>
      </c>
      <c r="J997" t="s">
        <v>55</v>
      </c>
      <c r="K997">
        <v>5</v>
      </c>
      <c r="L997">
        <f>_xlfn.XLOOKUP(H997,Table6[Product],Table6[Unit Price])</f>
        <v>35000</v>
      </c>
      <c r="M997">
        <f>_xlfn.XLOOKUP(H997,Table6[Product],Table6[Cost Price])</f>
        <v>28000</v>
      </c>
      <c r="N997" s="7">
        <v>0.05</v>
      </c>
      <c r="O997">
        <f t="shared" si="45"/>
        <v>166250</v>
      </c>
      <c r="P997">
        <f t="shared" si="46"/>
        <v>140000</v>
      </c>
      <c r="Q997">
        <f t="shared" si="47"/>
        <v>26250</v>
      </c>
      <c r="R997" t="s">
        <v>43</v>
      </c>
      <c r="S997" t="s">
        <v>51</v>
      </c>
    </row>
    <row r="998" spans="1:19" ht="18" x14ac:dyDescent="0.5">
      <c r="A998" t="s">
        <v>1068</v>
      </c>
      <c r="B998" t="s">
        <v>2067</v>
      </c>
      <c r="C998" s="6">
        <v>45685</v>
      </c>
      <c r="D998" t="s">
        <v>2088</v>
      </c>
      <c r="E998" t="s">
        <v>2072</v>
      </c>
      <c r="F998" t="str">
        <f>_xlfn.XLOOKUP(E998,Table8[City],Table8[State])</f>
        <v>Karnataka</v>
      </c>
      <c r="G998" t="str">
        <f>_xlfn.XLOOKUP(E998,Table8[City],Table8[Region])</f>
        <v>South</v>
      </c>
      <c r="H998" t="s">
        <v>19</v>
      </c>
      <c r="I998" t="str">
        <f>_xlfn.XLOOKUP(H998,Table6[Product],Table6[Category])</f>
        <v>Electronics</v>
      </c>
      <c r="J998" t="s">
        <v>61</v>
      </c>
      <c r="K998">
        <v>3</v>
      </c>
      <c r="L998">
        <f>_xlfn.XLOOKUP(H998,Table6[Product],Table6[Unit Price])</f>
        <v>25000</v>
      </c>
      <c r="M998">
        <f>_xlfn.XLOOKUP(H998,Table6[Product],Table6[Cost Price])</f>
        <v>20000</v>
      </c>
      <c r="N998" s="7">
        <v>0.14000000000000001</v>
      </c>
      <c r="O998">
        <f t="shared" si="45"/>
        <v>64500</v>
      </c>
      <c r="P998">
        <f t="shared" si="46"/>
        <v>60000</v>
      </c>
      <c r="Q998">
        <f t="shared" si="47"/>
        <v>4500</v>
      </c>
      <c r="R998" t="s">
        <v>46</v>
      </c>
      <c r="S998" t="s">
        <v>50</v>
      </c>
    </row>
    <row r="999" spans="1:19" ht="18" x14ac:dyDescent="0.5">
      <c r="A999" t="s">
        <v>1069</v>
      </c>
      <c r="B999" t="s">
        <v>2068</v>
      </c>
      <c r="C999" s="6">
        <v>45553</v>
      </c>
      <c r="D999" t="s">
        <v>59</v>
      </c>
      <c r="E999" t="s">
        <v>2074</v>
      </c>
      <c r="F999" t="str">
        <f>_xlfn.XLOOKUP(E999,Table8[City],Table8[State])</f>
        <v>Maharashtra</v>
      </c>
      <c r="G999" t="str">
        <f>_xlfn.XLOOKUP(E999,Table8[City],Table8[Region])</f>
        <v>West</v>
      </c>
      <c r="H999" t="s">
        <v>20</v>
      </c>
      <c r="I999" t="str">
        <f>_xlfn.XLOOKUP(H999,Table6[Product],Table6[Category])</f>
        <v>Accessories</v>
      </c>
      <c r="J999" t="s">
        <v>62</v>
      </c>
      <c r="K999">
        <v>8</v>
      </c>
      <c r="L999">
        <f>_xlfn.XLOOKUP(H999,Table6[Product],Table6[Unit Price])</f>
        <v>3000</v>
      </c>
      <c r="M999">
        <f>_xlfn.XLOOKUP(H999,Table6[Product],Table6[Cost Price])</f>
        <v>1800</v>
      </c>
      <c r="N999" s="7">
        <v>0.02</v>
      </c>
      <c r="O999">
        <f t="shared" si="45"/>
        <v>23520</v>
      </c>
      <c r="P999">
        <f t="shared" si="46"/>
        <v>14400</v>
      </c>
      <c r="Q999">
        <f t="shared" si="47"/>
        <v>9120</v>
      </c>
      <c r="R999" t="s">
        <v>46</v>
      </c>
      <c r="S999" t="s">
        <v>50</v>
      </c>
    </row>
    <row r="1000" spans="1:19" ht="18" x14ac:dyDescent="0.5">
      <c r="A1000" t="s">
        <v>1070</v>
      </c>
      <c r="B1000" t="s">
        <v>2069</v>
      </c>
      <c r="C1000" s="6">
        <v>45896</v>
      </c>
      <c r="D1000" t="s">
        <v>2087</v>
      </c>
      <c r="E1000" t="s">
        <v>2079</v>
      </c>
      <c r="F1000" t="str">
        <f>_xlfn.XLOOKUP(E1000,Table8[City],Table8[State])</f>
        <v>Gujarat</v>
      </c>
      <c r="G1000" t="str">
        <f>_xlfn.XLOOKUP(E1000,Table8[City],Table8[Region])</f>
        <v>West</v>
      </c>
      <c r="H1000" t="s">
        <v>22</v>
      </c>
      <c r="I1000" t="str">
        <f>_xlfn.XLOOKUP(H1000,Table6[Product],Table6[Category])</f>
        <v>Wearables</v>
      </c>
      <c r="J1000" t="s">
        <v>62</v>
      </c>
      <c r="K1000">
        <v>9</v>
      </c>
      <c r="L1000">
        <f>_xlfn.XLOOKUP(H1000,Table6[Product],Table6[Unit Price])</f>
        <v>12000</v>
      </c>
      <c r="M1000">
        <f>_xlfn.XLOOKUP(H1000,Table6[Product],Table6[Cost Price])</f>
        <v>8500</v>
      </c>
      <c r="N1000" s="7">
        <v>0.04</v>
      </c>
      <c r="O1000">
        <f t="shared" si="45"/>
        <v>103680</v>
      </c>
      <c r="P1000">
        <f t="shared" si="46"/>
        <v>76500</v>
      </c>
      <c r="Q1000">
        <f t="shared" si="47"/>
        <v>27180</v>
      </c>
      <c r="R1000" t="s">
        <v>47</v>
      </c>
      <c r="S1000" t="s">
        <v>51</v>
      </c>
    </row>
    <row r="1001" spans="1:19" ht="18" x14ac:dyDescent="0.5">
      <c r="A1001" t="s">
        <v>1071</v>
      </c>
      <c r="B1001" t="s">
        <v>2070</v>
      </c>
      <c r="C1001" s="6">
        <v>45956</v>
      </c>
      <c r="D1001" t="s">
        <v>63</v>
      </c>
      <c r="E1001" t="s">
        <v>2079</v>
      </c>
      <c r="F1001" t="str">
        <f>_xlfn.XLOOKUP(E1001,Table8[City],Table8[State])</f>
        <v>Gujarat</v>
      </c>
      <c r="G1001" t="str">
        <f>_xlfn.XLOOKUP(E1001,Table8[City],Table8[Region])</f>
        <v>West</v>
      </c>
      <c r="H1001" t="s">
        <v>16</v>
      </c>
      <c r="I1001" t="str">
        <f>_xlfn.XLOOKUP(H1001,Table6[Product],Table6[Category])</f>
        <v>Electronics</v>
      </c>
      <c r="J1001" t="s">
        <v>61</v>
      </c>
      <c r="K1001">
        <v>8</v>
      </c>
      <c r="L1001">
        <f>_xlfn.XLOOKUP(H1001,Table6[Product],Table6[Unit Price])</f>
        <v>65000</v>
      </c>
      <c r="M1001">
        <f>_xlfn.XLOOKUP(H1001,Table6[Product],Table6[Cost Price])</f>
        <v>52000</v>
      </c>
      <c r="N1001" s="7">
        <v>0.27</v>
      </c>
      <c r="O1001">
        <f t="shared" si="45"/>
        <v>379600</v>
      </c>
      <c r="P1001">
        <f t="shared" si="46"/>
        <v>416000</v>
      </c>
      <c r="Q1001">
        <f t="shared" si="47"/>
        <v>-36400</v>
      </c>
      <c r="R1001" t="s">
        <v>47</v>
      </c>
      <c r="S1001" t="s">
        <v>52</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08B35-51D2-41C6-B198-F356E99EFD39}">
  <dimension ref="B1:F11"/>
  <sheetViews>
    <sheetView workbookViewId="0">
      <selection activeCell="E1" sqref="E1:E11"/>
    </sheetView>
  </sheetViews>
  <sheetFormatPr defaultRowHeight="18" x14ac:dyDescent="0.5"/>
  <cols>
    <col min="1" max="1" width="17.88671875" bestFit="1" customWidth="1"/>
    <col min="2" max="2" width="14.44140625" customWidth="1"/>
    <col min="4" max="4" width="17.88671875" customWidth="1"/>
    <col min="5" max="5" width="25.88671875" customWidth="1"/>
  </cols>
  <sheetData>
    <row r="1" spans="2:6" x14ac:dyDescent="0.5">
      <c r="B1" s="13"/>
      <c r="D1" s="14" t="s">
        <v>2129</v>
      </c>
      <c r="E1" s="18">
        <f>SUM(Table12[Total_Sales])</f>
        <v>80421785</v>
      </c>
      <c r="F1" s="17"/>
    </row>
    <row r="2" spans="2:6" x14ac:dyDescent="0.5">
      <c r="B2" s="13"/>
      <c r="D2" s="14"/>
      <c r="E2" s="18"/>
      <c r="F2" s="17"/>
    </row>
    <row r="3" spans="2:6" x14ac:dyDescent="0.5">
      <c r="B3" s="13"/>
      <c r="D3" s="14" t="s">
        <v>2130</v>
      </c>
      <c r="E3" s="18">
        <f>SUM(Table12[Profit])</f>
        <v>6868135</v>
      </c>
      <c r="F3" s="17"/>
    </row>
    <row r="4" spans="2:6" x14ac:dyDescent="0.5">
      <c r="B4" s="13"/>
      <c r="D4" s="14"/>
      <c r="E4" s="18"/>
      <c r="F4" s="17"/>
    </row>
    <row r="5" spans="2:6" x14ac:dyDescent="0.5">
      <c r="B5" s="13"/>
      <c r="D5" s="14" t="s">
        <v>2131</v>
      </c>
      <c r="E5" s="18">
        <f>COUNTA(Table12[Order_ID])</f>
        <v>1000</v>
      </c>
      <c r="F5" s="17"/>
    </row>
    <row r="6" spans="2:6" x14ac:dyDescent="0.5">
      <c r="B6" s="13"/>
      <c r="D6" s="14"/>
      <c r="E6" s="19"/>
      <c r="F6" s="17"/>
    </row>
    <row r="7" spans="2:6" x14ac:dyDescent="0.5">
      <c r="D7" s="14" t="s">
        <v>2132</v>
      </c>
      <c r="E7" s="20">
        <f>COUNTA(_xlfn.UNIQUE(Table12[Customer_Name]))</f>
        <v>20</v>
      </c>
      <c r="F7" s="17"/>
    </row>
    <row r="8" spans="2:6" x14ac:dyDescent="0.5">
      <c r="D8" s="14"/>
      <c r="E8" s="20"/>
      <c r="F8" s="17"/>
    </row>
    <row r="9" spans="2:6" x14ac:dyDescent="0.5">
      <c r="B9" s="13"/>
      <c r="D9" s="14" t="s">
        <v>2133</v>
      </c>
      <c r="E9" s="18">
        <f>AVERAGE(Table12[Total_Sales])</f>
        <v>80421.785000000003</v>
      </c>
      <c r="F9" s="17"/>
    </row>
    <row r="10" spans="2:6" x14ac:dyDescent="0.5">
      <c r="D10" s="14"/>
      <c r="E10" s="20"/>
      <c r="F10" s="17"/>
    </row>
    <row r="11" spans="2:6" x14ac:dyDescent="0.5">
      <c r="B11" s="12"/>
      <c r="D11" s="14" t="s">
        <v>2134</v>
      </c>
      <c r="E11" s="21">
        <f>SUM(Table12[Profit])/SUM(Table12[Total_Sales])</f>
        <v>8.5401424502079881E-2</v>
      </c>
      <c r="F11" s="1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77219-FB01-4973-A21F-54B173DE061C}">
  <dimension ref="B6:F61"/>
  <sheetViews>
    <sheetView workbookViewId="0">
      <selection activeCell="C14" sqref="B6:C33"/>
    </sheetView>
  </sheetViews>
  <sheetFormatPr defaultRowHeight="14.4" x14ac:dyDescent="0.5"/>
  <cols>
    <col min="2" max="2" width="12.5546875" customWidth="1"/>
    <col min="3" max="3" width="22.109375" customWidth="1"/>
    <col min="5" max="5" width="12.5546875" customWidth="1"/>
    <col min="6" max="6" width="22.88671875" customWidth="1"/>
  </cols>
  <sheetData>
    <row r="6" spans="2:6" ht="18" x14ac:dyDescent="0.5">
      <c r="B6" s="9" t="s">
        <v>2107</v>
      </c>
      <c r="C6" t="s">
        <v>2123</v>
      </c>
      <c r="E6" s="9" t="s">
        <v>2107</v>
      </c>
      <c r="F6" t="s">
        <v>2124</v>
      </c>
    </row>
    <row r="7" spans="2:6" ht="18" x14ac:dyDescent="0.5">
      <c r="B7" s="10" t="s">
        <v>2109</v>
      </c>
      <c r="C7" s="16">
        <v>37116986</v>
      </c>
      <c r="E7" s="10" t="s">
        <v>32</v>
      </c>
      <c r="F7" s="16">
        <v>6751252</v>
      </c>
    </row>
    <row r="8" spans="2:6" ht="18" x14ac:dyDescent="0.5">
      <c r="B8" s="11" t="s">
        <v>2111</v>
      </c>
      <c r="C8" s="16">
        <v>5593132</v>
      </c>
      <c r="E8" s="10" t="s">
        <v>30</v>
      </c>
      <c r="F8" s="16">
        <v>15859044</v>
      </c>
    </row>
    <row r="9" spans="2:6" ht="18" x14ac:dyDescent="0.5">
      <c r="B9" s="11" t="s">
        <v>2112</v>
      </c>
      <c r="C9" s="16">
        <v>3350172</v>
      </c>
      <c r="E9" s="10" t="s">
        <v>31</v>
      </c>
      <c r="F9" s="16">
        <v>34496386</v>
      </c>
    </row>
    <row r="10" spans="2:6" ht="18" x14ac:dyDescent="0.5">
      <c r="B10" s="11" t="s">
        <v>2113</v>
      </c>
      <c r="C10" s="16">
        <v>3402220</v>
      </c>
      <c r="E10" s="10" t="s">
        <v>33</v>
      </c>
      <c r="F10" s="16">
        <v>23315103</v>
      </c>
    </row>
    <row r="11" spans="2:6" ht="18" x14ac:dyDescent="0.5">
      <c r="B11" s="11" t="s">
        <v>2114</v>
      </c>
      <c r="C11" s="16">
        <v>2305327</v>
      </c>
      <c r="E11" s="10" t="s">
        <v>2108</v>
      </c>
      <c r="F11" s="16">
        <v>80421785</v>
      </c>
    </row>
    <row r="12" spans="2:6" ht="18" x14ac:dyDescent="0.5">
      <c r="B12" s="11" t="s">
        <v>2115</v>
      </c>
      <c r="C12" s="16">
        <v>3397558</v>
      </c>
    </row>
    <row r="13" spans="2:6" ht="18" x14ac:dyDescent="0.5">
      <c r="B13" s="11" t="s">
        <v>2116</v>
      </c>
      <c r="C13" s="16">
        <v>2260094</v>
      </c>
    </row>
    <row r="14" spans="2:6" ht="18" x14ac:dyDescent="0.5">
      <c r="B14" s="11" t="s">
        <v>2117</v>
      </c>
      <c r="C14" s="16">
        <v>2158203</v>
      </c>
    </row>
    <row r="15" spans="2:6" ht="18" x14ac:dyDescent="0.5">
      <c r="B15" s="11" t="s">
        <v>2118</v>
      </c>
      <c r="C15" s="16">
        <v>3874829</v>
      </c>
    </row>
    <row r="16" spans="2:6" ht="18" x14ac:dyDescent="0.5">
      <c r="B16" s="11" t="s">
        <v>2119</v>
      </c>
      <c r="C16" s="16">
        <v>2744081</v>
      </c>
    </row>
    <row r="17" spans="2:3" ht="18" x14ac:dyDescent="0.5">
      <c r="B17" s="11" t="s">
        <v>2120</v>
      </c>
      <c r="C17" s="16">
        <v>2960059</v>
      </c>
    </row>
    <row r="18" spans="2:3" ht="18" x14ac:dyDescent="0.5">
      <c r="B18" s="11" t="s">
        <v>2121</v>
      </c>
      <c r="C18" s="16">
        <v>2375530</v>
      </c>
    </row>
    <row r="19" spans="2:3" ht="18" x14ac:dyDescent="0.5">
      <c r="B19" s="11" t="s">
        <v>2122</v>
      </c>
      <c r="C19" s="16">
        <v>2695781</v>
      </c>
    </row>
    <row r="20" spans="2:3" ht="18" x14ac:dyDescent="0.5">
      <c r="B20" s="10" t="s">
        <v>2110</v>
      </c>
      <c r="C20" s="16">
        <v>43304799</v>
      </c>
    </row>
    <row r="21" spans="2:3" ht="18" x14ac:dyDescent="0.5">
      <c r="B21" s="11" t="s">
        <v>2111</v>
      </c>
      <c r="C21" s="16">
        <v>3378138</v>
      </c>
    </row>
    <row r="22" spans="2:3" ht="18" x14ac:dyDescent="0.5">
      <c r="B22" s="11" t="s">
        <v>2112</v>
      </c>
      <c r="C22" s="16">
        <v>2302418</v>
      </c>
    </row>
    <row r="23" spans="2:3" ht="18" x14ac:dyDescent="0.5">
      <c r="B23" s="11" t="s">
        <v>2113</v>
      </c>
      <c r="C23" s="16">
        <v>4777733</v>
      </c>
    </row>
    <row r="24" spans="2:3" ht="18" x14ac:dyDescent="0.5">
      <c r="B24" s="11" t="s">
        <v>2114</v>
      </c>
      <c r="C24" s="16">
        <v>3183946</v>
      </c>
    </row>
    <row r="25" spans="2:3" ht="18" x14ac:dyDescent="0.5">
      <c r="B25" s="11" t="s">
        <v>2115</v>
      </c>
      <c r="C25" s="16">
        <v>4897998</v>
      </c>
    </row>
    <row r="26" spans="2:3" ht="18" x14ac:dyDescent="0.5">
      <c r="B26" s="11" t="s">
        <v>2116</v>
      </c>
      <c r="C26" s="16">
        <v>3148808</v>
      </c>
    </row>
    <row r="27" spans="2:3" ht="18" x14ac:dyDescent="0.5">
      <c r="B27" s="11" t="s">
        <v>2117</v>
      </c>
      <c r="C27" s="16">
        <v>4952051</v>
      </c>
    </row>
    <row r="28" spans="2:3" ht="18" x14ac:dyDescent="0.5">
      <c r="B28" s="11" t="s">
        <v>2118</v>
      </c>
      <c r="C28" s="16">
        <v>4563119</v>
      </c>
    </row>
    <row r="29" spans="2:3" ht="18" x14ac:dyDescent="0.5">
      <c r="B29" s="11" t="s">
        <v>2119</v>
      </c>
      <c r="C29" s="16">
        <v>2322231</v>
      </c>
    </row>
    <row r="30" spans="2:3" ht="18" x14ac:dyDescent="0.5">
      <c r="B30" s="11" t="s">
        <v>2120</v>
      </c>
      <c r="C30" s="16">
        <v>3450598</v>
      </c>
    </row>
    <row r="31" spans="2:3" ht="18" x14ac:dyDescent="0.5">
      <c r="B31" s="11" t="s">
        <v>2121</v>
      </c>
      <c r="C31" s="16">
        <v>3462216</v>
      </c>
    </row>
    <row r="32" spans="2:3" ht="18" x14ac:dyDescent="0.5">
      <c r="B32" s="11" t="s">
        <v>2122</v>
      </c>
      <c r="C32" s="16">
        <v>2865543</v>
      </c>
    </row>
    <row r="33" spans="2:6" ht="18" x14ac:dyDescent="0.5">
      <c r="B33" s="10" t="s">
        <v>2108</v>
      </c>
      <c r="C33" s="16">
        <v>80421785</v>
      </c>
    </row>
    <row r="38" spans="2:6" ht="18" x14ac:dyDescent="0.5">
      <c r="C38" t="s">
        <v>2125</v>
      </c>
      <c r="E38" s="9" t="s">
        <v>2107</v>
      </c>
      <c r="F38" t="s">
        <v>2126</v>
      </c>
    </row>
    <row r="39" spans="2:6" ht="18" x14ac:dyDescent="0.5">
      <c r="B39" s="10" t="s">
        <v>16</v>
      </c>
      <c r="C39" s="16">
        <v>28512900</v>
      </c>
      <c r="E39" s="10" t="s">
        <v>46</v>
      </c>
      <c r="F39" s="16">
        <v>189</v>
      </c>
    </row>
    <row r="40" spans="2:6" ht="18" x14ac:dyDescent="0.5">
      <c r="B40" s="10" t="s">
        <v>18</v>
      </c>
      <c r="C40" s="16">
        <v>15332100</v>
      </c>
      <c r="E40" s="10" t="s">
        <v>44</v>
      </c>
      <c r="F40" s="16">
        <v>203</v>
      </c>
    </row>
    <row r="41" spans="2:6" ht="18" x14ac:dyDescent="0.5">
      <c r="B41" s="10" t="s">
        <v>19</v>
      </c>
      <c r="C41" s="16">
        <v>11381500</v>
      </c>
      <c r="E41" s="10" t="s">
        <v>45</v>
      </c>
      <c r="F41" s="16">
        <v>202</v>
      </c>
    </row>
    <row r="42" spans="2:6" ht="18" x14ac:dyDescent="0.5">
      <c r="B42" s="10" t="s">
        <v>26</v>
      </c>
      <c r="C42" s="16">
        <v>7907550</v>
      </c>
      <c r="E42" s="10" t="s">
        <v>47</v>
      </c>
      <c r="F42" s="16">
        <v>208</v>
      </c>
    </row>
    <row r="43" spans="2:6" ht="18" x14ac:dyDescent="0.5">
      <c r="B43" s="10" t="s">
        <v>28</v>
      </c>
      <c r="C43" s="16">
        <v>6795540</v>
      </c>
      <c r="E43" s="10" t="s">
        <v>43</v>
      </c>
      <c r="F43" s="16">
        <v>198</v>
      </c>
    </row>
    <row r="44" spans="2:6" ht="18" x14ac:dyDescent="0.5">
      <c r="B44" s="10" t="s">
        <v>22</v>
      </c>
      <c r="C44" s="16">
        <v>5445840</v>
      </c>
      <c r="E44" s="10" t="s">
        <v>2108</v>
      </c>
      <c r="F44" s="16">
        <v>1000</v>
      </c>
    </row>
    <row r="45" spans="2:6" ht="18" x14ac:dyDescent="0.5">
      <c r="B45" s="10" t="s">
        <v>29</v>
      </c>
      <c r="C45" s="16">
        <v>2190250</v>
      </c>
    </row>
    <row r="46" spans="2:6" ht="18" x14ac:dyDescent="0.5">
      <c r="B46" s="10" t="s">
        <v>20</v>
      </c>
      <c r="C46" s="16">
        <v>1714380</v>
      </c>
    </row>
    <row r="47" spans="2:6" ht="18" x14ac:dyDescent="0.5">
      <c r="B47" s="10" t="s">
        <v>24</v>
      </c>
      <c r="C47" s="16">
        <v>759405</v>
      </c>
    </row>
    <row r="48" spans="2:6" ht="18" x14ac:dyDescent="0.5">
      <c r="B48" s="10" t="s">
        <v>25</v>
      </c>
      <c r="C48" s="16">
        <v>382320</v>
      </c>
    </row>
    <row r="49" spans="2:3" ht="18" x14ac:dyDescent="0.5">
      <c r="B49" s="10" t="s">
        <v>2108</v>
      </c>
      <c r="C49" s="16">
        <v>80421785</v>
      </c>
    </row>
    <row r="55" spans="2:3" ht="18" x14ac:dyDescent="0.5">
      <c r="B55" s="9" t="s">
        <v>2107</v>
      </c>
      <c r="C55" t="s">
        <v>2128</v>
      </c>
    </row>
    <row r="56" spans="2:3" ht="18" x14ac:dyDescent="0.5">
      <c r="B56" s="10" t="s">
        <v>52</v>
      </c>
      <c r="C56">
        <v>238</v>
      </c>
    </row>
    <row r="57" spans="2:3" ht="18" x14ac:dyDescent="0.5">
      <c r="B57" s="10" t="s">
        <v>49</v>
      </c>
      <c r="C57">
        <v>263</v>
      </c>
    </row>
    <row r="58" spans="2:3" ht="18" x14ac:dyDescent="0.5">
      <c r="B58" s="10" t="s">
        <v>50</v>
      </c>
      <c r="C58">
        <v>260</v>
      </c>
    </row>
    <row r="59" spans="2:3" ht="18" x14ac:dyDescent="0.5">
      <c r="B59" s="10" t="s">
        <v>51</v>
      </c>
      <c r="C59">
        <v>239</v>
      </c>
    </row>
    <row r="60" spans="2:3" ht="18" x14ac:dyDescent="0.5">
      <c r="B60" s="10" t="s">
        <v>2127</v>
      </c>
    </row>
    <row r="61" spans="2:3" ht="18" x14ac:dyDescent="0.5">
      <c r="B61" s="10" t="s">
        <v>2108</v>
      </c>
      <c r="C61">
        <v>1000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3EEE2-17D3-47CD-9BBB-3F995897B52F}">
  <sheetPr>
    <pageSetUpPr autoPageBreaks="0"/>
  </sheetPr>
  <dimension ref="A2:AK75"/>
  <sheetViews>
    <sheetView showGridLines="0" showRowColHeaders="0" tabSelected="1" zoomScaleNormal="100" workbookViewId="0">
      <selection activeCell="L21" sqref="L21"/>
    </sheetView>
  </sheetViews>
  <sheetFormatPr defaultRowHeight="18" x14ac:dyDescent="0.5"/>
  <cols>
    <col min="1" max="1" width="8.88671875" style="23"/>
    <col min="2" max="2" width="16.33203125" style="23" customWidth="1"/>
    <col min="3" max="9" width="8.88671875" style="23"/>
    <col min="10" max="10" width="11.6640625" style="23" customWidth="1"/>
    <col min="11" max="17" width="8.88671875" style="23"/>
    <col min="18" max="18" width="16.109375" style="23" customWidth="1"/>
    <col min="19" max="19" width="30.88671875" style="23" customWidth="1"/>
    <col min="20" max="20" width="8.88671875" style="23" customWidth="1"/>
    <col min="21" max="36" width="8.88671875" style="23"/>
    <col min="37" max="37" width="12.33203125" style="23" customWidth="1"/>
    <col min="38" max="16384" width="8.88671875" style="23"/>
  </cols>
  <sheetData>
    <row r="2" spans="1:37" ht="31.2" x14ac:dyDescent="0.5">
      <c r="A2" s="27" t="s">
        <v>2135</v>
      </c>
      <c r="B2" s="27"/>
      <c r="C2" s="27"/>
      <c r="D2" s="27"/>
      <c r="E2" s="27"/>
      <c r="F2" s="27"/>
      <c r="G2" s="27"/>
      <c r="H2" s="27"/>
      <c r="I2" s="27"/>
      <c r="J2" s="27"/>
      <c r="K2" s="27"/>
      <c r="L2" s="27"/>
      <c r="M2" s="27"/>
      <c r="N2" s="27"/>
      <c r="O2" s="27"/>
      <c r="P2" s="27"/>
      <c r="Q2" s="27"/>
      <c r="R2" s="27"/>
      <c r="S2" s="27"/>
      <c r="T2" s="22"/>
      <c r="U2" s="22"/>
      <c r="V2" s="22"/>
      <c r="W2" s="22"/>
      <c r="X2" s="22"/>
      <c r="Y2" s="22"/>
      <c r="Z2" s="22"/>
      <c r="AA2" s="22"/>
      <c r="AB2" s="22"/>
      <c r="AC2" s="22"/>
      <c r="AD2" s="22"/>
      <c r="AE2" s="22"/>
      <c r="AF2" s="22"/>
      <c r="AG2" s="22"/>
      <c r="AH2" s="22"/>
      <c r="AI2" s="22"/>
      <c r="AJ2" s="22"/>
      <c r="AK2" s="22"/>
    </row>
    <row r="3" spans="1:37" s="25" customFormat="1" ht="14.4" customHeight="1" x14ac:dyDescent="0.5">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row>
    <row r="4" spans="1:37" ht="19.2" x14ac:dyDescent="0.5">
      <c r="A4" s="22"/>
      <c r="B4" s="22"/>
      <c r="C4" s="22"/>
      <c r="D4" s="22"/>
      <c r="E4" s="22"/>
      <c r="F4" s="22"/>
      <c r="G4" s="22"/>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row>
    <row r="5" spans="1:37" ht="19.2" x14ac:dyDescent="0.5">
      <c r="A5" s="22"/>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row>
    <row r="6" spans="1:37" ht="19.2" x14ac:dyDescent="0.5">
      <c r="A6" s="22"/>
      <c r="B6" s="22"/>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row>
    <row r="7" spans="1:37" ht="19.2" x14ac:dyDescent="0.5">
      <c r="A7" s="22"/>
      <c r="B7" s="22"/>
      <c r="C7" s="22"/>
      <c r="D7" s="22"/>
      <c r="E7" s="22"/>
      <c r="F7" s="22"/>
      <c r="G7" s="22"/>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row>
    <row r="8" spans="1:37" ht="19.2" x14ac:dyDescent="0.5">
      <c r="A8" s="22"/>
      <c r="B8" s="2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row>
    <row r="9" spans="1:37" ht="19.2" x14ac:dyDescent="0.5">
      <c r="A9" s="22"/>
      <c r="B9" s="22"/>
      <c r="C9" s="22"/>
      <c r="D9" s="22"/>
      <c r="E9" s="22"/>
      <c r="F9" s="22"/>
      <c r="G9" s="22"/>
      <c r="H9" s="22"/>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row>
    <row r="10" spans="1:37" ht="19.2" x14ac:dyDescent="0.5">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row>
    <row r="11" spans="1:37" ht="19.2" x14ac:dyDescent="0.5">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row>
    <row r="12" spans="1:37" ht="19.2" x14ac:dyDescent="0.5">
      <c r="A12" s="22"/>
      <c r="B12" s="22"/>
      <c r="C12" s="22"/>
      <c r="D12" s="22"/>
      <c r="E12" s="22"/>
      <c r="F12" s="22"/>
      <c r="G12" s="22"/>
      <c r="H12" s="22"/>
      <c r="I12" s="22"/>
      <c r="J12" s="22"/>
      <c r="K12" s="22"/>
      <c r="L12" s="26"/>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row>
    <row r="13" spans="1:37" ht="19.2" x14ac:dyDescent="0.5">
      <c r="A13" s="22"/>
      <c r="B13" s="22"/>
      <c r="C13" s="22"/>
      <c r="D13" s="22"/>
      <c r="E13" s="22"/>
      <c r="F13" s="22"/>
      <c r="G13" s="22"/>
      <c r="H13" s="22"/>
      <c r="I13" s="22"/>
      <c r="J13" s="22"/>
      <c r="K13" s="22"/>
      <c r="L13" s="26"/>
      <c r="M13" s="22"/>
      <c r="N13" s="22"/>
      <c r="O13" s="22"/>
      <c r="P13" s="22"/>
      <c r="Q13" s="22"/>
      <c r="R13" s="22"/>
      <c r="S13" s="22"/>
      <c r="T13" s="22"/>
      <c r="U13" s="22"/>
      <c r="V13" s="22"/>
      <c r="W13" s="22"/>
      <c r="X13" s="22"/>
      <c r="Y13" s="22"/>
      <c r="Z13" s="22"/>
      <c r="AA13" s="22"/>
      <c r="AB13" s="22"/>
      <c r="AC13" s="22"/>
      <c r="AD13" s="22"/>
      <c r="AE13" s="22"/>
      <c r="AF13" s="22"/>
      <c r="AG13" s="22"/>
      <c r="AH13" s="22"/>
      <c r="AI13" s="22"/>
      <c r="AJ13" s="22"/>
      <c r="AK13" s="22"/>
    </row>
    <row r="14" spans="1:37" ht="19.2" x14ac:dyDescent="0.5">
      <c r="A14" s="22"/>
      <c r="B14" s="22"/>
      <c r="C14" s="22"/>
      <c r="D14" s="22"/>
      <c r="E14" s="22"/>
      <c r="F14" s="22"/>
      <c r="G14" s="22"/>
      <c r="H14" s="22"/>
      <c r="I14" s="22"/>
      <c r="J14" s="22"/>
      <c r="K14" s="22"/>
      <c r="L14" s="26"/>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row>
    <row r="15" spans="1:37" ht="19.2" x14ac:dyDescent="0.5">
      <c r="A15" s="22"/>
      <c r="B15" s="22"/>
      <c r="C15" s="22"/>
      <c r="D15" s="22"/>
      <c r="E15" s="22"/>
      <c r="F15" s="22"/>
      <c r="G15" s="22"/>
      <c r="H15" s="22"/>
      <c r="I15" s="22"/>
      <c r="J15" s="22"/>
      <c r="K15" s="22"/>
      <c r="L15" s="26"/>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row>
    <row r="16" spans="1:37" ht="19.2" x14ac:dyDescent="0.5">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row>
    <row r="17" spans="1:37" ht="19.2" x14ac:dyDescent="0.5">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row>
    <row r="18" spans="1:37" ht="19.2" x14ac:dyDescent="0.5">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row>
    <row r="19" spans="1:37" ht="19.2" x14ac:dyDescent="0.5">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row>
    <row r="20" spans="1:37" ht="19.2" x14ac:dyDescent="0.5">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row>
    <row r="21" spans="1:37" ht="19.2" x14ac:dyDescent="0.5">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row>
    <row r="22" spans="1:37" ht="19.2" x14ac:dyDescent="0.5">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row>
    <row r="23" spans="1:37" ht="19.2" x14ac:dyDescent="0.5">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row>
    <row r="24" spans="1:37" ht="19.2" x14ac:dyDescent="0.5">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row>
    <row r="25" spans="1:37" ht="19.2" x14ac:dyDescent="0.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row>
    <row r="26" spans="1:37" ht="19.2" x14ac:dyDescent="0.5">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row>
    <row r="27" spans="1:37" ht="19.2" x14ac:dyDescent="0.5">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row>
    <row r="28" spans="1:37" ht="19.2" x14ac:dyDescent="0.5">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row>
    <row r="29" spans="1:37" ht="19.2" x14ac:dyDescent="0.5">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row>
    <row r="30" spans="1:37" ht="19.2" x14ac:dyDescent="0.5">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row>
    <row r="31" spans="1:37" ht="19.2" x14ac:dyDescent="0.5">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row>
    <row r="32" spans="1:37" ht="19.2" x14ac:dyDescent="0.5">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row>
    <row r="33" spans="1:37" ht="19.2" x14ac:dyDescent="0.5">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row>
    <row r="34" spans="1:37" ht="19.2" x14ac:dyDescent="0.5">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row>
    <row r="35" spans="1:37" ht="19.2" x14ac:dyDescent="0.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row>
    <row r="36" spans="1:37" ht="19.2" x14ac:dyDescent="0.5">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row>
    <row r="37" spans="1:37" ht="19.2" x14ac:dyDescent="0.5">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row>
    <row r="38" spans="1:37" ht="19.2" x14ac:dyDescent="0.5">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row>
    <row r="39" spans="1:37" ht="19.2" x14ac:dyDescent="0.5">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row>
    <row r="40" spans="1:37" ht="19.2" x14ac:dyDescent="0.5">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row>
    <row r="41" spans="1:37" ht="19.2" x14ac:dyDescent="0.5">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row>
    <row r="42" spans="1:37" ht="19.2" x14ac:dyDescent="0.5">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row>
    <row r="43" spans="1:37" ht="19.2" x14ac:dyDescent="0.5">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row>
    <row r="44" spans="1:37" ht="19.2" x14ac:dyDescent="0.5">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row>
    <row r="45" spans="1:37" ht="19.2" x14ac:dyDescent="0.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row>
    <row r="46" spans="1:37" ht="19.2" x14ac:dyDescent="0.5">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row>
    <row r="47" spans="1:37" ht="19.2" x14ac:dyDescent="0.5">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row>
    <row r="48" spans="1:37" ht="19.2" x14ac:dyDescent="0.5">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row>
    <row r="49" spans="1:37" ht="19.2" x14ac:dyDescent="0.5">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row>
    <row r="50" spans="1:37" ht="19.2" x14ac:dyDescent="0.5">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row>
    <row r="51" spans="1:37" ht="19.2" x14ac:dyDescent="0.5">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row>
    <row r="52" spans="1:37" ht="19.2" x14ac:dyDescent="0.5">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row>
    <row r="53" spans="1:37" ht="19.2" x14ac:dyDescent="0.5">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row>
    <row r="54" spans="1:37" ht="19.2" x14ac:dyDescent="0.5">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row>
    <row r="55" spans="1:37" ht="19.2" x14ac:dyDescent="0.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row>
    <row r="56" spans="1:37" ht="19.2" x14ac:dyDescent="0.5">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row>
    <row r="57" spans="1:37" ht="19.2" x14ac:dyDescent="0.5">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row>
    <row r="58" spans="1:37" ht="19.2" x14ac:dyDescent="0.5">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row>
    <row r="59" spans="1:37" ht="19.2" x14ac:dyDescent="0.5">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row>
    <row r="60" spans="1:37" ht="19.2" x14ac:dyDescent="0.5">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row>
    <row r="61" spans="1:37" ht="19.2" x14ac:dyDescent="0.5">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row>
    <row r="62" spans="1:37" ht="19.2" x14ac:dyDescent="0.5">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row>
    <row r="63" spans="1:37" ht="19.2" x14ac:dyDescent="0.5">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row>
    <row r="64" spans="1:37" ht="19.2" x14ac:dyDescent="0.5">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row>
    <row r="65" spans="1:37" ht="19.2" x14ac:dyDescent="0.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row>
    <row r="66" spans="1:37" ht="19.2" x14ac:dyDescent="0.5">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row>
    <row r="67" spans="1:37" ht="19.2" x14ac:dyDescent="0.5">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row>
    <row r="68" spans="1:37" ht="19.2" x14ac:dyDescent="0.5">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row>
    <row r="69" spans="1:37" ht="19.2" x14ac:dyDescent="0.5">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row>
    <row r="70" spans="1:37" ht="19.2" x14ac:dyDescent="0.5">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row>
    <row r="71" spans="1:37" ht="19.2" x14ac:dyDescent="0.5">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row>
    <row r="72" spans="1:37" ht="19.2" x14ac:dyDescent="0.5">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row>
    <row r="73" spans="1:37" ht="19.2" x14ac:dyDescent="0.5">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row>
    <row r="74" spans="1:37" ht="19.2" x14ac:dyDescent="0.5">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row>
    <row r="75" spans="1:37" ht="19.2" x14ac:dyDescent="0.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row>
  </sheetData>
  <mergeCells count="1">
    <mergeCell ref="A2:S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Lists</vt:lpstr>
      <vt:lpstr>Raw_Data</vt:lpstr>
      <vt:lpstr>Clean_Data</vt:lpstr>
      <vt:lpstr>Pivot_Tables</vt:lpstr>
      <vt:lpstr>Dashboard</vt:lpstr>
      <vt:lpstr>tblCustomers</vt:lpstr>
      <vt:lpstr>tblDeliveryStatus</vt:lpstr>
      <vt:lpstr>tblLocations</vt:lpstr>
      <vt:lpstr>tblPayments</vt:lpstr>
      <vt:lpstr>tblProducts</vt:lpstr>
      <vt:lpstr>tblSales</vt:lpstr>
      <vt:lpstr>tblSalespersons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akanksha naik</dc:creator>
  <cp:lastModifiedBy>akanksha naik</cp:lastModifiedBy>
  <dcterms:created xsi:type="dcterms:W3CDTF">2026-07-18T17:05:07Z</dcterms:created>
  <dcterms:modified xsi:type="dcterms:W3CDTF">2026-07-20T19:08:15Z</dcterms:modified>
</cp:coreProperties>
</file>